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4.xml" ContentType="application/vnd.openxmlformats-officedocument.drawing+xml"/>
  <Override PartName="/xl/ctrlProps/ctrlProp3.xml" ContentType="application/vnd.ms-excel.controlproperti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+xml"/>
  <Override PartName="/xl/comments1.xml" ContentType="application/vnd.openxmlformats-officedocument.spreadsheetml.comment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306f00e0f65853a/Bureau/Group 19/"/>
    </mc:Choice>
  </mc:AlternateContent>
  <xr:revisionPtr revIDLastSave="0" documentId="8_{3621284B-C8C6-4F2B-8E84-B32435F7276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ver" sheetId="23" r:id="rId1"/>
    <sheet name="Football Field Chart" sheetId="15" r:id="rId2"/>
    <sheet name="Outputs" sheetId="3" r:id="rId3"/>
    <sheet name="Inputs" sheetId="4" r:id="rId4"/>
    <sheet name="Model" sheetId="5" r:id="rId5"/>
    <sheet name="Comparables" sheetId="14" r:id="rId6"/>
    <sheet name="CAPM Beta " sheetId="11" r:id="rId7"/>
    <sheet name="Assumption Origin" sheetId="6" r:id="rId8"/>
    <sheet name="Sheet2" sheetId="12" state="hidden" r:id="rId9"/>
    <sheet name="Ratios" sheetId="16" r:id="rId10"/>
    <sheet name="3-Statement Analysis" sheetId="18" r:id="rId11"/>
    <sheet name="Income Statement PBR" sheetId="20" r:id="rId12"/>
    <sheet name="Balance Sheet PBR" sheetId="21" r:id="rId13"/>
    <sheet name="Cash Flow PBR" sheetId="22" r:id="rId14"/>
  </sheets>
  <externalReferences>
    <externalReference r:id="rId15"/>
    <externalReference r:id="rId16"/>
  </externalReferences>
  <definedNames>
    <definedName name="_xlpm.a" hidden="1">#NAME?</definedName>
    <definedName name="_xlpm.d" hidden="1">#NAME?</definedName>
    <definedName name="_xlpm.idx" hidden="1">#NAME?</definedName>
    <definedName name="_xlpm.n" hidden="1">#NAME?</definedName>
    <definedName name="_xlpm.ordTxt" hidden="1">#NAME?</definedName>
    <definedName name="_xlpm.v" hidden="1">#NAME?</definedName>
    <definedName name="asd">#REF!</definedName>
    <definedName name="beta">#REF!</definedName>
    <definedName name="Book_Equity">[1]ABV!$B$28</definedName>
    <definedName name="CIQWBGuid" hidden="1">"2cd8126d-26c3-430c-b7fa-a069e3a1fc62"</definedName>
    <definedName name="CIQWBInfo">"{ ""CIQVersion"":""9.45.614.5792"" }"</definedName>
    <definedName name="Forecast">#REF!</definedName>
    <definedName name="Gross_Profit">'[2]Advanced Financial Analysis'!$9:$9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localSheetId="10">"10/01/2018 15:52:08"</definedName>
    <definedName name="IQ_NAMES_REVISION_DATE_" localSheetId="5" hidden="1">41743.6402893519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5">Comparables!$B$2:$P$18</definedName>
    <definedName name="_xlnm.Print_Area" localSheetId="1">'Football Field Chart'!$B$3:$O$28</definedName>
    <definedName name="_xlnm.Print_Area" localSheetId="3">Inputs!$B$3:$M$41,Inputs!$B$44:$M$85,Inputs!$B$88:$M$113</definedName>
    <definedName name="_xlnm.Print_Area" localSheetId="4">Model!$B$3:$Q$22,Model!$B$25:$Q$32,Model!$B$35:$Q$66,Model!$B$69:$Q$101,Model!$B$104:$O$154,Model!$B$157:$O$183,Model!$B$186:$O$225,Model!$B$228:$O$267,Model!$B$270:$Q$307,Model!$B$310:$Q$354,Model!$B$357:$Q$401</definedName>
    <definedName name="_xlnm.Print_Area" localSheetId="2">Outputs!#REF!,Outputs!$B$3:$Q$44</definedName>
    <definedName name="_xlnm.Print_Titles" localSheetId="6">'CAPM Beta '!$3:$4</definedName>
    <definedName name="Sensitivity">'[2]Advanced Financial Analysis'!$D$49</definedName>
    <definedName name="SG_A">'[2]Advanced Financial Analysis'!$11:$11</definedName>
    <definedName name="Shares_Out">#REF!</definedName>
    <definedName name="Step_1">#REF!</definedName>
    <definedName name="Step_2">#REF!</definedName>
    <definedName name="Step_3">#REF!</definedName>
    <definedName name="Step_4">#REF!</definedName>
    <definedName name="Step_5">#REF!</definedName>
    <definedName name="Step_6">#REF!</definedName>
    <definedName name="Step1">#REF!</definedName>
    <definedName name="Step2">#REF!</definedName>
    <definedName name="Step3">#REF!</definedName>
    <definedName name="Step4">#REF!</definedName>
    <definedName name="Step5">#REF!</definedName>
    <definedName name="Step6">#REF!</definedName>
    <definedName name="Tax_Rate" localSheetId="10">[1]ABV!$B$29</definedName>
    <definedName name="Tax_Rate" localSheetId="12">[1]ABV!$B$29</definedName>
    <definedName name="Tax_Rate" localSheetId="13">[1]ABV!$B$29</definedName>
    <definedName name="Tax_Rate" localSheetId="11">[1]ABV!$B$29</definedName>
    <definedName name="Tax_R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6" i="16" l="1"/>
  <c r="H67" i="16"/>
  <c r="C68" i="16"/>
  <c r="D68" i="16"/>
  <c r="E68" i="16"/>
  <c r="F68" i="16"/>
  <c r="H68" i="16" s="1"/>
  <c r="G68" i="16"/>
  <c r="C69" i="16"/>
  <c r="D69" i="16"/>
  <c r="E69" i="16"/>
  <c r="F69" i="16"/>
  <c r="G69" i="16"/>
  <c r="H69" i="16"/>
  <c r="L20" i="23"/>
  <c r="R60" i="18"/>
  <c r="L14" i="23"/>
  <c r="L16" i="23"/>
  <c r="L20" i="14"/>
  <c r="M20" i="14"/>
  <c r="N20" i="14"/>
  <c r="N19" i="14"/>
  <c r="O20" i="14"/>
  <c r="O17" i="14"/>
  <c r="D78" i="18"/>
  <c r="H33" i="18"/>
  <c r="G33" i="18"/>
  <c r="F33" i="18"/>
  <c r="E33" i="18"/>
  <c r="D33" i="18"/>
  <c r="H31" i="18"/>
  <c r="H11" i="18" s="1"/>
  <c r="G31" i="18"/>
  <c r="G11" i="18" s="1"/>
  <c r="F31" i="18"/>
  <c r="F11" i="18" s="1"/>
  <c r="E31" i="18"/>
  <c r="E11" i="18" s="1"/>
  <c r="D31" i="18"/>
  <c r="D11" i="18" s="1"/>
  <c r="H30" i="18"/>
  <c r="G30" i="18"/>
  <c r="F30" i="18"/>
  <c r="E30" i="18"/>
  <c r="D30" i="18"/>
  <c r="H27" i="18"/>
  <c r="G27" i="18"/>
  <c r="F27" i="18"/>
  <c r="E27" i="18"/>
  <c r="D27" i="18"/>
  <c r="H26" i="18"/>
  <c r="G26" i="18"/>
  <c r="F26" i="18"/>
  <c r="E26" i="18"/>
  <c r="D26" i="18"/>
  <c r="G39" i="16"/>
  <c r="F39" i="16"/>
  <c r="E39" i="16"/>
  <c r="D39" i="16"/>
  <c r="C39" i="16"/>
  <c r="G38" i="16"/>
  <c r="F38" i="16"/>
  <c r="E38" i="16"/>
  <c r="D38" i="16"/>
  <c r="C38" i="16"/>
  <c r="G37" i="16"/>
  <c r="F37" i="16"/>
  <c r="E37" i="16"/>
  <c r="D37" i="16"/>
  <c r="C37" i="16"/>
  <c r="G36" i="16"/>
  <c r="F36" i="16"/>
  <c r="E36" i="16"/>
  <c r="D36" i="16"/>
  <c r="G35" i="16"/>
  <c r="F35" i="16"/>
  <c r="E35" i="16"/>
  <c r="D35" i="16"/>
  <c r="C35" i="16"/>
  <c r="G34" i="16"/>
  <c r="F34" i="16"/>
  <c r="E34" i="16"/>
  <c r="D34" i="16"/>
  <c r="C34" i="16"/>
  <c r="G33" i="16"/>
  <c r="F33" i="16"/>
  <c r="E33" i="16"/>
  <c r="D33" i="16"/>
  <c r="C33" i="16"/>
  <c r="G32" i="16"/>
  <c r="F32" i="16"/>
  <c r="E32" i="16"/>
  <c r="D32" i="16"/>
  <c r="C32" i="16"/>
  <c r="G31" i="16"/>
  <c r="F31" i="16"/>
  <c r="E31" i="16"/>
  <c r="D31" i="16"/>
  <c r="C31" i="16"/>
  <c r="G26" i="16"/>
  <c r="F26" i="16"/>
  <c r="E26" i="16"/>
  <c r="D26" i="16"/>
  <c r="C26" i="16"/>
  <c r="G20" i="16"/>
  <c r="F20" i="16"/>
  <c r="E20" i="16"/>
  <c r="D20" i="16"/>
  <c r="C20" i="16"/>
  <c r="G19" i="16"/>
  <c r="F19" i="16"/>
  <c r="E19" i="16"/>
  <c r="D19" i="16"/>
  <c r="C19" i="16"/>
  <c r="G18" i="16"/>
  <c r="F18" i="16"/>
  <c r="E18" i="16"/>
  <c r="D18" i="16"/>
  <c r="C18" i="16"/>
  <c r="G16" i="16"/>
  <c r="F16" i="16"/>
  <c r="E16" i="16"/>
  <c r="D16" i="16"/>
  <c r="C16" i="16"/>
  <c r="G15" i="16"/>
  <c r="F15" i="16"/>
  <c r="E15" i="16"/>
  <c r="D15" i="16"/>
  <c r="C15" i="16"/>
  <c r="G10" i="16"/>
  <c r="F10" i="16"/>
  <c r="E10" i="16"/>
  <c r="D10" i="16"/>
  <c r="C10" i="16"/>
  <c r="G8" i="16"/>
  <c r="F8" i="16"/>
  <c r="E8" i="16"/>
  <c r="D8" i="16"/>
  <c r="C8" i="16"/>
  <c r="C36" i="16"/>
  <c r="P103" i="18"/>
  <c r="O103" i="18"/>
  <c r="N103" i="18"/>
  <c r="M103" i="18"/>
  <c r="L103" i="18"/>
  <c r="K103" i="18"/>
  <c r="J103" i="18"/>
  <c r="I103" i="18"/>
  <c r="H103" i="18"/>
  <c r="G103" i="18"/>
  <c r="F103" i="18"/>
  <c r="E103" i="18"/>
  <c r="D103" i="18"/>
  <c r="D104" i="18" s="1"/>
  <c r="E102" i="18" s="1"/>
  <c r="E104" i="18" s="1"/>
  <c r="F102" i="18" s="1"/>
  <c r="F104" i="18" s="1"/>
  <c r="G102" i="18" s="1"/>
  <c r="G104" i="18" s="1"/>
  <c r="H102" i="18" s="1"/>
  <c r="H104" i="18" s="1"/>
  <c r="I102" i="18" s="1"/>
  <c r="H98" i="18"/>
  <c r="G98" i="18"/>
  <c r="F98" i="18"/>
  <c r="E98" i="18"/>
  <c r="D98" i="18"/>
  <c r="D99" i="18" s="1"/>
  <c r="E96" i="18" s="1"/>
  <c r="E99" i="18" s="1"/>
  <c r="F96" i="18" s="1"/>
  <c r="F99" i="18" s="1"/>
  <c r="G96" i="18" s="1"/>
  <c r="G99" i="18" s="1"/>
  <c r="H96" i="18" s="1"/>
  <c r="H99" i="18" s="1"/>
  <c r="I96" i="18" s="1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D96" i="18"/>
  <c r="H91" i="18"/>
  <c r="G91" i="18"/>
  <c r="F91" i="18"/>
  <c r="E91" i="18"/>
  <c r="D91" i="18"/>
  <c r="H90" i="18"/>
  <c r="G90" i="18"/>
  <c r="F90" i="18"/>
  <c r="E90" i="18"/>
  <c r="D90" i="18"/>
  <c r="H89" i="18"/>
  <c r="H92" i="18" s="1"/>
  <c r="H93" i="18" s="1"/>
  <c r="G89" i="18"/>
  <c r="G92" i="18" s="1"/>
  <c r="F89" i="18"/>
  <c r="F92" i="18" s="1"/>
  <c r="E89" i="18"/>
  <c r="E92" i="18" s="1"/>
  <c r="D89" i="18"/>
  <c r="D92" i="18" s="1"/>
  <c r="D93" i="18" s="1"/>
  <c r="H78" i="18"/>
  <c r="H116" i="18" s="1"/>
  <c r="G78" i="18"/>
  <c r="G116" i="18" s="1"/>
  <c r="F78" i="18"/>
  <c r="F116" i="18" s="1"/>
  <c r="E78" i="18"/>
  <c r="E116" i="18" s="1"/>
  <c r="D116" i="18"/>
  <c r="P77" i="18"/>
  <c r="O77" i="18"/>
  <c r="N77" i="18"/>
  <c r="M77" i="18"/>
  <c r="L77" i="18"/>
  <c r="K77" i="18"/>
  <c r="J77" i="18"/>
  <c r="I77" i="18"/>
  <c r="P76" i="18"/>
  <c r="P78" i="18" s="1"/>
  <c r="P116" i="18" s="1"/>
  <c r="O76" i="18"/>
  <c r="O78" i="18" s="1"/>
  <c r="O116" i="18" s="1"/>
  <c r="N76" i="18"/>
  <c r="N78" i="18" s="1"/>
  <c r="N116" i="18" s="1"/>
  <c r="M76" i="18"/>
  <c r="M78" i="18" s="1"/>
  <c r="M116" i="18" s="1"/>
  <c r="L76" i="18"/>
  <c r="L78" i="18" s="1"/>
  <c r="L116" i="18" s="1"/>
  <c r="K76" i="18"/>
  <c r="K78" i="18" s="1"/>
  <c r="K116" i="18" s="1"/>
  <c r="J76" i="18"/>
  <c r="J78" i="18" s="1"/>
  <c r="J116" i="18" s="1"/>
  <c r="I76" i="18"/>
  <c r="I78" i="18" s="1"/>
  <c r="I116" i="18" s="1"/>
  <c r="H73" i="18"/>
  <c r="H115" i="18" s="1"/>
  <c r="G73" i="18"/>
  <c r="G115" i="18" s="1"/>
  <c r="F73" i="18"/>
  <c r="F115" i="18" s="1"/>
  <c r="E73" i="18"/>
  <c r="E115" i="18" s="1"/>
  <c r="D73" i="18"/>
  <c r="D115" i="18" s="1"/>
  <c r="P72" i="18"/>
  <c r="P73" i="18" s="1"/>
  <c r="P115" i="18" s="1"/>
  <c r="O72" i="18"/>
  <c r="O73" i="18" s="1"/>
  <c r="O115" i="18" s="1"/>
  <c r="N72" i="18"/>
  <c r="N73" i="18" s="1"/>
  <c r="N115" i="18" s="1"/>
  <c r="M72" i="18"/>
  <c r="M73" i="18" s="1"/>
  <c r="M115" i="18" s="1"/>
  <c r="L72" i="18"/>
  <c r="L73" i="18" s="1"/>
  <c r="L115" i="18" s="1"/>
  <c r="K72" i="18"/>
  <c r="K73" i="18" s="1"/>
  <c r="K115" i="18" s="1"/>
  <c r="J72" i="18"/>
  <c r="J73" i="18" s="1"/>
  <c r="J115" i="18" s="1"/>
  <c r="I72" i="18"/>
  <c r="I73" i="18" s="1"/>
  <c r="I115" i="18" s="1"/>
  <c r="H69" i="18"/>
  <c r="G69" i="18"/>
  <c r="F69" i="18"/>
  <c r="E69" i="18"/>
  <c r="D69" i="18"/>
  <c r="H57" i="18"/>
  <c r="G57" i="18"/>
  <c r="F57" i="18"/>
  <c r="E57" i="18"/>
  <c r="D57" i="18"/>
  <c r="I55" i="18"/>
  <c r="H53" i="18"/>
  <c r="H58" i="18" s="1"/>
  <c r="H60" i="18" s="1"/>
  <c r="H3" i="18" s="1"/>
  <c r="G53" i="18"/>
  <c r="G58" i="18" s="1"/>
  <c r="G60" i="18" s="1"/>
  <c r="G3" i="18" s="1"/>
  <c r="F53" i="18"/>
  <c r="F58" i="18" s="1"/>
  <c r="F60" i="18" s="1"/>
  <c r="F3" i="18" s="1"/>
  <c r="E53" i="18"/>
  <c r="E58" i="18" s="1"/>
  <c r="E60" i="18" s="1"/>
  <c r="E3" i="18" s="1"/>
  <c r="D53" i="18"/>
  <c r="D58" i="18" s="1"/>
  <c r="D60" i="18" s="1"/>
  <c r="D3" i="18" s="1"/>
  <c r="H48" i="18"/>
  <c r="G48" i="18"/>
  <c r="F48" i="18"/>
  <c r="E48" i="18"/>
  <c r="D48" i="18"/>
  <c r="P31" i="18"/>
  <c r="O31" i="18"/>
  <c r="N31" i="18"/>
  <c r="M31" i="18"/>
  <c r="L31" i="18"/>
  <c r="K31" i="18"/>
  <c r="J31" i="18"/>
  <c r="I31" i="18"/>
  <c r="H20" i="18"/>
  <c r="G20" i="18"/>
  <c r="F20" i="18"/>
  <c r="E20" i="18"/>
  <c r="D20" i="18"/>
  <c r="H19" i="18"/>
  <c r="G19" i="18"/>
  <c r="F19" i="18"/>
  <c r="E19" i="18"/>
  <c r="D19" i="18"/>
  <c r="H18" i="18"/>
  <c r="G18" i="18"/>
  <c r="F18" i="18"/>
  <c r="E18" i="18"/>
  <c r="D18" i="18"/>
  <c r="H12" i="18"/>
  <c r="G12" i="18"/>
  <c r="F12" i="18"/>
  <c r="E12" i="18"/>
  <c r="D12" i="18"/>
  <c r="E2" i="18"/>
  <c r="F2" i="18" s="1"/>
  <c r="G2" i="18" s="1"/>
  <c r="H2" i="18" s="1"/>
  <c r="I2" i="18" s="1"/>
  <c r="J2" i="18" s="1"/>
  <c r="K2" i="18" s="1"/>
  <c r="L2" i="18" s="1"/>
  <c r="M2" i="18" s="1"/>
  <c r="N2" i="18" s="1"/>
  <c r="O2" i="18" s="1"/>
  <c r="P2" i="18" s="1"/>
  <c r="G25" i="16"/>
  <c r="F25" i="16"/>
  <c r="E25" i="16"/>
  <c r="D25" i="16"/>
  <c r="C25" i="16"/>
  <c r="D7" i="16"/>
  <c r="E7" i="16" s="1"/>
  <c r="F7" i="16" s="1"/>
  <c r="G7" i="16" s="1"/>
  <c r="M19" i="14"/>
  <c r="O19" i="14"/>
  <c r="L19" i="14"/>
  <c r="L18" i="14"/>
  <c r="AD23" i="11"/>
  <c r="H33" i="6"/>
  <c r="O396" i="5"/>
  <c r="S381" i="5"/>
  <c r="S374" i="5"/>
  <c r="R370" i="5"/>
  <c r="R362" i="5"/>
  <c r="R374" i="5" s="1"/>
  <c r="S362" i="5"/>
  <c r="R363" i="5"/>
  <c r="R381" i="5" s="1"/>
  <c r="S363" i="5"/>
  <c r="Q370" i="5"/>
  <c r="Q374" i="5"/>
  <c r="Q381" i="5"/>
  <c r="R330" i="5"/>
  <c r="S334" i="5"/>
  <c r="S327" i="5"/>
  <c r="S80" i="5"/>
  <c r="S81" i="5"/>
  <c r="S82" i="5"/>
  <c r="S74" i="5"/>
  <c r="S294" i="5"/>
  <c r="S295" i="5"/>
  <c r="P362" i="5"/>
  <c r="Q362" i="5"/>
  <c r="P363" i="5"/>
  <c r="Q363" i="5" s="1"/>
  <c r="G13" i="16" l="1"/>
  <c r="G49" i="16"/>
  <c r="E13" i="16"/>
  <c r="E57" i="16" s="1"/>
  <c r="F13" i="16"/>
  <c r="E49" i="16"/>
  <c r="D49" i="16"/>
  <c r="G55" i="16"/>
  <c r="E46" i="16"/>
  <c r="E55" i="16"/>
  <c r="F46" i="16"/>
  <c r="G46" i="16"/>
  <c r="D55" i="16"/>
  <c r="F55" i="16"/>
  <c r="D46" i="16"/>
  <c r="G40" i="16"/>
  <c r="F40" i="16"/>
  <c r="E40" i="16"/>
  <c r="D40" i="16"/>
  <c r="C40" i="16"/>
  <c r="G41" i="16"/>
  <c r="G56" i="16"/>
  <c r="F49" i="16"/>
  <c r="I105" i="18"/>
  <c r="I33" i="18" s="1"/>
  <c r="I104" i="18"/>
  <c r="J102" i="18" s="1"/>
  <c r="I98" i="18"/>
  <c r="H114" i="18"/>
  <c r="H80" i="18"/>
  <c r="G80" i="18"/>
  <c r="G114" i="18"/>
  <c r="F114" i="18"/>
  <c r="F80" i="18"/>
  <c r="E80" i="18"/>
  <c r="E114" i="18"/>
  <c r="D80" i="18"/>
  <c r="D82" i="18" s="1"/>
  <c r="E81" i="18" s="1"/>
  <c r="D114" i="18"/>
  <c r="J55" i="18"/>
  <c r="H13" i="18"/>
  <c r="H105" i="18"/>
  <c r="G105" i="18"/>
  <c r="G13" i="18"/>
  <c r="F105" i="18"/>
  <c r="F13" i="18"/>
  <c r="E105" i="18"/>
  <c r="E13" i="18"/>
  <c r="D13" i="18"/>
  <c r="D105" i="18"/>
  <c r="H34" i="18"/>
  <c r="H10" i="18"/>
  <c r="G34" i="18"/>
  <c r="G10" i="18"/>
  <c r="F10" i="18"/>
  <c r="F34" i="18"/>
  <c r="E10" i="18"/>
  <c r="E34" i="18"/>
  <c r="D10" i="18"/>
  <c r="D34" i="18"/>
  <c r="H9" i="18"/>
  <c r="H16" i="18"/>
  <c r="H17" i="18"/>
  <c r="G17" i="18"/>
  <c r="G9" i="18"/>
  <c r="G16" i="18"/>
  <c r="F9" i="18"/>
  <c r="F16" i="18"/>
  <c r="F17" i="18"/>
  <c r="E16" i="18"/>
  <c r="E17" i="18"/>
  <c r="E9" i="18"/>
  <c r="D16" i="18"/>
  <c r="D17" i="18"/>
  <c r="D9" i="18"/>
  <c r="I26" i="18"/>
  <c r="H15" i="18"/>
  <c r="H8" i="18"/>
  <c r="H28" i="18"/>
  <c r="H111" i="18"/>
  <c r="G15" i="18"/>
  <c r="G8" i="18"/>
  <c r="G28" i="18"/>
  <c r="G111" i="18"/>
  <c r="F15" i="18"/>
  <c r="F8" i="18"/>
  <c r="F28" i="18"/>
  <c r="F111" i="18"/>
  <c r="E15" i="18"/>
  <c r="E28" i="18"/>
  <c r="E111" i="18"/>
  <c r="E8" i="18"/>
  <c r="D15" i="18"/>
  <c r="D28" i="18"/>
  <c r="D111" i="18"/>
  <c r="G93" i="18"/>
  <c r="E93" i="18"/>
  <c r="F93" i="18"/>
  <c r="F41" i="16"/>
  <c r="F56" i="16"/>
  <c r="E41" i="16"/>
  <c r="E56" i="16"/>
  <c r="D41" i="16"/>
  <c r="D56" i="16"/>
  <c r="C41" i="16"/>
  <c r="C56" i="16"/>
  <c r="C55" i="16"/>
  <c r="H55" i="16" s="1"/>
  <c r="G44" i="16"/>
  <c r="G45" i="16"/>
  <c r="F45" i="16"/>
  <c r="F44" i="16"/>
  <c r="E45" i="16"/>
  <c r="E44" i="16"/>
  <c r="D44" i="16"/>
  <c r="D45" i="16"/>
  <c r="C44" i="16"/>
  <c r="C45" i="16"/>
  <c r="C46" i="16"/>
  <c r="G27" i="16"/>
  <c r="F27" i="16"/>
  <c r="E27" i="16"/>
  <c r="D27" i="16"/>
  <c r="C27" i="16"/>
  <c r="G22" i="16"/>
  <c r="G63" i="16"/>
  <c r="G61" i="16"/>
  <c r="G62" i="16"/>
  <c r="G21" i="16"/>
  <c r="F63" i="16"/>
  <c r="F21" i="16"/>
  <c r="F62" i="16"/>
  <c r="F61" i="16"/>
  <c r="F22" i="16"/>
  <c r="E61" i="16"/>
  <c r="E62" i="16"/>
  <c r="E21" i="16"/>
  <c r="E63" i="16"/>
  <c r="E22" i="16"/>
  <c r="D62" i="16"/>
  <c r="D22" i="16"/>
  <c r="D63" i="16"/>
  <c r="D21" i="16"/>
  <c r="D61" i="16"/>
  <c r="C61" i="16"/>
  <c r="C22" i="16"/>
  <c r="C62" i="16"/>
  <c r="C63" i="16"/>
  <c r="H63" i="16" s="1"/>
  <c r="G17" i="16"/>
  <c r="G58" i="16"/>
  <c r="F17" i="16"/>
  <c r="F58" i="16"/>
  <c r="E58" i="16"/>
  <c r="E17" i="16"/>
  <c r="D58" i="16"/>
  <c r="D13" i="16"/>
  <c r="D17" i="16"/>
  <c r="C58" i="16"/>
  <c r="C13" i="16"/>
  <c r="C17" i="16"/>
  <c r="G14" i="16"/>
  <c r="G57" i="16"/>
  <c r="F14" i="16"/>
  <c r="F57" i="16"/>
  <c r="E14" i="16"/>
  <c r="C49" i="16"/>
  <c r="G11" i="16"/>
  <c r="G12" i="16" s="1"/>
  <c r="G52" i="16"/>
  <c r="G51" i="16"/>
  <c r="G50" i="16"/>
  <c r="G9" i="16"/>
  <c r="F9" i="16"/>
  <c r="F11" i="16"/>
  <c r="F12" i="16" s="1"/>
  <c r="F52" i="16"/>
  <c r="F51" i="16"/>
  <c r="F50" i="16"/>
  <c r="E11" i="16"/>
  <c r="E12" i="16" s="1"/>
  <c r="E52" i="16"/>
  <c r="E51" i="16"/>
  <c r="E9" i="16"/>
  <c r="E50" i="16"/>
  <c r="D9" i="16"/>
  <c r="D50" i="16"/>
  <c r="D51" i="16"/>
  <c r="D11" i="16"/>
  <c r="D12" i="16" s="1"/>
  <c r="D52" i="16"/>
  <c r="C52" i="16"/>
  <c r="H52" i="16" s="1"/>
  <c r="C51" i="16"/>
  <c r="C11" i="16"/>
  <c r="C50" i="16"/>
  <c r="Q377" i="5"/>
  <c r="H51" i="16" l="1"/>
  <c r="H44" i="16"/>
  <c r="H62" i="16"/>
  <c r="H56" i="16"/>
  <c r="H50" i="16"/>
  <c r="H49" i="16"/>
  <c r="H46" i="16"/>
  <c r="H61" i="16"/>
  <c r="H58" i="16"/>
  <c r="H45" i="16"/>
  <c r="J104" i="18"/>
  <c r="K102" i="18" s="1"/>
  <c r="J105" i="18"/>
  <c r="J33" i="18" s="1"/>
  <c r="K55" i="18"/>
  <c r="I45" i="18"/>
  <c r="I89" i="18" s="1"/>
  <c r="J26" i="18"/>
  <c r="I111" i="18"/>
  <c r="I27" i="18"/>
  <c r="I28" i="18" s="1"/>
  <c r="I30" i="18"/>
  <c r="I34" i="18" s="1"/>
  <c r="H35" i="18"/>
  <c r="H112" i="18"/>
  <c r="G35" i="18"/>
  <c r="G112" i="18"/>
  <c r="F35" i="18"/>
  <c r="F112" i="18"/>
  <c r="E35" i="18"/>
  <c r="E112" i="18"/>
  <c r="D35" i="18"/>
  <c r="D112" i="18"/>
  <c r="E82" i="18"/>
  <c r="F81" i="18" s="1"/>
  <c r="F82" i="18" s="1"/>
  <c r="G81" i="18" s="1"/>
  <c r="G82" i="18" s="1"/>
  <c r="H81" i="18" s="1"/>
  <c r="H82" i="18" s="1"/>
  <c r="I81" i="18" s="1"/>
  <c r="I67" i="18"/>
  <c r="I32" i="18" s="1"/>
  <c r="I99" i="18"/>
  <c r="G28" i="16"/>
  <c r="F28" i="16"/>
  <c r="E28" i="16"/>
  <c r="D28" i="16"/>
  <c r="D14" i="16"/>
  <c r="D57" i="16"/>
  <c r="C14" i="16"/>
  <c r="C57" i="16"/>
  <c r="H57" i="16" s="1"/>
  <c r="C12" i="16"/>
  <c r="G13" i="4"/>
  <c r="H13" i="4"/>
  <c r="I13" i="4"/>
  <c r="J13" i="4"/>
  <c r="K13" i="4"/>
  <c r="L13" i="4"/>
  <c r="M13" i="4"/>
  <c r="N13" i="4"/>
  <c r="O13" i="4"/>
  <c r="F108" i="4"/>
  <c r="C362" i="5" s="1"/>
  <c r="G33" i="6"/>
  <c r="K104" i="18" l="1"/>
  <c r="L102" i="18" s="1"/>
  <c r="K105" i="18"/>
  <c r="K33" i="18" s="1"/>
  <c r="L55" i="18"/>
  <c r="I35" i="18"/>
  <c r="I112" i="18"/>
  <c r="J27" i="18"/>
  <c r="J30" i="18"/>
  <c r="J111" i="18"/>
  <c r="K26" i="18"/>
  <c r="J28" i="18"/>
  <c r="J45" i="18"/>
  <c r="J89" i="18" s="1"/>
  <c r="I46" i="18"/>
  <c r="I90" i="18" s="1"/>
  <c r="I51" i="18"/>
  <c r="H38" i="18"/>
  <c r="H14" i="18"/>
  <c r="G38" i="18"/>
  <c r="G14" i="18"/>
  <c r="F38" i="18"/>
  <c r="F14" i="18"/>
  <c r="E38" i="18"/>
  <c r="E14" i="18"/>
  <c r="D38" i="18"/>
  <c r="D14" i="18"/>
  <c r="J96" i="18"/>
  <c r="I47" i="18"/>
  <c r="C28" i="16"/>
  <c r="G39" i="15"/>
  <c r="L28" i="14"/>
  <c r="L29" i="14"/>
  <c r="L30" i="14"/>
  <c r="G30" i="14"/>
  <c r="G28" i="14"/>
  <c r="G29" i="14"/>
  <c r="C30" i="14"/>
  <c r="C29" i="14"/>
  <c r="C28" i="14"/>
  <c r="C27" i="14"/>
  <c r="G27" i="14" s="1"/>
  <c r="L27" i="14" s="1"/>
  <c r="C23" i="14"/>
  <c r="C22" i="14"/>
  <c r="O15" i="14"/>
  <c r="N13" i="14"/>
  <c r="N14" i="14"/>
  <c r="O14" i="14"/>
  <c r="M14" i="14"/>
  <c r="L14" i="14"/>
  <c r="O13" i="14"/>
  <c r="M13" i="14"/>
  <c r="L13" i="14"/>
  <c r="N12" i="14"/>
  <c r="O12" i="14"/>
  <c r="M12" i="14"/>
  <c r="L12" i="14"/>
  <c r="N11" i="14"/>
  <c r="O11" i="14"/>
  <c r="M11" i="14"/>
  <c r="L11" i="14"/>
  <c r="L10" i="14"/>
  <c r="M10" i="14"/>
  <c r="M18" i="14" s="1"/>
  <c r="N10" i="14"/>
  <c r="O10" i="14"/>
  <c r="L15" i="14"/>
  <c r="M15" i="14"/>
  <c r="N15" i="14"/>
  <c r="L8" i="14"/>
  <c r="M8" i="14"/>
  <c r="N8" i="14"/>
  <c r="O8" i="14"/>
  <c r="L9" i="14"/>
  <c r="M9" i="14"/>
  <c r="N9" i="14"/>
  <c r="O9" i="14"/>
  <c r="O18" i="14"/>
  <c r="L104" i="18" l="1"/>
  <c r="M102" i="18" s="1"/>
  <c r="L105" i="18"/>
  <c r="L33" i="18" s="1"/>
  <c r="M55" i="18"/>
  <c r="I37" i="18"/>
  <c r="I38" i="18" s="1"/>
  <c r="J51" i="18"/>
  <c r="J46" i="18"/>
  <c r="J90" i="18" s="1"/>
  <c r="L26" i="18"/>
  <c r="K27" i="18"/>
  <c r="K28" i="18"/>
  <c r="K30" i="18"/>
  <c r="K45" i="18"/>
  <c r="K89" i="18" s="1"/>
  <c r="K111" i="18"/>
  <c r="J112" i="18"/>
  <c r="I53" i="18"/>
  <c r="I91" i="18"/>
  <c r="I92" i="18" s="1"/>
  <c r="I93" i="18" s="1"/>
  <c r="I68" i="18" s="1"/>
  <c r="J98" i="18"/>
  <c r="J67" i="18" s="1"/>
  <c r="J32" i="18" s="1"/>
  <c r="J34" i="18" s="1"/>
  <c r="J35" i="18" s="1"/>
  <c r="J99" i="18"/>
  <c r="L31" i="14"/>
  <c r="E39" i="15"/>
  <c r="F39" i="15"/>
  <c r="N17" i="14"/>
  <c r="M17" i="14"/>
  <c r="N18" i="14"/>
  <c r="L17" i="14"/>
  <c r="M104" i="18" l="1"/>
  <c r="N102" i="18" s="1"/>
  <c r="M105" i="18"/>
  <c r="M33" i="18" s="1"/>
  <c r="N55" i="18"/>
  <c r="I56" i="18"/>
  <c r="I66" i="18"/>
  <c r="I69" i="18" s="1"/>
  <c r="J53" i="18"/>
  <c r="J91" i="18"/>
  <c r="J92" i="18" s="1"/>
  <c r="J93" i="18" s="1"/>
  <c r="J68" i="18" s="1"/>
  <c r="L30" i="18"/>
  <c r="M26" i="18"/>
  <c r="L45" i="18"/>
  <c r="L89" i="18" s="1"/>
  <c r="L111" i="18"/>
  <c r="L27" i="18"/>
  <c r="L28" i="18" s="1"/>
  <c r="K46" i="18"/>
  <c r="K90" i="18" s="1"/>
  <c r="K51" i="18"/>
  <c r="K112" i="18"/>
  <c r="J37" i="18"/>
  <c r="J38" i="18" s="1"/>
  <c r="J66" i="18" s="1"/>
  <c r="J69" i="18" s="1"/>
  <c r="J47" i="18"/>
  <c r="K96" i="18"/>
  <c r="E4" i="12"/>
  <c r="D4" i="12"/>
  <c r="F4" i="12"/>
  <c r="G4" i="12"/>
  <c r="H4" i="12"/>
  <c r="C4" i="12"/>
  <c r="N104" i="18" l="1"/>
  <c r="O102" i="18" s="1"/>
  <c r="N105" i="18"/>
  <c r="N33" i="18" s="1"/>
  <c r="O55" i="18"/>
  <c r="I57" i="18"/>
  <c r="I58" i="18" s="1"/>
  <c r="J56" i="18"/>
  <c r="I80" i="18"/>
  <c r="I82" i="18" s="1"/>
  <c r="I114" i="18"/>
  <c r="M30" i="18"/>
  <c r="M45" i="18"/>
  <c r="M89" i="18" s="1"/>
  <c r="M111" i="18"/>
  <c r="N26" i="18"/>
  <c r="M27" i="18"/>
  <c r="M28" i="18" s="1"/>
  <c r="L112" i="18"/>
  <c r="L51" i="18"/>
  <c r="L46" i="18"/>
  <c r="L90" i="18" s="1"/>
  <c r="K91" i="18"/>
  <c r="K92" i="18" s="1"/>
  <c r="K93" i="18" s="1"/>
  <c r="K68" i="18" s="1"/>
  <c r="K53" i="18"/>
  <c r="J80" i="18"/>
  <c r="J114" i="18"/>
  <c r="K98" i="18"/>
  <c r="O104" i="18" l="1"/>
  <c r="P102" i="18" s="1"/>
  <c r="O105" i="18"/>
  <c r="O33" i="18" s="1"/>
  <c r="P55" i="18"/>
  <c r="J57" i="18"/>
  <c r="J58" i="18" s="1"/>
  <c r="I44" i="18"/>
  <c r="I48" i="18" s="1"/>
  <c r="I60" i="18" s="1"/>
  <c r="I3" i="18" s="1"/>
  <c r="J81" i="18"/>
  <c r="J82" i="18" s="1"/>
  <c r="O26" i="18"/>
  <c r="N30" i="18"/>
  <c r="N45" i="18"/>
  <c r="N89" i="18" s="1"/>
  <c r="N27" i="18"/>
  <c r="N28" i="18" s="1"/>
  <c r="N111" i="18"/>
  <c r="M51" i="18"/>
  <c r="M46" i="18"/>
  <c r="M90" i="18" s="1"/>
  <c r="M112" i="18"/>
  <c r="L91" i="18"/>
  <c r="L92" i="18" s="1"/>
  <c r="L93" i="18" s="1"/>
  <c r="L68" i="18" s="1"/>
  <c r="L53" i="18"/>
  <c r="K67" i="18"/>
  <c r="K32" i="18" s="1"/>
  <c r="K34" i="18" s="1"/>
  <c r="K35" i="18" s="1"/>
  <c r="K99" i="18"/>
  <c r="P104" i="18" l="1"/>
  <c r="P105" i="18"/>
  <c r="P33" i="18" s="1"/>
  <c r="O27" i="18"/>
  <c r="O28" i="18" s="1"/>
  <c r="O30" i="18"/>
  <c r="O45" i="18"/>
  <c r="O89" i="18" s="1"/>
  <c r="P26" i="18"/>
  <c r="O111" i="18"/>
  <c r="N112" i="18"/>
  <c r="N46" i="18"/>
  <c r="N90" i="18" s="1"/>
  <c r="N51" i="18"/>
  <c r="M53" i="18"/>
  <c r="M91" i="18"/>
  <c r="M92" i="18" s="1"/>
  <c r="M93" i="18" s="1"/>
  <c r="M68" i="18" s="1"/>
  <c r="K37" i="18"/>
  <c r="K38" i="18" s="1"/>
  <c r="L96" i="18"/>
  <c r="K47" i="18"/>
  <c r="J44" i="18"/>
  <c r="J48" i="18" s="1"/>
  <c r="J60" i="18" s="1"/>
  <c r="J3" i="18" s="1"/>
  <c r="K81" i="18"/>
  <c r="L65" i="4"/>
  <c r="L63" i="4" a="1"/>
  <c r="L63" i="4" s="1"/>
  <c r="L66" i="4" s="1"/>
  <c r="F65" i="4"/>
  <c r="F63" i="4" a="1"/>
  <c r="F63" i="4" s="1"/>
  <c r="Y319" i="11"/>
  <c r="X319" i="11"/>
  <c r="W319" i="11"/>
  <c r="Y318" i="11"/>
  <c r="X318" i="11"/>
  <c r="W318" i="11"/>
  <c r="Y317" i="11"/>
  <c r="X317" i="11"/>
  <c r="W317" i="11"/>
  <c r="Y316" i="11"/>
  <c r="X316" i="11"/>
  <c r="W316" i="11"/>
  <c r="Y315" i="11"/>
  <c r="X315" i="11"/>
  <c r="W315" i="11"/>
  <c r="Y314" i="11"/>
  <c r="X314" i="11"/>
  <c r="W314" i="11"/>
  <c r="Y313" i="11"/>
  <c r="X313" i="11"/>
  <c r="W313" i="11"/>
  <c r="Y312" i="11"/>
  <c r="X312" i="11"/>
  <c r="W312" i="11"/>
  <c r="Y311" i="11"/>
  <c r="X311" i="11"/>
  <c r="W311" i="11"/>
  <c r="Y310" i="11"/>
  <c r="X310" i="11"/>
  <c r="W310" i="11"/>
  <c r="Y309" i="11"/>
  <c r="X309" i="11"/>
  <c r="W309" i="11"/>
  <c r="Y308" i="11"/>
  <c r="X308" i="11"/>
  <c r="W308" i="11"/>
  <c r="Y307" i="11"/>
  <c r="X307" i="11"/>
  <c r="W307" i="11"/>
  <c r="Y306" i="11"/>
  <c r="X306" i="11"/>
  <c r="W306" i="11"/>
  <c r="Y305" i="11"/>
  <c r="X305" i="11"/>
  <c r="W305" i="11"/>
  <c r="Y304" i="11"/>
  <c r="X304" i="11"/>
  <c r="W304" i="11"/>
  <c r="Y303" i="11"/>
  <c r="X303" i="11"/>
  <c r="W303" i="11"/>
  <c r="Y302" i="11"/>
  <c r="X302" i="11"/>
  <c r="W302" i="11"/>
  <c r="Y301" i="11"/>
  <c r="X301" i="11"/>
  <c r="W301" i="11"/>
  <c r="Y300" i="11"/>
  <c r="X300" i="11"/>
  <c r="W300" i="11"/>
  <c r="Y299" i="11"/>
  <c r="X299" i="11"/>
  <c r="W299" i="11"/>
  <c r="Y298" i="11"/>
  <c r="X298" i="11"/>
  <c r="W298" i="11"/>
  <c r="Y297" i="11"/>
  <c r="X297" i="11"/>
  <c r="W297" i="11"/>
  <c r="Y296" i="11"/>
  <c r="X296" i="11"/>
  <c r="W296" i="11"/>
  <c r="Y295" i="11"/>
  <c r="X295" i="11"/>
  <c r="W295" i="11"/>
  <c r="Y294" i="11"/>
  <c r="X294" i="11"/>
  <c r="W294" i="11"/>
  <c r="Y293" i="11"/>
  <c r="X293" i="11"/>
  <c r="W293" i="11"/>
  <c r="Y292" i="11"/>
  <c r="X292" i="11"/>
  <c r="W292" i="11"/>
  <c r="Y291" i="11"/>
  <c r="X291" i="11"/>
  <c r="W291" i="11"/>
  <c r="Y290" i="11"/>
  <c r="X290" i="11"/>
  <c r="W290" i="11"/>
  <c r="Y289" i="11"/>
  <c r="X289" i="11"/>
  <c r="W289" i="11"/>
  <c r="Y288" i="11"/>
  <c r="X288" i="11"/>
  <c r="W288" i="11"/>
  <c r="Y287" i="11"/>
  <c r="X287" i="11"/>
  <c r="W287" i="11"/>
  <c r="Y286" i="11"/>
  <c r="X286" i="11"/>
  <c r="W286" i="11"/>
  <c r="Y285" i="11"/>
  <c r="X285" i="11"/>
  <c r="W285" i="11"/>
  <c r="Y284" i="11"/>
  <c r="X284" i="11"/>
  <c r="W284" i="11"/>
  <c r="Y283" i="11"/>
  <c r="X283" i="11"/>
  <c r="W283" i="11"/>
  <c r="Y282" i="11"/>
  <c r="X282" i="11"/>
  <c r="W282" i="11"/>
  <c r="Y281" i="11"/>
  <c r="X281" i="11"/>
  <c r="W281" i="11"/>
  <c r="Y280" i="11"/>
  <c r="X280" i="11"/>
  <c r="W280" i="11"/>
  <c r="Y279" i="11"/>
  <c r="X279" i="11"/>
  <c r="W279" i="11"/>
  <c r="Y278" i="11"/>
  <c r="X278" i="11"/>
  <c r="W278" i="11"/>
  <c r="Y277" i="11"/>
  <c r="X277" i="11"/>
  <c r="W277" i="11"/>
  <c r="Y276" i="11"/>
  <c r="X276" i="11"/>
  <c r="W276" i="11"/>
  <c r="Y275" i="11"/>
  <c r="X275" i="11"/>
  <c r="W275" i="11"/>
  <c r="Y274" i="11"/>
  <c r="X274" i="11"/>
  <c r="W274" i="11"/>
  <c r="Y273" i="11"/>
  <c r="X273" i="11"/>
  <c r="W273" i="11"/>
  <c r="Y272" i="11"/>
  <c r="X272" i="11"/>
  <c r="W272" i="11"/>
  <c r="Y271" i="11"/>
  <c r="X271" i="11"/>
  <c r="W271" i="11"/>
  <c r="Y270" i="11"/>
  <c r="X270" i="11"/>
  <c r="W270" i="11"/>
  <c r="Y269" i="11"/>
  <c r="X269" i="11"/>
  <c r="W269" i="11"/>
  <c r="Y268" i="11"/>
  <c r="X268" i="11"/>
  <c r="W268" i="11"/>
  <c r="Y267" i="11"/>
  <c r="X267" i="11"/>
  <c r="W267" i="11"/>
  <c r="Y266" i="11"/>
  <c r="X266" i="11"/>
  <c r="W266" i="11"/>
  <c r="Y265" i="11"/>
  <c r="X265" i="11"/>
  <c r="W265" i="11"/>
  <c r="Y264" i="11"/>
  <c r="X264" i="11"/>
  <c r="W264" i="11"/>
  <c r="Y263" i="11"/>
  <c r="X263" i="11"/>
  <c r="W263" i="11"/>
  <c r="Y262" i="11"/>
  <c r="X262" i="11"/>
  <c r="W262" i="11"/>
  <c r="Y261" i="11"/>
  <c r="X261" i="11"/>
  <c r="W261" i="11"/>
  <c r="Y260" i="11"/>
  <c r="X260" i="11"/>
  <c r="W260" i="11"/>
  <c r="Y259" i="11"/>
  <c r="X259" i="11"/>
  <c r="W259" i="11"/>
  <c r="Y258" i="11"/>
  <c r="X258" i="11"/>
  <c r="W258" i="11"/>
  <c r="Y257" i="11"/>
  <c r="X257" i="11"/>
  <c r="W257" i="11"/>
  <c r="Y256" i="11"/>
  <c r="X256" i="11"/>
  <c r="W256" i="11"/>
  <c r="Y255" i="11"/>
  <c r="X255" i="11"/>
  <c r="W255" i="11"/>
  <c r="Y254" i="11"/>
  <c r="X254" i="11"/>
  <c r="W254" i="11"/>
  <c r="Y253" i="11"/>
  <c r="X253" i="11"/>
  <c r="W253" i="11"/>
  <c r="Y252" i="11"/>
  <c r="X252" i="11"/>
  <c r="W252" i="11"/>
  <c r="Y251" i="11"/>
  <c r="X251" i="11"/>
  <c r="W251" i="11"/>
  <c r="Y250" i="11"/>
  <c r="X250" i="11"/>
  <c r="W250" i="11"/>
  <c r="Y249" i="11"/>
  <c r="X249" i="11"/>
  <c r="W249" i="11"/>
  <c r="Y248" i="11"/>
  <c r="X248" i="11"/>
  <c r="W248" i="11"/>
  <c r="Y247" i="11"/>
  <c r="X247" i="11"/>
  <c r="W247" i="11"/>
  <c r="Y246" i="11"/>
  <c r="X246" i="11"/>
  <c r="W246" i="11"/>
  <c r="Y245" i="11"/>
  <c r="X245" i="11"/>
  <c r="W245" i="11"/>
  <c r="Y244" i="11"/>
  <c r="X244" i="11"/>
  <c r="W244" i="11"/>
  <c r="Y243" i="11"/>
  <c r="X243" i="11"/>
  <c r="W243" i="11"/>
  <c r="Y242" i="11"/>
  <c r="X242" i="11"/>
  <c r="W242" i="11"/>
  <c r="Y241" i="11"/>
  <c r="X241" i="11"/>
  <c r="W241" i="11"/>
  <c r="Y240" i="11"/>
  <c r="X240" i="11"/>
  <c r="W240" i="11"/>
  <c r="Y239" i="11"/>
  <c r="X239" i="11"/>
  <c r="W239" i="11"/>
  <c r="Y238" i="11"/>
  <c r="X238" i="11"/>
  <c r="W238" i="11"/>
  <c r="Y237" i="11"/>
  <c r="X237" i="11"/>
  <c r="W237" i="11"/>
  <c r="Y236" i="11"/>
  <c r="X236" i="11"/>
  <c r="W236" i="11"/>
  <c r="Y235" i="11"/>
  <c r="X235" i="11"/>
  <c r="W235" i="11"/>
  <c r="Y234" i="11"/>
  <c r="X234" i="11"/>
  <c r="W234" i="11"/>
  <c r="Y233" i="11"/>
  <c r="X233" i="11"/>
  <c r="W233" i="11"/>
  <c r="Y232" i="11"/>
  <c r="X232" i="11"/>
  <c r="W232" i="11"/>
  <c r="Y231" i="11"/>
  <c r="X231" i="11"/>
  <c r="W231" i="11"/>
  <c r="Y230" i="11"/>
  <c r="X230" i="11"/>
  <c r="W230" i="11"/>
  <c r="Y229" i="11"/>
  <c r="X229" i="11"/>
  <c r="W229" i="11"/>
  <c r="Y228" i="11"/>
  <c r="X228" i="11"/>
  <c r="W228" i="11"/>
  <c r="Y227" i="11"/>
  <c r="X227" i="11"/>
  <c r="W227" i="11"/>
  <c r="Y226" i="11"/>
  <c r="X226" i="11"/>
  <c r="W226" i="11"/>
  <c r="Y225" i="11"/>
  <c r="X225" i="11"/>
  <c r="W225" i="11"/>
  <c r="Y224" i="11"/>
  <c r="X224" i="11"/>
  <c r="W224" i="11"/>
  <c r="Y223" i="11"/>
  <c r="X223" i="11"/>
  <c r="W223" i="11"/>
  <c r="Y222" i="11"/>
  <c r="X222" i="11"/>
  <c r="W222" i="11"/>
  <c r="Y221" i="11"/>
  <c r="X221" i="11"/>
  <c r="W221" i="11"/>
  <c r="Y220" i="11"/>
  <c r="X220" i="11"/>
  <c r="W220" i="11"/>
  <c r="Y219" i="11"/>
  <c r="X219" i="11"/>
  <c r="W219" i="11"/>
  <c r="Y218" i="11"/>
  <c r="X218" i="11"/>
  <c r="W218" i="11"/>
  <c r="Y217" i="11"/>
  <c r="X217" i="11"/>
  <c r="W217" i="11"/>
  <c r="Y216" i="11"/>
  <c r="X216" i="11"/>
  <c r="W216" i="11"/>
  <c r="Y215" i="11"/>
  <c r="X215" i="11"/>
  <c r="W215" i="11"/>
  <c r="Y214" i="11"/>
  <c r="X214" i="11"/>
  <c r="W214" i="11"/>
  <c r="Y213" i="11"/>
  <c r="X213" i="11"/>
  <c r="W213" i="11"/>
  <c r="Y212" i="11"/>
  <c r="X212" i="11"/>
  <c r="W212" i="11"/>
  <c r="Y211" i="11"/>
  <c r="X211" i="11"/>
  <c r="W211" i="11"/>
  <c r="Y210" i="11"/>
  <c r="X210" i="11"/>
  <c r="W210" i="11"/>
  <c r="Y209" i="11"/>
  <c r="X209" i="11"/>
  <c r="W209" i="11"/>
  <c r="Y208" i="11"/>
  <c r="X208" i="11"/>
  <c r="W208" i="11"/>
  <c r="Y207" i="11"/>
  <c r="X207" i="11"/>
  <c r="W207" i="11"/>
  <c r="Y206" i="11"/>
  <c r="X206" i="11"/>
  <c r="W206" i="11"/>
  <c r="Y205" i="11"/>
  <c r="X205" i="11"/>
  <c r="W205" i="11"/>
  <c r="Y204" i="11"/>
  <c r="X204" i="11"/>
  <c r="W204" i="11"/>
  <c r="Y203" i="11"/>
  <c r="X203" i="11"/>
  <c r="W203" i="11"/>
  <c r="Y202" i="11"/>
  <c r="X202" i="11"/>
  <c r="W202" i="11"/>
  <c r="Y201" i="11"/>
  <c r="X201" i="11"/>
  <c r="W201" i="11"/>
  <c r="Y200" i="11"/>
  <c r="X200" i="11"/>
  <c r="W200" i="11"/>
  <c r="Y199" i="11"/>
  <c r="X199" i="11"/>
  <c r="W199" i="11"/>
  <c r="Y198" i="11"/>
  <c r="X198" i="11"/>
  <c r="W198" i="11"/>
  <c r="Y197" i="11"/>
  <c r="X197" i="11"/>
  <c r="W197" i="11"/>
  <c r="Y196" i="11"/>
  <c r="X196" i="11"/>
  <c r="W196" i="11"/>
  <c r="Y195" i="11"/>
  <c r="X195" i="11"/>
  <c r="W195" i="11"/>
  <c r="Y194" i="11"/>
  <c r="X194" i="11"/>
  <c r="W194" i="11"/>
  <c r="Y193" i="11"/>
  <c r="X193" i="11"/>
  <c r="W193" i="11"/>
  <c r="Y192" i="11"/>
  <c r="X192" i="11"/>
  <c r="W192" i="11"/>
  <c r="Y191" i="11"/>
  <c r="X191" i="11"/>
  <c r="W191" i="11"/>
  <c r="Y190" i="11"/>
  <c r="X190" i="11"/>
  <c r="W190" i="11"/>
  <c r="Y189" i="11"/>
  <c r="X189" i="11"/>
  <c r="W189" i="11"/>
  <c r="Y188" i="11"/>
  <c r="X188" i="11"/>
  <c r="W188" i="11"/>
  <c r="Y187" i="11"/>
  <c r="X187" i="11"/>
  <c r="W187" i="11"/>
  <c r="Y186" i="11"/>
  <c r="X186" i="11"/>
  <c r="W186" i="11"/>
  <c r="Y185" i="11"/>
  <c r="X185" i="11"/>
  <c r="W185" i="11"/>
  <c r="Y184" i="11"/>
  <c r="X184" i="11"/>
  <c r="W184" i="11"/>
  <c r="Y183" i="11"/>
  <c r="X183" i="11"/>
  <c r="W183" i="11"/>
  <c r="Y182" i="11"/>
  <c r="X182" i="11"/>
  <c r="W182" i="11"/>
  <c r="Y181" i="11"/>
  <c r="X181" i="11"/>
  <c r="W181" i="11"/>
  <c r="Y180" i="11"/>
  <c r="X180" i="11"/>
  <c r="W180" i="11"/>
  <c r="Y179" i="11"/>
  <c r="X179" i="11"/>
  <c r="W179" i="11"/>
  <c r="Y178" i="11"/>
  <c r="X178" i="11"/>
  <c r="W178" i="11"/>
  <c r="Y177" i="11"/>
  <c r="X177" i="11"/>
  <c r="W177" i="11"/>
  <c r="Y176" i="11"/>
  <c r="X176" i="11"/>
  <c r="W176" i="11"/>
  <c r="Y175" i="11"/>
  <c r="X175" i="11"/>
  <c r="W175" i="11"/>
  <c r="Y174" i="11"/>
  <c r="X174" i="11"/>
  <c r="W174" i="11"/>
  <c r="Y173" i="11"/>
  <c r="X173" i="11"/>
  <c r="W173" i="11"/>
  <c r="Y172" i="11"/>
  <c r="X172" i="11"/>
  <c r="W172" i="11"/>
  <c r="Y171" i="11"/>
  <c r="X171" i="11"/>
  <c r="W171" i="11"/>
  <c r="Y170" i="11"/>
  <c r="X170" i="11"/>
  <c r="W170" i="11"/>
  <c r="Y169" i="11"/>
  <c r="X169" i="11"/>
  <c r="W169" i="11"/>
  <c r="Y168" i="11"/>
  <c r="X168" i="11"/>
  <c r="W168" i="11"/>
  <c r="Y167" i="11"/>
  <c r="X167" i="11"/>
  <c r="W167" i="11"/>
  <c r="Y166" i="11"/>
  <c r="X166" i="11"/>
  <c r="W166" i="11"/>
  <c r="Y165" i="11"/>
  <c r="X165" i="11"/>
  <c r="W165" i="11"/>
  <c r="Y164" i="11"/>
  <c r="X164" i="11"/>
  <c r="W164" i="11"/>
  <c r="Y163" i="11"/>
  <c r="X163" i="11"/>
  <c r="W163" i="11"/>
  <c r="Y162" i="11"/>
  <c r="X162" i="11"/>
  <c r="W162" i="11"/>
  <c r="Y161" i="11"/>
  <c r="X161" i="11"/>
  <c r="W161" i="11"/>
  <c r="Y160" i="11"/>
  <c r="X160" i="11"/>
  <c r="W160" i="11"/>
  <c r="Y159" i="11"/>
  <c r="X159" i="11"/>
  <c r="W159" i="11"/>
  <c r="Y158" i="11"/>
  <c r="X158" i="11"/>
  <c r="W158" i="11"/>
  <c r="Y157" i="11"/>
  <c r="X157" i="11"/>
  <c r="W157" i="11"/>
  <c r="Y156" i="11"/>
  <c r="X156" i="11"/>
  <c r="W156" i="11"/>
  <c r="Y155" i="11"/>
  <c r="X155" i="11"/>
  <c r="W155" i="11"/>
  <c r="Y154" i="11"/>
  <c r="X154" i="11"/>
  <c r="W154" i="11"/>
  <c r="Y153" i="11"/>
  <c r="X153" i="11"/>
  <c r="W153" i="11"/>
  <c r="Y152" i="11"/>
  <c r="X152" i="11"/>
  <c r="W152" i="11"/>
  <c r="Y151" i="11"/>
  <c r="X151" i="11"/>
  <c r="W151" i="11"/>
  <c r="Y150" i="11"/>
  <c r="X150" i="11"/>
  <c r="W150" i="11"/>
  <c r="Y149" i="11"/>
  <c r="X149" i="11"/>
  <c r="W149" i="11"/>
  <c r="Y148" i="11"/>
  <c r="X148" i="11"/>
  <c r="W148" i="11"/>
  <c r="Y147" i="11"/>
  <c r="X147" i="11"/>
  <c r="W147" i="11"/>
  <c r="Y146" i="11"/>
  <c r="X146" i="11"/>
  <c r="W146" i="11"/>
  <c r="Y145" i="11"/>
  <c r="X145" i="11"/>
  <c r="W145" i="11"/>
  <c r="Y144" i="11"/>
  <c r="X144" i="11"/>
  <c r="W144" i="11"/>
  <c r="Y143" i="11"/>
  <c r="X143" i="11"/>
  <c r="W143" i="11"/>
  <c r="Y142" i="11"/>
  <c r="X142" i="11"/>
  <c r="W142" i="11"/>
  <c r="Y141" i="11"/>
  <c r="X141" i="11"/>
  <c r="W141" i="11"/>
  <c r="Y140" i="11"/>
  <c r="X140" i="11"/>
  <c r="W140" i="11"/>
  <c r="Y139" i="11"/>
  <c r="X139" i="11"/>
  <c r="W139" i="11"/>
  <c r="Y138" i="11"/>
  <c r="X138" i="11"/>
  <c r="W138" i="11"/>
  <c r="Y137" i="11"/>
  <c r="X137" i="11"/>
  <c r="W137" i="11"/>
  <c r="Y136" i="11"/>
  <c r="X136" i="11"/>
  <c r="W136" i="11"/>
  <c r="Y135" i="11"/>
  <c r="X135" i="11"/>
  <c r="W135" i="11"/>
  <c r="Y134" i="11"/>
  <c r="X134" i="11"/>
  <c r="W134" i="11"/>
  <c r="Y133" i="11"/>
  <c r="X133" i="11"/>
  <c r="W133" i="11"/>
  <c r="Y132" i="11"/>
  <c r="X132" i="11"/>
  <c r="W132" i="11"/>
  <c r="Y131" i="11"/>
  <c r="X131" i="11"/>
  <c r="W131" i="11"/>
  <c r="Y130" i="11"/>
  <c r="X130" i="11"/>
  <c r="W130" i="11"/>
  <c r="Y129" i="11"/>
  <c r="X129" i="11"/>
  <c r="W129" i="11"/>
  <c r="Y128" i="11"/>
  <c r="X128" i="11"/>
  <c r="W128" i="11"/>
  <c r="Y127" i="11"/>
  <c r="X127" i="11"/>
  <c r="W127" i="11"/>
  <c r="Y126" i="11"/>
  <c r="X126" i="11"/>
  <c r="W126" i="11"/>
  <c r="Y125" i="11"/>
  <c r="X125" i="11"/>
  <c r="W125" i="11"/>
  <c r="Y124" i="11"/>
  <c r="X124" i="11"/>
  <c r="W124" i="11"/>
  <c r="Y123" i="11"/>
  <c r="X123" i="11"/>
  <c r="W123" i="11"/>
  <c r="Y122" i="11"/>
  <c r="X122" i="11"/>
  <c r="W122" i="11"/>
  <c r="Y121" i="11"/>
  <c r="X121" i="11"/>
  <c r="W121" i="11"/>
  <c r="Y120" i="11"/>
  <c r="X120" i="11"/>
  <c r="W120" i="11"/>
  <c r="Y119" i="11"/>
  <c r="X119" i="11"/>
  <c r="W119" i="11"/>
  <c r="Y118" i="11"/>
  <c r="X118" i="11"/>
  <c r="W118" i="11"/>
  <c r="Y117" i="11"/>
  <c r="X117" i="11"/>
  <c r="W117" i="11"/>
  <c r="Y116" i="11"/>
  <c r="X116" i="11"/>
  <c r="W116" i="11"/>
  <c r="Y115" i="11"/>
  <c r="X115" i="11"/>
  <c r="W115" i="11"/>
  <c r="Y114" i="11"/>
  <c r="X114" i="11"/>
  <c r="W114" i="11"/>
  <c r="Y113" i="11"/>
  <c r="X113" i="11"/>
  <c r="W113" i="11"/>
  <c r="Y112" i="11"/>
  <c r="X112" i="11"/>
  <c r="W112" i="11"/>
  <c r="Y111" i="11"/>
  <c r="X111" i="11"/>
  <c r="W111" i="11"/>
  <c r="Y110" i="11"/>
  <c r="X110" i="11"/>
  <c r="W110" i="11"/>
  <c r="Y109" i="11"/>
  <c r="X109" i="11"/>
  <c r="W109" i="11"/>
  <c r="Y108" i="11"/>
  <c r="X108" i="11"/>
  <c r="W108" i="11"/>
  <c r="Y107" i="11"/>
  <c r="X107" i="11"/>
  <c r="W107" i="11"/>
  <c r="Y106" i="11"/>
  <c r="X106" i="11"/>
  <c r="W106" i="11"/>
  <c r="Y105" i="11"/>
  <c r="X105" i="11"/>
  <c r="W105" i="11"/>
  <c r="Y104" i="11"/>
  <c r="X104" i="11"/>
  <c r="W104" i="11"/>
  <c r="Y103" i="11"/>
  <c r="X103" i="11"/>
  <c r="W103" i="11"/>
  <c r="Y102" i="11"/>
  <c r="X102" i="11"/>
  <c r="W102" i="11"/>
  <c r="Y101" i="11"/>
  <c r="X101" i="11"/>
  <c r="W101" i="11"/>
  <c r="Y100" i="11"/>
  <c r="X100" i="11"/>
  <c r="W100" i="11"/>
  <c r="Y99" i="11"/>
  <c r="X99" i="11"/>
  <c r="W99" i="11"/>
  <c r="Y98" i="11"/>
  <c r="X98" i="11"/>
  <c r="W98" i="11"/>
  <c r="Y97" i="11"/>
  <c r="X97" i="11"/>
  <c r="W97" i="11"/>
  <c r="Y96" i="11"/>
  <c r="X96" i="11"/>
  <c r="W96" i="11"/>
  <c r="Y95" i="11"/>
  <c r="X95" i="11"/>
  <c r="W95" i="11"/>
  <c r="Y94" i="11"/>
  <c r="X94" i="11"/>
  <c r="W94" i="11"/>
  <c r="Y93" i="11"/>
  <c r="X93" i="11"/>
  <c r="W93" i="11"/>
  <c r="Y92" i="11"/>
  <c r="X92" i="11"/>
  <c r="W92" i="11"/>
  <c r="Y91" i="11"/>
  <c r="X91" i="11"/>
  <c r="W91" i="11"/>
  <c r="Y90" i="11"/>
  <c r="X90" i="11"/>
  <c r="W90" i="11"/>
  <c r="Y89" i="11"/>
  <c r="X89" i="11"/>
  <c r="W89" i="11"/>
  <c r="Y88" i="11"/>
  <c r="X88" i="11"/>
  <c r="W88" i="11"/>
  <c r="Y87" i="11"/>
  <c r="X87" i="11"/>
  <c r="W87" i="11"/>
  <c r="Y86" i="11"/>
  <c r="X86" i="11"/>
  <c r="W86" i="11"/>
  <c r="Y85" i="11"/>
  <c r="X85" i="11"/>
  <c r="W85" i="11"/>
  <c r="Y84" i="11"/>
  <c r="X84" i="11"/>
  <c r="W84" i="11"/>
  <c r="Y83" i="11"/>
  <c r="X83" i="11"/>
  <c r="W83" i="11"/>
  <c r="Y82" i="11"/>
  <c r="X82" i="11"/>
  <c r="W82" i="11"/>
  <c r="Y81" i="11"/>
  <c r="X81" i="11"/>
  <c r="W81" i="11"/>
  <c r="Y80" i="11"/>
  <c r="X80" i="11"/>
  <c r="W80" i="11"/>
  <c r="Y79" i="11"/>
  <c r="X79" i="11"/>
  <c r="W79" i="11"/>
  <c r="Y78" i="11"/>
  <c r="X78" i="11"/>
  <c r="W78" i="11"/>
  <c r="Y77" i="11"/>
  <c r="X77" i="11"/>
  <c r="W77" i="11"/>
  <c r="Y76" i="11"/>
  <c r="X76" i="11"/>
  <c r="W76" i="11"/>
  <c r="Y75" i="11"/>
  <c r="X75" i="11"/>
  <c r="W75" i="11"/>
  <c r="Y74" i="11"/>
  <c r="X74" i="11"/>
  <c r="W74" i="11"/>
  <c r="Y73" i="11"/>
  <c r="X73" i="11"/>
  <c r="W73" i="11"/>
  <c r="Y72" i="11"/>
  <c r="X72" i="11"/>
  <c r="W72" i="11"/>
  <c r="Y71" i="11"/>
  <c r="X71" i="11"/>
  <c r="W71" i="11"/>
  <c r="Y70" i="11"/>
  <c r="X70" i="11"/>
  <c r="W70" i="11"/>
  <c r="Y69" i="11"/>
  <c r="X69" i="11"/>
  <c r="W69" i="11"/>
  <c r="Y68" i="11"/>
  <c r="X68" i="11"/>
  <c r="W68" i="11"/>
  <c r="Y67" i="11"/>
  <c r="X67" i="11"/>
  <c r="W67" i="11"/>
  <c r="Y66" i="11"/>
  <c r="X66" i="11"/>
  <c r="W66" i="11"/>
  <c r="Y65" i="11"/>
  <c r="X65" i="11"/>
  <c r="W65" i="11"/>
  <c r="Y64" i="11"/>
  <c r="X64" i="11"/>
  <c r="W64" i="11"/>
  <c r="Y63" i="11"/>
  <c r="X63" i="11"/>
  <c r="W63" i="11"/>
  <c r="Y62" i="11"/>
  <c r="X62" i="11"/>
  <c r="W62" i="11"/>
  <c r="Y61" i="11"/>
  <c r="X61" i="11"/>
  <c r="W61" i="11"/>
  <c r="Y60" i="11"/>
  <c r="X60" i="11"/>
  <c r="W60" i="11"/>
  <c r="Y59" i="11"/>
  <c r="X59" i="11"/>
  <c r="W59" i="11"/>
  <c r="Y58" i="11"/>
  <c r="X58" i="11"/>
  <c r="W58" i="11"/>
  <c r="Y57" i="11"/>
  <c r="X57" i="11"/>
  <c r="W57" i="11"/>
  <c r="Y56" i="11"/>
  <c r="X56" i="11"/>
  <c r="W56" i="11"/>
  <c r="Y55" i="11"/>
  <c r="X55" i="11"/>
  <c r="W55" i="11"/>
  <c r="Y54" i="11"/>
  <c r="X54" i="11"/>
  <c r="W54" i="11"/>
  <c r="Y53" i="11"/>
  <c r="X53" i="11"/>
  <c r="W53" i="11"/>
  <c r="Y52" i="11"/>
  <c r="X52" i="11"/>
  <c r="W52" i="11"/>
  <c r="Y51" i="11"/>
  <c r="X51" i="11"/>
  <c r="W51" i="11"/>
  <c r="Y50" i="11"/>
  <c r="X50" i="11"/>
  <c r="W50" i="11"/>
  <c r="Y49" i="11"/>
  <c r="X49" i="11"/>
  <c r="W49" i="11"/>
  <c r="Y48" i="11"/>
  <c r="X48" i="11"/>
  <c r="W48" i="11"/>
  <c r="Y47" i="11"/>
  <c r="X47" i="11"/>
  <c r="W47" i="11"/>
  <c r="Y46" i="11"/>
  <c r="X46" i="11"/>
  <c r="W46" i="11"/>
  <c r="Y45" i="11"/>
  <c r="X45" i="11"/>
  <c r="W45" i="11"/>
  <c r="Y44" i="11"/>
  <c r="X44" i="11"/>
  <c r="W44" i="11"/>
  <c r="Y43" i="11"/>
  <c r="X43" i="11"/>
  <c r="W43" i="11"/>
  <c r="Y42" i="11"/>
  <c r="X42" i="11"/>
  <c r="W42" i="11"/>
  <c r="Y41" i="11"/>
  <c r="X41" i="11"/>
  <c r="W41" i="11"/>
  <c r="Y40" i="11"/>
  <c r="X40" i="11"/>
  <c r="W40" i="11"/>
  <c r="Y39" i="11"/>
  <c r="X39" i="11"/>
  <c r="W39" i="11"/>
  <c r="Y38" i="11"/>
  <c r="X38" i="11"/>
  <c r="W38" i="11"/>
  <c r="Y37" i="11"/>
  <c r="X37" i="11"/>
  <c r="W37" i="11"/>
  <c r="Y36" i="11"/>
  <c r="X36" i="11"/>
  <c r="W36" i="11"/>
  <c r="Y35" i="11"/>
  <c r="X35" i="11"/>
  <c r="W35" i="11"/>
  <c r="Y34" i="11"/>
  <c r="X34" i="11"/>
  <c r="W34" i="11"/>
  <c r="Y33" i="11"/>
  <c r="X33" i="11"/>
  <c r="W33" i="11"/>
  <c r="Y32" i="11"/>
  <c r="X32" i="11"/>
  <c r="W32" i="11"/>
  <c r="Y31" i="11"/>
  <c r="X31" i="11"/>
  <c r="W31" i="11"/>
  <c r="Y30" i="11"/>
  <c r="X30" i="11"/>
  <c r="W30" i="11"/>
  <c r="Y29" i="11"/>
  <c r="X29" i="11"/>
  <c r="W29" i="11"/>
  <c r="Y28" i="11"/>
  <c r="X28" i="11"/>
  <c r="W28" i="11"/>
  <c r="Y27" i="11"/>
  <c r="X27" i="11"/>
  <c r="W27" i="11"/>
  <c r="Y26" i="11"/>
  <c r="X26" i="11"/>
  <c r="W26" i="11"/>
  <c r="Y25" i="11"/>
  <c r="X25" i="11"/>
  <c r="W25" i="11"/>
  <c r="Y24" i="11"/>
  <c r="X24" i="11"/>
  <c r="W24" i="11"/>
  <c r="Y23" i="11"/>
  <c r="X23" i="11"/>
  <c r="W23" i="11"/>
  <c r="Y22" i="11"/>
  <c r="X22" i="11"/>
  <c r="W22" i="11"/>
  <c r="Y21" i="11"/>
  <c r="X21" i="11"/>
  <c r="W21" i="11"/>
  <c r="Y20" i="11"/>
  <c r="X20" i="11"/>
  <c r="W20" i="11"/>
  <c r="Y19" i="11"/>
  <c r="X19" i="11"/>
  <c r="W19" i="11"/>
  <c r="Y18" i="11"/>
  <c r="X18" i="11"/>
  <c r="W18" i="11"/>
  <c r="Y17" i="11"/>
  <c r="X17" i="11"/>
  <c r="W17" i="11"/>
  <c r="Y16" i="11"/>
  <c r="X16" i="11"/>
  <c r="W16" i="11"/>
  <c r="Y15" i="11"/>
  <c r="X15" i="11"/>
  <c r="W15" i="11"/>
  <c r="Y14" i="11"/>
  <c r="X14" i="11"/>
  <c r="W14" i="11"/>
  <c r="Y13" i="11"/>
  <c r="X13" i="11"/>
  <c r="W13" i="11"/>
  <c r="Y12" i="11"/>
  <c r="X12" i="11"/>
  <c r="W12" i="11"/>
  <c r="Y11" i="11"/>
  <c r="X11" i="11"/>
  <c r="W11" i="11"/>
  <c r="Y10" i="11"/>
  <c r="X10" i="11"/>
  <c r="W10" i="11"/>
  <c r="Y9" i="11"/>
  <c r="X9" i="11"/>
  <c r="W9" i="11"/>
  <c r="Y8" i="11"/>
  <c r="AD11" i="11" s="1"/>
  <c r="AD12" i="11" s="1"/>
  <c r="X8" i="11"/>
  <c r="W8" i="11"/>
  <c r="AD9" i="11" s="1"/>
  <c r="AD10" i="11" s="1"/>
  <c r="AD7" i="11"/>
  <c r="Y7" i="11"/>
  <c r="X7" i="11"/>
  <c r="W7" i="11"/>
  <c r="AD8" i="11" s="1"/>
  <c r="J14" i="4"/>
  <c r="K14" i="4"/>
  <c r="L14" i="4"/>
  <c r="M14" i="4"/>
  <c r="N14" i="4"/>
  <c r="O14" i="4"/>
  <c r="H14" i="4"/>
  <c r="I14" i="4"/>
  <c r="G14" i="4"/>
  <c r="H28" i="4"/>
  <c r="I28" i="4"/>
  <c r="J28" i="4"/>
  <c r="K28" i="4"/>
  <c r="L28" i="4"/>
  <c r="M28" i="4"/>
  <c r="N28" i="4"/>
  <c r="O28" i="4"/>
  <c r="G28" i="4"/>
  <c r="P61" i="3"/>
  <c r="P58" i="3"/>
  <c r="C315" i="5" s="1"/>
  <c r="O51" i="18" l="1"/>
  <c r="O46" i="18"/>
  <c r="O90" i="18" s="1"/>
  <c r="P111" i="18"/>
  <c r="P27" i="18"/>
  <c r="P28" i="18" s="1"/>
  <c r="P45" i="18"/>
  <c r="P89" i="18" s="1"/>
  <c r="P30" i="18"/>
  <c r="O112" i="18"/>
  <c r="N53" i="18"/>
  <c r="N91" i="18"/>
  <c r="N92" i="18" s="1"/>
  <c r="N93" i="18" s="1"/>
  <c r="N68" i="18" s="1"/>
  <c r="K56" i="18"/>
  <c r="K66" i="18"/>
  <c r="K69" i="18" s="1"/>
  <c r="L98" i="18"/>
  <c r="L67" i="18" s="1"/>
  <c r="L32" i="18" s="1"/>
  <c r="L34" i="18" s="1"/>
  <c r="L35" i="18" s="1"/>
  <c r="L99" i="18"/>
  <c r="F66" i="4"/>
  <c r="AD13" i="11"/>
  <c r="AD15" i="11" s="1"/>
  <c r="AD16" i="11" s="1"/>
  <c r="H26" i="4"/>
  <c r="I26" i="4"/>
  <c r="J26" i="4"/>
  <c r="K26" i="4"/>
  <c r="L26" i="4"/>
  <c r="M26" i="4"/>
  <c r="N26" i="4"/>
  <c r="O26" i="4"/>
  <c r="G26" i="4"/>
  <c r="F92" i="5"/>
  <c r="O53" i="18" l="1"/>
  <c r="O91" i="18"/>
  <c r="O92" i="18" s="1"/>
  <c r="O93" i="18" s="1"/>
  <c r="O68" i="18" s="1"/>
  <c r="P112" i="18"/>
  <c r="P51" i="18"/>
  <c r="P46" i="18"/>
  <c r="P90" i="18" s="1"/>
  <c r="K57" i="18"/>
  <c r="K58" i="18" s="1"/>
  <c r="K80" i="18"/>
  <c r="K82" i="18" s="1"/>
  <c r="K114" i="18"/>
  <c r="L37" i="18"/>
  <c r="L38" i="18" s="1"/>
  <c r="M96" i="18"/>
  <c r="L47" i="18"/>
  <c r="L72" i="4"/>
  <c r="P53" i="18" l="1"/>
  <c r="P91" i="18"/>
  <c r="P92" i="18" s="1"/>
  <c r="P93" i="18" s="1"/>
  <c r="P68" i="18" s="1"/>
  <c r="K44" i="18"/>
  <c r="K48" i="18" s="1"/>
  <c r="K60" i="18" s="1"/>
  <c r="K3" i="18" s="1"/>
  <c r="L81" i="18"/>
  <c r="M98" i="18"/>
  <c r="M67" i="18" s="1"/>
  <c r="M32" i="18" s="1"/>
  <c r="M34" i="18" s="1"/>
  <c r="M35" i="18" s="1"/>
  <c r="M99" i="18"/>
  <c r="L56" i="18"/>
  <c r="L66" i="18"/>
  <c r="L69" i="18" s="1"/>
  <c r="K80" i="4"/>
  <c r="K81" i="4"/>
  <c r="L74" i="4"/>
  <c r="O15" i="3"/>
  <c r="O12" i="3"/>
  <c r="F57" i="4"/>
  <c r="G57" i="4"/>
  <c r="F58" i="4"/>
  <c r="G58" i="4"/>
  <c r="L81" i="4"/>
  <c r="M38" i="6"/>
  <c r="M39" i="6"/>
  <c r="M40" i="6"/>
  <c r="M37" i="6"/>
  <c r="L51" i="4"/>
  <c r="C41" i="6"/>
  <c r="M37" i="18" l="1"/>
  <c r="M38" i="18" s="1"/>
  <c r="M47" i="18"/>
  <c r="N96" i="18"/>
  <c r="L57" i="18"/>
  <c r="L58" i="18" s="1"/>
  <c r="L80" i="18"/>
  <c r="L82" i="18" s="1"/>
  <c r="L114" i="18"/>
  <c r="O24" i="6"/>
  <c r="N98" i="18" l="1"/>
  <c r="N67" i="18" s="1"/>
  <c r="N32" i="18" s="1"/>
  <c r="N34" i="18" s="1"/>
  <c r="N35" i="18" s="1"/>
  <c r="N99" i="18"/>
  <c r="L44" i="18"/>
  <c r="L48" i="18" s="1"/>
  <c r="L60" i="18" s="1"/>
  <c r="L3" i="18" s="1"/>
  <c r="M81" i="18"/>
  <c r="M56" i="18"/>
  <c r="M66" i="18"/>
  <c r="M69" i="18" s="1"/>
  <c r="J213" i="5"/>
  <c r="D114" i="5"/>
  <c r="G92" i="5"/>
  <c r="F93" i="5"/>
  <c r="F94" i="5" s="1"/>
  <c r="G93" i="5"/>
  <c r="H92" i="5"/>
  <c r="F74" i="5"/>
  <c r="G74" i="5"/>
  <c r="H74" i="5"/>
  <c r="J92" i="5"/>
  <c r="P80" i="5"/>
  <c r="D164" i="5"/>
  <c r="C43" i="5"/>
  <c r="D236" i="5" s="1"/>
  <c r="K30" i="6"/>
  <c r="F16" i="6"/>
  <c r="O80" i="5"/>
  <c r="Q80" i="5"/>
  <c r="R80" i="5"/>
  <c r="O81" i="5"/>
  <c r="P81" i="5"/>
  <c r="Q81" i="5"/>
  <c r="R81" i="5"/>
  <c r="O82" i="5"/>
  <c r="P82" i="5"/>
  <c r="Q82" i="5"/>
  <c r="R82" i="5"/>
  <c r="S27" i="5"/>
  <c r="S62" i="5"/>
  <c r="K128" i="5"/>
  <c r="L129" i="5" s="1"/>
  <c r="M130" i="5" s="1"/>
  <c r="N131" i="5" s="1"/>
  <c r="L128" i="5"/>
  <c r="M128" i="5"/>
  <c r="N129" i="5" s="1"/>
  <c r="O130" i="5" s="1"/>
  <c r="P131" i="5" s="1"/>
  <c r="K129" i="5"/>
  <c r="M129" i="5"/>
  <c r="N130" i="5" s="1"/>
  <c r="O131" i="5" s="1"/>
  <c r="K130" i="5"/>
  <c r="L130" i="5"/>
  <c r="K131" i="5"/>
  <c r="L131" i="5"/>
  <c r="M131" i="5"/>
  <c r="D119" i="5"/>
  <c r="C9" i="6"/>
  <c r="N37" i="18" l="1"/>
  <c r="N38" i="18" s="1"/>
  <c r="N47" i="18"/>
  <c r="O96" i="18"/>
  <c r="M57" i="18"/>
  <c r="M58" i="18" s="1"/>
  <c r="M114" i="18"/>
  <c r="M80" i="18"/>
  <c r="M82" i="18" s="1"/>
  <c r="G94" i="5"/>
  <c r="G97" i="5"/>
  <c r="I278" i="5"/>
  <c r="O98" i="18" l="1"/>
  <c r="O67" i="18" s="1"/>
  <c r="O32" i="18" s="1"/>
  <c r="O34" i="18" s="1"/>
  <c r="O35" i="18" s="1"/>
  <c r="O99" i="18"/>
  <c r="M44" i="18"/>
  <c r="M48" i="18" s="1"/>
  <c r="M60" i="18" s="1"/>
  <c r="M3" i="18" s="1"/>
  <c r="N81" i="18"/>
  <c r="N66" i="18"/>
  <c r="N69" i="18" s="1"/>
  <c r="N56" i="18"/>
  <c r="J17" i="5"/>
  <c r="F46" i="5"/>
  <c r="F76" i="5" s="1"/>
  <c r="G46" i="5"/>
  <c r="G76" i="5" s="1"/>
  <c r="H46" i="5"/>
  <c r="H76" i="5" s="1"/>
  <c r="I46" i="5"/>
  <c r="J46" i="5"/>
  <c r="F45" i="5"/>
  <c r="F75" i="5" s="1"/>
  <c r="F80" i="5" s="1"/>
  <c r="G45" i="5"/>
  <c r="G75" i="5" s="1"/>
  <c r="G80" i="5" s="1"/>
  <c r="H45" i="5"/>
  <c r="H75" i="5" s="1"/>
  <c r="I45" i="5"/>
  <c r="I75" i="5" s="1"/>
  <c r="J45" i="5"/>
  <c r="L40" i="5"/>
  <c r="M40" i="5"/>
  <c r="N40" i="5"/>
  <c r="O40" i="5"/>
  <c r="P40" i="5"/>
  <c r="Q40" i="5"/>
  <c r="R40" i="5"/>
  <c r="S40" i="5"/>
  <c r="K40" i="5"/>
  <c r="K50" i="5" s="1"/>
  <c r="F30" i="5"/>
  <c r="G30" i="5"/>
  <c r="G29" i="5" s="1"/>
  <c r="H30" i="5"/>
  <c r="H29" i="5" s="1"/>
  <c r="I30" i="5"/>
  <c r="I29" i="5" s="1"/>
  <c r="J30" i="5"/>
  <c r="J29" i="5" s="1"/>
  <c r="G17" i="5"/>
  <c r="F63" i="5"/>
  <c r="G63" i="5"/>
  <c r="O37" i="18" l="1"/>
  <c r="O38" i="18" s="1"/>
  <c r="O47" i="18"/>
  <c r="P96" i="18"/>
  <c r="N114" i="18"/>
  <c r="N80" i="18"/>
  <c r="N82" i="18" s="1"/>
  <c r="N57" i="18"/>
  <c r="N58" i="18" s="1"/>
  <c r="G81" i="5"/>
  <c r="G82" i="5"/>
  <c r="F81" i="5"/>
  <c r="F82" i="5"/>
  <c r="F47" i="5"/>
  <c r="F52" i="5" s="1"/>
  <c r="F56" i="5" s="1"/>
  <c r="F59" i="5" s="1"/>
  <c r="F65" i="5" s="1"/>
  <c r="G47" i="5"/>
  <c r="G52" i="5" s="1"/>
  <c r="G56" i="5" s="1"/>
  <c r="G59" i="5" s="1"/>
  <c r="G65" i="5" s="1"/>
  <c r="K51" i="5"/>
  <c r="P98" i="18" l="1"/>
  <c r="P67" i="18" s="1"/>
  <c r="P32" i="18" s="1"/>
  <c r="P34" i="18" s="1"/>
  <c r="P35" i="18" s="1"/>
  <c r="P99" i="18"/>
  <c r="P47" i="18" s="1"/>
  <c r="N44" i="18"/>
  <c r="N48" i="18" s="1"/>
  <c r="N60" i="18" s="1"/>
  <c r="N3" i="18" s="1"/>
  <c r="O81" i="18"/>
  <c r="O56" i="18"/>
  <c r="O66" i="18"/>
  <c r="O69" i="18" s="1"/>
  <c r="H17" i="5"/>
  <c r="I17" i="5"/>
  <c r="K80" i="5"/>
  <c r="I63" i="5"/>
  <c r="J179" i="5"/>
  <c r="C42" i="5"/>
  <c r="D120" i="5"/>
  <c r="K120" i="5" s="1"/>
  <c r="P37" i="18" l="1"/>
  <c r="P38" i="18" s="1"/>
  <c r="O57" i="18"/>
  <c r="O58" i="18" s="1"/>
  <c r="O114" i="18"/>
  <c r="O80" i="18"/>
  <c r="O82" i="18" s="1"/>
  <c r="Q58" i="5"/>
  <c r="Q295" i="5" s="1"/>
  <c r="R58" i="5"/>
  <c r="R295" i="5" s="1"/>
  <c r="S58" i="5"/>
  <c r="O58" i="5"/>
  <c r="O295" i="5" s="1"/>
  <c r="P58" i="5"/>
  <c r="P295" i="5" s="1"/>
  <c r="I124" i="5"/>
  <c r="I131" i="5"/>
  <c r="I128" i="5"/>
  <c r="I129" i="5"/>
  <c r="I130" i="5"/>
  <c r="K58" i="5"/>
  <c r="D113" i="5"/>
  <c r="H47" i="5"/>
  <c r="H52" i="5" s="1"/>
  <c r="H56" i="5" s="1"/>
  <c r="O44" i="18" l="1"/>
  <c r="O48" i="18" s="1"/>
  <c r="O60" i="18" s="1"/>
  <c r="O3" i="18" s="1"/>
  <c r="P81" i="18"/>
  <c r="P56" i="18"/>
  <c r="P57" i="18" s="1"/>
  <c r="P58" i="18" s="1"/>
  <c r="P66" i="18"/>
  <c r="P69" i="18" s="1"/>
  <c r="K114" i="5"/>
  <c r="K147" i="5" s="1"/>
  <c r="D7" i="4"/>
  <c r="P80" i="18" l="1"/>
  <c r="P82" i="18" s="1"/>
  <c r="P44" i="18" s="1"/>
  <c r="P48" i="18" s="1"/>
  <c r="P60" i="18" s="1"/>
  <c r="P3" i="18" s="1"/>
  <c r="P114" i="18"/>
  <c r="L10" i="4" a="1"/>
  <c r="L10" i="4" s="1"/>
  <c r="M10" i="4" a="1"/>
  <c r="M10" i="4" s="1"/>
  <c r="Q17" i="5" s="1"/>
  <c r="O10" i="4" a="1"/>
  <c r="O10" i="4" s="1"/>
  <c r="S17" i="5" s="1"/>
  <c r="N10" i="4" a="1"/>
  <c r="N10" i="4" s="1"/>
  <c r="R17" i="5" s="1"/>
  <c r="L17" i="4" a="1"/>
  <c r="L17" i="4" s="1"/>
  <c r="O17" i="4" a="1"/>
  <c r="O17" i="4" s="1"/>
  <c r="S29" i="5" s="1"/>
  <c r="M17" i="4" a="1"/>
  <c r="M17" i="4" s="1"/>
  <c r="Q29" i="5" s="1"/>
  <c r="N17" i="4" a="1"/>
  <c r="N17" i="4" s="1"/>
  <c r="R29" i="5" s="1"/>
  <c r="K24" i="4" a="1"/>
  <c r="K24" i="4" s="1"/>
  <c r="O109" i="5" s="1"/>
  <c r="O162" i="5" s="1"/>
  <c r="O170" i="5" s="1"/>
  <c r="O177" i="5" s="1"/>
  <c r="M24" i="4" a="1"/>
  <c r="M24" i="4" s="1"/>
  <c r="Q286" i="5" s="1"/>
  <c r="Q297" i="5" s="1"/>
  <c r="N24" i="4" a="1"/>
  <c r="N24" i="4" s="1"/>
  <c r="R286" i="5" s="1"/>
  <c r="R297" i="5" s="1"/>
  <c r="O24" i="4" a="1"/>
  <c r="O24" i="4" s="1"/>
  <c r="L24" i="4" a="1"/>
  <c r="L24" i="4" s="1"/>
  <c r="G10" i="4" a="1"/>
  <c r="G10" i="4" s="1"/>
  <c r="C8" i="5"/>
  <c r="C9" i="5"/>
  <c r="K295" i="5"/>
  <c r="H59" i="5"/>
  <c r="I47" i="5"/>
  <c r="I52" i="5" s="1"/>
  <c r="I56" i="5" s="1"/>
  <c r="I59" i="5" s="1"/>
  <c r="J47" i="5"/>
  <c r="J52" i="5" s="1"/>
  <c r="J56" i="5" s="1"/>
  <c r="J59" i="5" s="1"/>
  <c r="H63" i="5"/>
  <c r="J63" i="5"/>
  <c r="I74" i="5"/>
  <c r="J74" i="5"/>
  <c r="J75" i="5"/>
  <c r="I76" i="5"/>
  <c r="J76" i="5"/>
  <c r="L80" i="5"/>
  <c r="M80" i="5"/>
  <c r="N80" i="5"/>
  <c r="K81" i="5"/>
  <c r="L81" i="5"/>
  <c r="M81" i="5"/>
  <c r="N81" i="5"/>
  <c r="K82" i="5"/>
  <c r="L82" i="5"/>
  <c r="M82" i="5"/>
  <c r="N82" i="5"/>
  <c r="I92" i="5"/>
  <c r="H93" i="5"/>
  <c r="I93" i="5"/>
  <c r="J93" i="5"/>
  <c r="L113" i="5"/>
  <c r="M113" i="5" s="1"/>
  <c r="N113" i="5" s="1"/>
  <c r="O113" i="5" s="1"/>
  <c r="P113" i="5" s="1"/>
  <c r="Q113" i="5" s="1"/>
  <c r="R113" i="5" s="1"/>
  <c r="L119" i="5"/>
  <c r="M119" i="5" s="1"/>
  <c r="N119" i="5" s="1"/>
  <c r="O119" i="5" s="1"/>
  <c r="P119" i="5" s="1"/>
  <c r="Q119" i="5" s="1"/>
  <c r="R119" i="5" s="1"/>
  <c r="K125" i="5"/>
  <c r="L126" i="5" s="1"/>
  <c r="M127" i="5" s="1"/>
  <c r="N128" i="5" s="1"/>
  <c r="O129" i="5" s="1"/>
  <c r="P130" i="5" s="1"/>
  <c r="Q131" i="5" s="1"/>
  <c r="K126" i="5"/>
  <c r="L127" i="5" s="1"/>
  <c r="K127" i="5"/>
  <c r="D165" i="5"/>
  <c r="K176" i="5"/>
  <c r="J315" i="5"/>
  <c r="J316" i="5" s="1"/>
  <c r="K315" i="5"/>
  <c r="L315" i="5" s="1"/>
  <c r="M315" i="5" s="1"/>
  <c r="N315" i="5" s="1"/>
  <c r="O315" i="5" s="1"/>
  <c r="P315" i="5" s="1"/>
  <c r="K316" i="5"/>
  <c r="L316" i="5" s="1"/>
  <c r="M316" i="5" s="1"/>
  <c r="N316" i="5" s="1"/>
  <c r="O316" i="5" s="1"/>
  <c r="P316" i="5" s="1"/>
  <c r="Q316" i="5" s="1"/>
  <c r="R316" i="5" s="1"/>
  <c r="S316" i="5" s="1"/>
  <c r="J324" i="5"/>
  <c r="J331" i="5"/>
  <c r="J338" i="5"/>
  <c r="J349" i="5"/>
  <c r="O349" i="5"/>
  <c r="J362" i="5"/>
  <c r="J363" i="5" s="1"/>
  <c r="K362" i="5"/>
  <c r="K363" i="5"/>
  <c r="J371" i="5"/>
  <c r="J378" i="5"/>
  <c r="J385" i="5"/>
  <c r="J396" i="5"/>
  <c r="B12" i="4"/>
  <c r="B19" i="4" s="1"/>
  <c r="B13" i="4"/>
  <c r="B27" i="4" s="1"/>
  <c r="B14" i="4"/>
  <c r="L52" i="4"/>
  <c r="L54" i="4"/>
  <c r="H57" i="4"/>
  <c r="K57" i="4"/>
  <c r="H58" i="4"/>
  <c r="K58" i="4"/>
  <c r="F74" i="4"/>
  <c r="L80" i="4"/>
  <c r="L84" i="4" s="1"/>
  <c r="F109" i="4" s="1"/>
  <c r="D75" i="4"/>
  <c r="E74" i="4" s="1"/>
  <c r="F97" i="4"/>
  <c r="F98" i="4"/>
  <c r="F99" i="4"/>
  <c r="P60" i="3"/>
  <c r="H60" i="3" s="1"/>
  <c r="I60" i="3" s="1"/>
  <c r="G38" i="15" s="1"/>
  <c r="P62" i="3"/>
  <c r="G69" i="3"/>
  <c r="O69" i="3" s="1"/>
  <c r="D14" i="3"/>
  <c r="O14" i="3"/>
  <c r="H40" i="3" s="1"/>
  <c r="D15" i="3"/>
  <c r="D16" i="3"/>
  <c r="O16" i="3"/>
  <c r="F23" i="3"/>
  <c r="G23" i="3" s="1"/>
  <c r="S286" i="5" l="1"/>
  <c r="S297" i="5" s="1"/>
  <c r="S55" i="5"/>
  <c r="S293" i="5" s="1"/>
  <c r="L363" i="5"/>
  <c r="M363" i="5" s="1"/>
  <c r="N363" i="5" s="1"/>
  <c r="O363" i="5" s="1"/>
  <c r="H371" i="5" s="1"/>
  <c r="K381" i="5"/>
  <c r="K334" i="5"/>
  <c r="K17" i="5"/>
  <c r="K19" i="5" s="1"/>
  <c r="G39" i="3"/>
  <c r="O26" i="3" s="1"/>
  <c r="O39" i="3" s="1"/>
  <c r="G82" i="3"/>
  <c r="O82" i="3" s="1"/>
  <c r="Q315" i="5"/>
  <c r="P327" i="5"/>
  <c r="P330" i="5" s="1"/>
  <c r="J172" i="5"/>
  <c r="K169" i="5" s="1"/>
  <c r="P109" i="5"/>
  <c r="P162" i="5" s="1"/>
  <c r="P170" i="5" s="1"/>
  <c r="P177" i="5" s="1"/>
  <c r="P286" i="5"/>
  <c r="P297" i="5" s="1"/>
  <c r="R109" i="5"/>
  <c r="Q109" i="5"/>
  <c r="K5" i="5"/>
  <c r="K71" i="5" s="1"/>
  <c r="K210" i="5"/>
  <c r="J255" i="5"/>
  <c r="K252" i="5" s="1"/>
  <c r="P8" i="5"/>
  <c r="P74" i="5" s="1"/>
  <c r="Q8" i="5"/>
  <c r="Q74" i="5" s="1"/>
  <c r="R8" i="5"/>
  <c r="R74" i="5" s="1"/>
  <c r="K8" i="5"/>
  <c r="S8" i="5"/>
  <c r="J81" i="5"/>
  <c r="H65" i="5"/>
  <c r="J80" i="5"/>
  <c r="D194" i="5"/>
  <c r="O8" i="5"/>
  <c r="O74" i="5" s="1"/>
  <c r="E73" i="4"/>
  <c r="E77" i="4" s="1"/>
  <c r="L8" i="5"/>
  <c r="L74" i="5" s="1"/>
  <c r="B6" i="5" a="1"/>
  <c r="B6" i="5" s="1"/>
  <c r="B231" i="5" s="1"/>
  <c r="K374" i="5"/>
  <c r="K377" i="5" s="1"/>
  <c r="G15" i="3"/>
  <c r="I125" i="5"/>
  <c r="H94" i="5"/>
  <c r="I82" i="5"/>
  <c r="N327" i="5"/>
  <c r="N330" i="5" s="1"/>
  <c r="L362" i="5"/>
  <c r="L374" i="5" s="1"/>
  <c r="L377" i="5" s="1"/>
  <c r="J58" i="4"/>
  <c r="P27" i="3"/>
  <c r="P40" i="3" s="1"/>
  <c r="J82" i="5"/>
  <c r="H80" i="5"/>
  <c r="M327" i="5"/>
  <c r="M330" i="5" s="1"/>
  <c r="I81" i="5"/>
  <c r="O23" i="3"/>
  <c r="H23" i="3"/>
  <c r="P23" i="3" s="1"/>
  <c r="F36" i="3"/>
  <c r="N36" i="3" s="1"/>
  <c r="G5" i="4"/>
  <c r="H5" i="4" s="1"/>
  <c r="I5" i="4" s="1"/>
  <c r="J5" i="4" s="1"/>
  <c r="K5" i="4" s="1"/>
  <c r="L5" i="4" s="1"/>
  <c r="M5" i="4" s="1"/>
  <c r="N5" i="4" s="1"/>
  <c r="K106" i="5"/>
  <c r="H124" i="5" s="1"/>
  <c r="H136" i="5" s="1"/>
  <c r="F40" i="3"/>
  <c r="N27" i="3" s="1"/>
  <c r="N40" i="3" s="1"/>
  <c r="L327" i="5"/>
  <c r="L330" i="5" s="1"/>
  <c r="H39" i="3"/>
  <c r="P26" i="3" s="1"/>
  <c r="P39" i="3" s="1"/>
  <c r="L381" i="5"/>
  <c r="M381" i="5" s="1"/>
  <c r="N381" i="5" s="1"/>
  <c r="O381" i="5" s="1"/>
  <c r="P381" i="5" s="1"/>
  <c r="K327" i="5"/>
  <c r="K330" i="5" s="1"/>
  <c r="G36" i="3"/>
  <c r="O36" i="3" s="1"/>
  <c r="J94" i="5"/>
  <c r="I94" i="5"/>
  <c r="I65" i="5"/>
  <c r="J65" i="5"/>
  <c r="I80" i="5"/>
  <c r="G38" i="3"/>
  <c r="O25" i="3" s="1"/>
  <c r="O38" i="3" s="1"/>
  <c r="F38" i="3"/>
  <c r="N25" i="3" s="1"/>
  <c r="N38" i="3" s="1"/>
  <c r="D38" i="3"/>
  <c r="L25" i="3" s="1"/>
  <c r="L38" i="3" s="1"/>
  <c r="J57" i="4"/>
  <c r="L334" i="5"/>
  <c r="M334" i="5" s="1"/>
  <c r="N334" i="5" s="1"/>
  <c r="O334" i="5" s="1"/>
  <c r="P334" i="5" s="1"/>
  <c r="Q334" i="5" s="1"/>
  <c r="R334" i="5" s="1"/>
  <c r="F41" i="3"/>
  <c r="N28" i="3" s="1"/>
  <c r="N41" i="3" s="1"/>
  <c r="E39" i="3"/>
  <c r="M26" i="3" s="1"/>
  <c r="M39" i="3" s="1"/>
  <c r="D39" i="3"/>
  <c r="L26" i="3" s="1"/>
  <c r="L39" i="3" s="1"/>
  <c r="D41" i="3"/>
  <c r="L28" i="3" s="1"/>
  <c r="L41" i="3" s="1"/>
  <c r="G40" i="3"/>
  <c r="O27" i="3" s="1"/>
  <c r="O40" i="3" s="1"/>
  <c r="B20" i="4"/>
  <c r="B26" i="4"/>
  <c r="J17" i="4" a="1"/>
  <c r="J17" i="4" s="1"/>
  <c r="N29" i="5" s="1"/>
  <c r="H17" i="4" a="1"/>
  <c r="H17" i="4" s="1"/>
  <c r="L29" i="5" s="1"/>
  <c r="P29" i="5"/>
  <c r="K17" i="4" a="1"/>
  <c r="K17" i="4" s="1"/>
  <c r="O29" i="5" s="1"/>
  <c r="I17" i="4" a="1"/>
  <c r="I17" i="4" s="1"/>
  <c r="M29" i="5" s="1"/>
  <c r="G17" i="4" a="1"/>
  <c r="G17" i="4" s="1"/>
  <c r="K29" i="5" s="1"/>
  <c r="K10" i="4" a="1"/>
  <c r="K10" i="4" s="1"/>
  <c r="O17" i="5" s="1"/>
  <c r="J24" i="4" a="1"/>
  <c r="J24" i="4" s="1"/>
  <c r="J10" i="4" a="1"/>
  <c r="J10" i="4" s="1"/>
  <c r="N17" i="5" s="1"/>
  <c r="I24" i="4" a="1"/>
  <c r="I24" i="4" s="1"/>
  <c r="I10" i="4" a="1"/>
  <c r="I10" i="4" s="1"/>
  <c r="M17" i="5" s="1"/>
  <c r="H24" i="4" a="1"/>
  <c r="H24" i="4" s="1"/>
  <c r="G24" i="4" a="1"/>
  <c r="G24" i="4" s="1"/>
  <c r="K286" i="5" s="1"/>
  <c r="H10" i="4" a="1"/>
  <c r="H10" i="4" s="1"/>
  <c r="L17" i="5" s="1"/>
  <c r="F83" i="3"/>
  <c r="N70" i="3" s="1"/>
  <c r="N83" i="3" s="1"/>
  <c r="H83" i="3"/>
  <c r="P70" i="3" s="1"/>
  <c r="P83" i="3" s="1"/>
  <c r="I84" i="3"/>
  <c r="Q71" i="3" s="1"/>
  <c r="Q84" i="3" s="1"/>
  <c r="G86" i="3"/>
  <c r="O73" i="3" s="1"/>
  <c r="O86" i="3" s="1"/>
  <c r="E87" i="3"/>
  <c r="M74" i="3" s="1"/>
  <c r="M87" i="3" s="1"/>
  <c r="F85" i="3"/>
  <c r="N72" i="3" s="1"/>
  <c r="N85" i="3" s="1"/>
  <c r="G87" i="3"/>
  <c r="O74" i="3" s="1"/>
  <c r="O87" i="3" s="1"/>
  <c r="G85" i="3"/>
  <c r="H87" i="3"/>
  <c r="P74" i="3" s="1"/>
  <c r="P87" i="3" s="1"/>
  <c r="E83" i="3"/>
  <c r="M70" i="3" s="1"/>
  <c r="M83" i="3" s="1"/>
  <c r="H85" i="3"/>
  <c r="P72" i="3" s="1"/>
  <c r="P85" i="3" s="1"/>
  <c r="I87" i="3"/>
  <c r="Q74" i="3" s="1"/>
  <c r="Q87" i="3" s="1"/>
  <c r="I85" i="3"/>
  <c r="Q72" i="3" s="1"/>
  <c r="Q85" i="3" s="1"/>
  <c r="E85" i="3"/>
  <c r="M72" i="3" s="1"/>
  <c r="M85" i="3" s="1"/>
  <c r="E86" i="3"/>
  <c r="M73" i="3" s="1"/>
  <c r="M86" i="3" s="1"/>
  <c r="F86" i="3"/>
  <c r="N73" i="3" s="1"/>
  <c r="N86" i="3" s="1"/>
  <c r="G83" i="3"/>
  <c r="O70" i="3" s="1"/>
  <c r="O83" i="3" s="1"/>
  <c r="H86" i="3"/>
  <c r="P73" i="3" s="1"/>
  <c r="P86" i="3" s="1"/>
  <c r="I83" i="3"/>
  <c r="Q70" i="3" s="1"/>
  <c r="Q83" i="3" s="1"/>
  <c r="I86" i="3"/>
  <c r="Q73" i="3" s="1"/>
  <c r="Q86" i="3" s="1"/>
  <c r="E84" i="3"/>
  <c r="M71" i="3" s="1"/>
  <c r="M84" i="3" s="1"/>
  <c r="G84" i="3"/>
  <c r="O71" i="3" s="1"/>
  <c r="O84" i="3" s="1"/>
  <c r="I57" i="4"/>
  <c r="L53" i="4"/>
  <c r="L57" i="4" s="1"/>
  <c r="O327" i="5"/>
  <c r="H62" i="3"/>
  <c r="I62" i="3" s="1"/>
  <c r="E38" i="15" s="1"/>
  <c r="H84" i="3"/>
  <c r="P71" i="3" s="1"/>
  <c r="P84" i="3" s="1"/>
  <c r="F84" i="3"/>
  <c r="N71" i="3" s="1"/>
  <c r="N84" i="3" s="1"/>
  <c r="F77" i="4"/>
  <c r="F75" i="4"/>
  <c r="F87" i="3"/>
  <c r="N74" i="3" s="1"/>
  <c r="N87" i="3" s="1"/>
  <c r="H61" i="3"/>
  <c r="I61" i="3" s="1"/>
  <c r="F38" i="15" s="1"/>
  <c r="E38" i="3"/>
  <c r="M25" i="3" s="1"/>
  <c r="M38" i="3" s="1"/>
  <c r="G16" i="3"/>
  <c r="H16" i="3" s="1"/>
  <c r="E37" i="15" s="1"/>
  <c r="B21" i="4"/>
  <c r="B28" i="4"/>
  <c r="E41" i="3"/>
  <c r="M28" i="3" s="1"/>
  <c r="M41" i="3" s="1"/>
  <c r="G14" i="3"/>
  <c r="H14" i="3" s="1"/>
  <c r="G37" i="15" s="1"/>
  <c r="G41" i="3"/>
  <c r="O28" i="3" s="1"/>
  <c r="O41" i="3" s="1"/>
  <c r="H38" i="3"/>
  <c r="P25" i="3" s="1"/>
  <c r="P38" i="3" s="1"/>
  <c r="E40" i="3"/>
  <c r="M27" i="3" s="1"/>
  <c r="M40" i="3" s="1"/>
  <c r="F37" i="3"/>
  <c r="N24" i="3" s="1"/>
  <c r="N37" i="3" s="1"/>
  <c r="F39" i="3"/>
  <c r="N26" i="3" s="1"/>
  <c r="N39" i="3" s="1"/>
  <c r="H41" i="3"/>
  <c r="P28" i="3" s="1"/>
  <c r="P41" i="3" s="1"/>
  <c r="G37" i="3"/>
  <c r="O24" i="3" s="1"/>
  <c r="O37" i="3" s="1"/>
  <c r="E37" i="3"/>
  <c r="M24" i="3" s="1"/>
  <c r="M37" i="3" s="1"/>
  <c r="I127" i="5"/>
  <c r="I126" i="5"/>
  <c r="D37" i="3"/>
  <c r="L24" i="3" s="1"/>
  <c r="L37" i="3" s="1"/>
  <c r="H82" i="5"/>
  <c r="H81" i="5"/>
  <c r="L58" i="5"/>
  <c r="L295" i="5" s="1"/>
  <c r="N58" i="5"/>
  <c r="N295" i="5" s="1"/>
  <c r="M58" i="5"/>
  <c r="M295" i="5" s="1"/>
  <c r="L114" i="5"/>
  <c r="D40" i="3"/>
  <c r="L27" i="3" s="1"/>
  <c r="L40" i="3" s="1"/>
  <c r="H37" i="3"/>
  <c r="P24" i="3" s="1"/>
  <c r="P37" i="3" s="1"/>
  <c r="F69" i="3"/>
  <c r="H69" i="3"/>
  <c r="L120" i="5"/>
  <c r="K124" i="5"/>
  <c r="L125" i="5" s="1"/>
  <c r="M126" i="5" s="1"/>
  <c r="N127" i="5" s="1"/>
  <c r="O128" i="5" s="1"/>
  <c r="P129" i="5" s="1"/>
  <c r="Q130" i="5" s="1"/>
  <c r="R131" i="5" s="1"/>
  <c r="I58" i="4"/>
  <c r="K272" i="5"/>
  <c r="K188" i="5"/>
  <c r="N23" i="3"/>
  <c r="E23" i="3"/>
  <c r="M8" i="5"/>
  <c r="N8" i="5"/>
  <c r="E40" i="15" l="1"/>
  <c r="D40" i="15" s="1"/>
  <c r="K30" i="5"/>
  <c r="K31" i="5" s="1"/>
  <c r="K46" i="5" s="1"/>
  <c r="K45" i="5"/>
  <c r="L19" i="5"/>
  <c r="L30" i="5" s="1"/>
  <c r="L31" i="5" s="1"/>
  <c r="L46" i="5" s="1"/>
  <c r="I97" i="5"/>
  <c r="H97" i="5"/>
  <c r="H15" i="3"/>
  <c r="F37" i="15" s="1"/>
  <c r="O72" i="3"/>
  <c r="O85" i="3" s="1"/>
  <c r="K37" i="5"/>
  <c r="K27" i="5"/>
  <c r="L5" i="5"/>
  <c r="K230" i="5"/>
  <c r="K159" i="5"/>
  <c r="J5" i="5"/>
  <c r="E75" i="4"/>
  <c r="P59" i="3"/>
  <c r="R315" i="5"/>
  <c r="Q327" i="5"/>
  <c r="Q330" i="5" s="1"/>
  <c r="Q162" i="5"/>
  <c r="Q170" i="5" s="1"/>
  <c r="Q177" i="5" s="1"/>
  <c r="R162" i="5"/>
  <c r="R170" i="5" s="1"/>
  <c r="R177" i="5" s="1"/>
  <c r="M114" i="5"/>
  <c r="M147" i="5" s="1"/>
  <c r="P17" i="5"/>
  <c r="K109" i="5"/>
  <c r="N286" i="5"/>
  <c r="N297" i="5" s="1"/>
  <c r="L147" i="5"/>
  <c r="B160" i="5"/>
  <c r="B360" i="5"/>
  <c r="B189" i="5"/>
  <c r="B313" i="5"/>
  <c r="B107" i="5"/>
  <c r="B72" i="5"/>
  <c r="B38" i="5"/>
  <c r="B273" i="5"/>
  <c r="H125" i="5"/>
  <c r="H137" i="5" s="1"/>
  <c r="K123" i="5"/>
  <c r="K135" i="5"/>
  <c r="J97" i="5"/>
  <c r="M362" i="5"/>
  <c r="M374" i="5" s="1"/>
  <c r="M377" i="5" s="1"/>
  <c r="H36" i="3"/>
  <c r="P36" i="3" s="1"/>
  <c r="H93" i="4"/>
  <c r="N109" i="5"/>
  <c r="O286" i="5"/>
  <c r="O297" i="5" s="1"/>
  <c r="L286" i="5"/>
  <c r="L297" i="5" s="1"/>
  <c r="L109" i="5"/>
  <c r="K297" i="5"/>
  <c r="M286" i="5"/>
  <c r="M297" i="5" s="1"/>
  <c r="M109" i="5"/>
  <c r="E36" i="3"/>
  <c r="M36" i="3" s="1"/>
  <c r="D23" i="3"/>
  <c r="M23" i="3"/>
  <c r="I69" i="3"/>
  <c r="P69" i="3"/>
  <c r="H82" i="3"/>
  <c r="P82" i="3" s="1"/>
  <c r="N69" i="3"/>
  <c r="E69" i="3"/>
  <c r="F82" i="3"/>
  <c r="N82" i="3" s="1"/>
  <c r="L58" i="4"/>
  <c r="N74" i="5"/>
  <c r="K74" i="5"/>
  <c r="L272" i="5"/>
  <c r="L188" i="5"/>
  <c r="M5" i="5"/>
  <c r="L106" i="5"/>
  <c r="L230" i="5"/>
  <c r="L71" i="5"/>
  <c r="L37" i="5"/>
  <c r="L27" i="5"/>
  <c r="L159" i="5"/>
  <c r="L50" i="5"/>
  <c r="M50" i="5" s="1"/>
  <c r="N50" i="5" s="1"/>
  <c r="O50" i="5" s="1"/>
  <c r="P50" i="5" s="1"/>
  <c r="Q50" i="5" s="1"/>
  <c r="R50" i="5" s="1"/>
  <c r="S50" i="5" s="1"/>
  <c r="L51" i="5"/>
  <c r="M51" i="5" s="1"/>
  <c r="N51" i="5" s="1"/>
  <c r="O51" i="5" s="1"/>
  <c r="P51" i="5" s="1"/>
  <c r="Q51" i="5" s="1"/>
  <c r="R51" i="5" s="1"/>
  <c r="S51" i="5" s="1"/>
  <c r="M120" i="5"/>
  <c r="L124" i="5"/>
  <c r="M125" i="5" s="1"/>
  <c r="N126" i="5" s="1"/>
  <c r="O127" i="5" s="1"/>
  <c r="P128" i="5" s="1"/>
  <c r="Q129" i="5" s="1"/>
  <c r="R130" i="5" s="1"/>
  <c r="M74" i="5"/>
  <c r="I5" i="5"/>
  <c r="I106" i="5" s="1"/>
  <c r="J37" i="5"/>
  <c r="J71" i="5"/>
  <c r="O60" i="3"/>
  <c r="N14" i="3" s="1"/>
  <c r="J106" i="5"/>
  <c r="B114" i="5" s="1"/>
  <c r="J159" i="5"/>
  <c r="J230" i="5"/>
  <c r="M19" i="5" l="1"/>
  <c r="M30" i="5" s="1"/>
  <c r="M31" i="5" s="1"/>
  <c r="J27" i="5"/>
  <c r="J188" i="5"/>
  <c r="N114" i="5"/>
  <c r="N147" i="5" s="1"/>
  <c r="S315" i="5"/>
  <c r="R327" i="5"/>
  <c r="K162" i="5"/>
  <c r="C26" i="3"/>
  <c r="N162" i="5"/>
  <c r="N170" i="5" s="1"/>
  <c r="N177" i="5" s="1"/>
  <c r="L162" i="5"/>
  <c r="L170" i="5" s="1"/>
  <c r="L177" i="5" s="1"/>
  <c r="M162" i="5"/>
  <c r="M170" i="5" s="1"/>
  <c r="M177" i="5" s="1"/>
  <c r="H126" i="5"/>
  <c r="N362" i="5"/>
  <c r="N374" i="5" s="1"/>
  <c r="N377" i="5" s="1"/>
  <c r="H5" i="5"/>
  <c r="I27" i="5"/>
  <c r="I71" i="5"/>
  <c r="I37" i="5"/>
  <c r="E82" i="3"/>
  <c r="M82" i="3" s="1"/>
  <c r="M69" i="3"/>
  <c r="N120" i="5"/>
  <c r="O120" i="5" s="1"/>
  <c r="M124" i="5"/>
  <c r="N125" i="5" s="1"/>
  <c r="O126" i="5" s="1"/>
  <c r="P127" i="5" s="1"/>
  <c r="L23" i="3"/>
  <c r="D36" i="3"/>
  <c r="L36" i="3" s="1"/>
  <c r="L123" i="5"/>
  <c r="L135" i="5"/>
  <c r="M272" i="5"/>
  <c r="M188" i="5"/>
  <c r="M106" i="5"/>
  <c r="N5" i="5"/>
  <c r="N230" i="5" s="1"/>
  <c r="M230" i="5"/>
  <c r="M71" i="5"/>
  <c r="M37" i="5"/>
  <c r="M159" i="5"/>
  <c r="M27" i="5"/>
  <c r="Q69" i="3"/>
  <c r="I82" i="3"/>
  <c r="Q82" i="3" s="1"/>
  <c r="N19" i="5" l="1"/>
  <c r="N30" i="5" s="1"/>
  <c r="N31" i="5" s="1"/>
  <c r="O114" i="5"/>
  <c r="O147" i="5" s="1"/>
  <c r="H106" i="5"/>
  <c r="H71" i="5"/>
  <c r="K170" i="5"/>
  <c r="K177" i="5" s="1"/>
  <c r="C39" i="3"/>
  <c r="K39" i="3" s="1"/>
  <c r="K26" i="3"/>
  <c r="C27" i="3"/>
  <c r="C40" i="3" s="1"/>
  <c r="K40" i="3" s="1"/>
  <c r="O13" i="3"/>
  <c r="C363" i="5" s="1"/>
  <c r="F110" i="4"/>
  <c r="L18" i="23" s="1"/>
  <c r="D72" i="3"/>
  <c r="D71" i="3" s="1"/>
  <c r="Q128" i="5"/>
  <c r="R129" i="5" s="1"/>
  <c r="P120" i="5"/>
  <c r="O124" i="5"/>
  <c r="P125" i="5" s="1"/>
  <c r="Q126" i="5" s="1"/>
  <c r="R127" i="5" s="1"/>
  <c r="H27" i="5"/>
  <c r="G5" i="5"/>
  <c r="H138" i="5"/>
  <c r="H127" i="5"/>
  <c r="H128" i="5" s="1"/>
  <c r="O362" i="5"/>
  <c r="O374" i="5" s="1"/>
  <c r="O377" i="5" s="1"/>
  <c r="C25" i="3"/>
  <c r="C38" i="3" s="1"/>
  <c r="K38" i="3" s="1"/>
  <c r="L45" i="5"/>
  <c r="K75" i="5"/>
  <c r="K86" i="5" s="1"/>
  <c r="H37" i="5"/>
  <c r="N124" i="5"/>
  <c r="O125" i="5" s="1"/>
  <c r="P126" i="5" s="1"/>
  <c r="Q127" i="5" s="1"/>
  <c r="N272" i="5"/>
  <c r="N106" i="5"/>
  <c r="O5" i="5"/>
  <c r="N71" i="5"/>
  <c r="N188" i="5"/>
  <c r="N37" i="5"/>
  <c r="N159" i="5"/>
  <c r="N27" i="5"/>
  <c r="M123" i="5"/>
  <c r="M135" i="5"/>
  <c r="L384" i="5" l="1"/>
  <c r="Q384" i="5"/>
  <c r="O19" i="5"/>
  <c r="O30" i="5" s="1"/>
  <c r="O31" i="5" s="1"/>
  <c r="O46" i="5" s="1"/>
  <c r="P114" i="5"/>
  <c r="G106" i="5"/>
  <c r="G71" i="5"/>
  <c r="C28" i="3"/>
  <c r="C41" i="3" s="1"/>
  <c r="K41" i="3" s="1"/>
  <c r="P5" i="5"/>
  <c r="O230" i="5"/>
  <c r="O188" i="5"/>
  <c r="L72" i="3"/>
  <c r="Q114" i="5"/>
  <c r="P147" i="5"/>
  <c r="K27" i="3"/>
  <c r="L75" i="5"/>
  <c r="L86" i="5" s="1"/>
  <c r="N384" i="5"/>
  <c r="O384" i="5"/>
  <c r="K384" i="5"/>
  <c r="C316" i="5"/>
  <c r="D85" i="3"/>
  <c r="L85" i="3" s="1"/>
  <c r="D73" i="3"/>
  <c r="M384" i="5"/>
  <c r="K25" i="3"/>
  <c r="K178" i="5"/>
  <c r="K201" i="5" s="1"/>
  <c r="R128" i="5"/>
  <c r="H129" i="5"/>
  <c r="H140" i="5"/>
  <c r="F5" i="5"/>
  <c r="G27" i="5"/>
  <c r="G37" i="5"/>
  <c r="Q120" i="5"/>
  <c r="P124" i="5"/>
  <c r="Q125" i="5" s="1"/>
  <c r="R126" i="5" s="1"/>
  <c r="Q5" i="5"/>
  <c r="P37" i="5"/>
  <c r="P27" i="5"/>
  <c r="L71" i="3"/>
  <c r="D70" i="3"/>
  <c r="D83" i="3" s="1"/>
  <c r="L83" i="3" s="1"/>
  <c r="N45" i="5"/>
  <c r="N75" i="5" s="1"/>
  <c r="N86" i="5" s="1"/>
  <c r="M45" i="5"/>
  <c r="M75" i="5" s="1"/>
  <c r="M86" i="5" s="1"/>
  <c r="H139" i="5"/>
  <c r="D84" i="3"/>
  <c r="L84" i="3" s="1"/>
  <c r="C24" i="3"/>
  <c r="C37" i="3" s="1"/>
  <c r="K37" i="3" s="1"/>
  <c r="L76" i="5"/>
  <c r="O27" i="5"/>
  <c r="O159" i="5"/>
  <c r="O106" i="5"/>
  <c r="O135" i="5" s="1"/>
  <c r="O272" i="5"/>
  <c r="O71" i="5"/>
  <c r="O37" i="5"/>
  <c r="N123" i="5"/>
  <c r="N135" i="5"/>
  <c r="P19" i="5" l="1"/>
  <c r="P45" i="5" s="1"/>
  <c r="P75" i="5" s="1"/>
  <c r="P86" i="5" s="1"/>
  <c r="O45" i="5"/>
  <c r="O47" i="5" s="1"/>
  <c r="O52" i="5" s="1"/>
  <c r="K28" i="3"/>
  <c r="F106" i="5"/>
  <c r="F71" i="5"/>
  <c r="Q188" i="5"/>
  <c r="Q159" i="5"/>
  <c r="Q230" i="5"/>
  <c r="Q272" i="5"/>
  <c r="Q71" i="5"/>
  <c r="P374" i="5"/>
  <c r="K24" i="3"/>
  <c r="H130" i="5"/>
  <c r="H141" i="5"/>
  <c r="P106" i="5"/>
  <c r="P159" i="5"/>
  <c r="P230" i="5"/>
  <c r="P272" i="5"/>
  <c r="P188" i="5"/>
  <c r="P71" i="5"/>
  <c r="R114" i="5"/>
  <c r="R147" i="5" s="1"/>
  <c r="Q147" i="5"/>
  <c r="Q337" i="5"/>
  <c r="P337" i="5"/>
  <c r="L47" i="5"/>
  <c r="L52" i="5" s="1"/>
  <c r="L284" i="5" s="1"/>
  <c r="K243" i="5"/>
  <c r="K179" i="5"/>
  <c r="L176" i="5" s="1"/>
  <c r="L178" i="5" s="1"/>
  <c r="L243" i="5" s="1"/>
  <c r="N337" i="5"/>
  <c r="M337" i="5"/>
  <c r="K337" i="5"/>
  <c r="D74" i="3"/>
  <c r="D86" i="3"/>
  <c r="L86" i="3" s="1"/>
  <c r="L73" i="3"/>
  <c r="L337" i="5"/>
  <c r="R120" i="5"/>
  <c r="R124" i="5" s="1"/>
  <c r="Q124" i="5"/>
  <c r="R125" i="5" s="1"/>
  <c r="R5" i="5"/>
  <c r="Q106" i="5"/>
  <c r="Q27" i="5"/>
  <c r="Q37" i="5"/>
  <c r="O123" i="5"/>
  <c r="F37" i="5"/>
  <c r="F27" i="5"/>
  <c r="K76" i="5"/>
  <c r="K88" i="5" s="1"/>
  <c r="K47" i="5"/>
  <c r="K52" i="5" s="1"/>
  <c r="K284" i="5" s="1"/>
  <c r="M46" i="5"/>
  <c r="M76" i="5" s="1"/>
  <c r="M88" i="5" s="1"/>
  <c r="M93" i="5" s="1"/>
  <c r="N46" i="5"/>
  <c r="N76" i="5" s="1"/>
  <c r="N87" i="5" s="1"/>
  <c r="N92" i="5" s="1"/>
  <c r="L70" i="3"/>
  <c r="L87" i="5"/>
  <c r="L92" i="5" s="1"/>
  <c r="L88" i="5"/>
  <c r="L93" i="5" s="1"/>
  <c r="O76" i="5"/>
  <c r="O75" i="5" l="1"/>
  <c r="O86" i="5" s="1"/>
  <c r="P30" i="5"/>
  <c r="P31" i="5" s="1"/>
  <c r="P46" i="5" s="1"/>
  <c r="P76" i="5" s="1"/>
  <c r="Q19" i="5"/>
  <c r="Q45" i="5" s="1"/>
  <c r="Q75" i="5" s="1"/>
  <c r="Q86" i="5" s="1"/>
  <c r="R188" i="5"/>
  <c r="R71" i="5"/>
  <c r="R159" i="5"/>
  <c r="R272" i="5"/>
  <c r="R230" i="5"/>
  <c r="P123" i="5"/>
  <c r="P135" i="5"/>
  <c r="I137" i="5"/>
  <c r="J137" i="5" s="1"/>
  <c r="N137" i="5" s="1"/>
  <c r="H131" i="5"/>
  <c r="H143" i="5" s="1"/>
  <c r="H142" i="5"/>
  <c r="Q123" i="5"/>
  <c r="Q135" i="5"/>
  <c r="L201" i="5"/>
  <c r="L179" i="5"/>
  <c r="M176" i="5" s="1"/>
  <c r="M178" i="5" s="1"/>
  <c r="M201" i="5" s="1"/>
  <c r="K93" i="5"/>
  <c r="K87" i="5"/>
  <c r="K92" i="5" s="1"/>
  <c r="D87" i="3"/>
  <c r="L87" i="3" s="1"/>
  <c r="L74" i="3"/>
  <c r="O88" i="5"/>
  <c r="O93" i="5" s="1"/>
  <c r="O87" i="5"/>
  <c r="R106" i="5"/>
  <c r="I136" i="5" s="1"/>
  <c r="J136" i="5" s="1"/>
  <c r="R27" i="5"/>
  <c r="R37" i="5"/>
  <c r="M47" i="5"/>
  <c r="M52" i="5" s="1"/>
  <c r="M284" i="5" s="1"/>
  <c r="N88" i="5"/>
  <c r="M87" i="5"/>
  <c r="M92" i="5" s="1"/>
  <c r="M94" i="5" s="1"/>
  <c r="N47" i="5"/>
  <c r="N52" i="5" s="1"/>
  <c r="L94" i="5"/>
  <c r="O92" i="5" l="1"/>
  <c r="O94" i="5" s="1"/>
  <c r="P47" i="5"/>
  <c r="P52" i="5" s="1"/>
  <c r="P284" i="5" s="1"/>
  <c r="Q30" i="5"/>
  <c r="Q31" i="5" s="1"/>
  <c r="Q46" i="5" s="1"/>
  <c r="R19" i="5"/>
  <c r="R45" i="5" s="1"/>
  <c r="R75" i="5" s="1"/>
  <c r="R86" i="5" s="1"/>
  <c r="N284" i="5"/>
  <c r="M179" i="5"/>
  <c r="N176" i="5" s="1"/>
  <c r="N178" i="5" s="1"/>
  <c r="N179" i="5" s="1"/>
  <c r="O176" i="5" s="1"/>
  <c r="K136" i="5"/>
  <c r="L136" i="5"/>
  <c r="O136" i="5"/>
  <c r="P136" i="5"/>
  <c r="Q136" i="5"/>
  <c r="R136" i="5"/>
  <c r="N136" i="5"/>
  <c r="M136" i="5"/>
  <c r="P137" i="5"/>
  <c r="O137" i="5"/>
  <c r="R123" i="5"/>
  <c r="R135" i="5"/>
  <c r="R137" i="5"/>
  <c r="I140" i="5"/>
  <c r="J140" i="5" s="1"/>
  <c r="M137" i="5"/>
  <c r="L137" i="5"/>
  <c r="I139" i="5"/>
  <c r="J139" i="5" s="1"/>
  <c r="Q137" i="5"/>
  <c r="K137" i="5"/>
  <c r="I142" i="5"/>
  <c r="J142" i="5" s="1"/>
  <c r="I143" i="5"/>
  <c r="J143" i="5" s="1"/>
  <c r="I138" i="5"/>
  <c r="J138" i="5" s="1"/>
  <c r="I141" i="5"/>
  <c r="J141" i="5" s="1"/>
  <c r="M243" i="5"/>
  <c r="M97" i="5"/>
  <c r="M287" i="5" s="1"/>
  <c r="M298" i="5" s="1"/>
  <c r="K94" i="5"/>
  <c r="K97" i="5" s="1"/>
  <c r="K287" i="5" s="1"/>
  <c r="K298" i="5" s="1"/>
  <c r="N93" i="5"/>
  <c r="P88" i="5"/>
  <c r="P93" i="5" s="1"/>
  <c r="P87" i="5"/>
  <c r="P92" i="5" s="1"/>
  <c r="S37" i="5"/>
  <c r="O284" i="5"/>
  <c r="R30" i="5" l="1"/>
  <c r="R31" i="5" s="1"/>
  <c r="R46" i="5" s="1"/>
  <c r="S19" i="5"/>
  <c r="S45" i="5" s="1"/>
  <c r="S75" i="5" s="1"/>
  <c r="S86" i="5" s="1"/>
  <c r="Q140" i="5"/>
  <c r="M140" i="5"/>
  <c r="O140" i="5"/>
  <c r="P140" i="5"/>
  <c r="K140" i="5"/>
  <c r="L140" i="5"/>
  <c r="N140" i="5"/>
  <c r="R140" i="5"/>
  <c r="K143" i="5"/>
  <c r="L143" i="5"/>
  <c r="N143" i="5"/>
  <c r="P143" i="5"/>
  <c r="Q143" i="5"/>
  <c r="M143" i="5"/>
  <c r="O143" i="5"/>
  <c r="R143" i="5"/>
  <c r="K142" i="5"/>
  <c r="O142" i="5"/>
  <c r="Q142" i="5"/>
  <c r="L142" i="5"/>
  <c r="R142" i="5"/>
  <c r="M142" i="5"/>
  <c r="P142" i="5"/>
  <c r="N142" i="5"/>
  <c r="M141" i="5"/>
  <c r="N141" i="5"/>
  <c r="K141" i="5"/>
  <c r="P141" i="5"/>
  <c r="L141" i="5"/>
  <c r="Q141" i="5"/>
  <c r="O141" i="5"/>
  <c r="R141" i="5"/>
  <c r="R138" i="5"/>
  <c r="P138" i="5"/>
  <c r="L138" i="5"/>
  <c r="K138" i="5"/>
  <c r="Q138" i="5"/>
  <c r="O138" i="5"/>
  <c r="M138" i="5"/>
  <c r="N138" i="5"/>
  <c r="R139" i="5"/>
  <c r="L139" i="5"/>
  <c r="K139" i="5"/>
  <c r="P139" i="5"/>
  <c r="N139" i="5"/>
  <c r="O139" i="5"/>
  <c r="Q139" i="5"/>
  <c r="M139" i="5"/>
  <c r="L97" i="5"/>
  <c r="L287" i="5" s="1"/>
  <c r="L298" i="5" s="1"/>
  <c r="P94" i="5"/>
  <c r="P97" i="5" s="1"/>
  <c r="P287" i="5" s="1"/>
  <c r="P298" i="5" s="1"/>
  <c r="O178" i="5"/>
  <c r="O179" i="5" s="1"/>
  <c r="P176" i="5" s="1"/>
  <c r="N243" i="5"/>
  <c r="N201" i="5"/>
  <c r="N94" i="5"/>
  <c r="N97" i="5" s="1"/>
  <c r="N287" i="5" s="1"/>
  <c r="N298" i="5" s="1"/>
  <c r="Q47" i="5"/>
  <c r="Q52" i="5" s="1"/>
  <c r="Q284" i="5" s="1"/>
  <c r="Q76" i="5"/>
  <c r="S30" i="5" l="1"/>
  <c r="S31" i="5" s="1"/>
  <c r="K148" i="5"/>
  <c r="K149" i="5" s="1"/>
  <c r="K55" i="5" s="1"/>
  <c r="K293" i="5" s="1"/>
  <c r="Q148" i="5"/>
  <c r="Q149" i="5" s="1"/>
  <c r="Q55" i="5" s="1"/>
  <c r="M148" i="5"/>
  <c r="M149" i="5" s="1"/>
  <c r="L148" i="5"/>
  <c r="L149" i="5" s="1"/>
  <c r="L55" i="5" s="1"/>
  <c r="P148" i="5"/>
  <c r="P149" i="5" s="1"/>
  <c r="P55" i="5" s="1"/>
  <c r="R148" i="5"/>
  <c r="R149" i="5" s="1"/>
  <c r="R55" i="5" s="1"/>
  <c r="N148" i="5"/>
  <c r="N149" i="5" s="1"/>
  <c r="N55" i="5" s="1"/>
  <c r="N56" i="5" s="1"/>
  <c r="O148" i="5"/>
  <c r="O149" i="5" s="1"/>
  <c r="O55" i="5" s="1"/>
  <c r="P178" i="5"/>
  <c r="P179" i="5" s="1"/>
  <c r="Q176" i="5" s="1"/>
  <c r="O243" i="5"/>
  <c r="O201" i="5"/>
  <c r="O97" i="5"/>
  <c r="O287" i="5" s="1"/>
  <c r="O298" i="5" s="1"/>
  <c r="Q88" i="5"/>
  <c r="Q93" i="5" s="1"/>
  <c r="Q87" i="5"/>
  <c r="Q92" i="5" s="1"/>
  <c r="R47" i="5"/>
  <c r="R52" i="5" s="1"/>
  <c r="R76" i="5"/>
  <c r="P370" i="5" l="1"/>
  <c r="P377" i="5" s="1"/>
  <c r="M171" i="5"/>
  <c r="M242" i="5" s="1"/>
  <c r="M55" i="5"/>
  <c r="M56" i="5" s="1"/>
  <c r="K171" i="5"/>
  <c r="K242" i="5" s="1"/>
  <c r="L171" i="5"/>
  <c r="L242" i="5" s="1"/>
  <c r="Q171" i="5"/>
  <c r="N171" i="5"/>
  <c r="R293" i="5"/>
  <c r="R171" i="5"/>
  <c r="P171" i="5"/>
  <c r="O171" i="5"/>
  <c r="L293" i="5"/>
  <c r="L56" i="5"/>
  <c r="R284" i="5"/>
  <c r="Q178" i="5"/>
  <c r="Q179" i="5" s="1"/>
  <c r="R176" i="5" s="1"/>
  <c r="P243" i="5"/>
  <c r="P201" i="5"/>
  <c r="Q94" i="5"/>
  <c r="Q97" i="5" s="1"/>
  <c r="Q287" i="5" s="1"/>
  <c r="Q298" i="5" s="1"/>
  <c r="R87" i="5"/>
  <c r="R92" i="5" s="1"/>
  <c r="R88" i="5"/>
  <c r="R93" i="5" s="1"/>
  <c r="S46" i="5"/>
  <c r="S47" i="5" l="1"/>
  <c r="S52" i="5" s="1"/>
  <c r="S284" i="5" s="1"/>
  <c r="S366" i="5" s="1"/>
  <c r="S370" i="5" s="1"/>
  <c r="S377" i="5" s="1"/>
  <c r="S384" i="5" s="1"/>
  <c r="S76" i="5"/>
  <c r="P384" i="5"/>
  <c r="M200" i="5"/>
  <c r="K200" i="5"/>
  <c r="K172" i="5"/>
  <c r="L169" i="5" s="1"/>
  <c r="L172" i="5" s="1"/>
  <c r="M169" i="5" s="1"/>
  <c r="M172" i="5" s="1"/>
  <c r="N169" i="5" s="1"/>
  <c r="N172" i="5" s="1"/>
  <c r="O169" i="5" s="1"/>
  <c r="O172" i="5" s="1"/>
  <c r="P169" i="5" s="1"/>
  <c r="P172" i="5" s="1"/>
  <c r="Q169" i="5" s="1"/>
  <c r="Q172" i="5" s="1"/>
  <c r="R169" i="5" s="1"/>
  <c r="R172" i="5" s="1"/>
  <c r="M293" i="5"/>
  <c r="L200" i="5"/>
  <c r="K56" i="5"/>
  <c r="R56" i="5"/>
  <c r="R59" i="5" s="1"/>
  <c r="R191" i="5" s="1"/>
  <c r="R199" i="5" s="1"/>
  <c r="R220" i="5" s="1"/>
  <c r="Q242" i="5"/>
  <c r="Q200" i="5"/>
  <c r="Q293" i="5"/>
  <c r="Q56" i="5"/>
  <c r="P200" i="5"/>
  <c r="P242" i="5"/>
  <c r="M59" i="5"/>
  <c r="M191" i="5" s="1"/>
  <c r="M199" i="5" s="1"/>
  <c r="M220" i="5" s="1"/>
  <c r="M233" i="5"/>
  <c r="M241" i="5" s="1"/>
  <c r="L59" i="5"/>
  <c r="L191" i="5" s="1"/>
  <c r="L199" i="5" s="1"/>
  <c r="L211" i="5" s="1"/>
  <c r="L233" i="5"/>
  <c r="L241" i="5" s="1"/>
  <c r="R200" i="5"/>
  <c r="R242" i="5"/>
  <c r="O242" i="5"/>
  <c r="O200" i="5"/>
  <c r="N242" i="5"/>
  <c r="N200" i="5"/>
  <c r="P293" i="5"/>
  <c r="P56" i="5"/>
  <c r="O56" i="5"/>
  <c r="O293" i="5"/>
  <c r="N293" i="5"/>
  <c r="R178" i="5"/>
  <c r="R179" i="5" s="1"/>
  <c r="Q243" i="5"/>
  <c r="Q201" i="5"/>
  <c r="R94" i="5"/>
  <c r="R377" i="5" l="1"/>
  <c r="R384" i="5" s="1"/>
  <c r="O390" i="5" s="1"/>
  <c r="S56" i="5"/>
  <c r="I276" i="5" s="1"/>
  <c r="S276" i="5" s="1"/>
  <c r="S285" i="5" s="1"/>
  <c r="R97" i="5"/>
  <c r="R287" i="5" s="1"/>
  <c r="R298" i="5" s="1"/>
  <c r="S87" i="5"/>
  <c r="S92" i="5" s="1"/>
  <c r="S88" i="5"/>
  <c r="S93" i="5" s="1"/>
  <c r="R233" i="5"/>
  <c r="R241" i="5" s="1"/>
  <c r="R262" i="5" s="1"/>
  <c r="L220" i="5"/>
  <c r="L202" i="5"/>
  <c r="L192" i="5" s="1"/>
  <c r="K59" i="5"/>
  <c r="K191" i="5" s="1"/>
  <c r="K199" i="5" s="1"/>
  <c r="K211" i="5" s="1"/>
  <c r="K233" i="5"/>
  <c r="K241" i="5" s="1"/>
  <c r="K244" i="5" s="1"/>
  <c r="K234" i="5" s="1"/>
  <c r="R211" i="5"/>
  <c r="M202" i="5"/>
  <c r="M205" i="5" s="1"/>
  <c r="M211" i="5"/>
  <c r="Q59" i="5"/>
  <c r="Q191" i="5" s="1"/>
  <c r="Q199" i="5" s="1"/>
  <c r="Q202" i="5" s="1"/>
  <c r="Q192" i="5" s="1"/>
  <c r="Q233" i="5"/>
  <c r="Q241" i="5" s="1"/>
  <c r="Q244" i="5" s="1"/>
  <c r="Q234" i="5" s="1"/>
  <c r="O59" i="5"/>
  <c r="O191" i="5" s="1"/>
  <c r="O199" i="5" s="1"/>
  <c r="O233" i="5"/>
  <c r="O241" i="5" s="1"/>
  <c r="P59" i="5"/>
  <c r="P191" i="5" s="1"/>
  <c r="P199" i="5" s="1"/>
  <c r="P233" i="5"/>
  <c r="P241" i="5" s="1"/>
  <c r="L253" i="5"/>
  <c r="L262" i="5"/>
  <c r="L244" i="5"/>
  <c r="M262" i="5"/>
  <c r="M244" i="5"/>
  <c r="M253" i="5"/>
  <c r="N233" i="5"/>
  <c r="N241" i="5" s="1"/>
  <c r="N59" i="5"/>
  <c r="N191" i="5" s="1"/>
  <c r="N199" i="5" s="1"/>
  <c r="R243" i="5"/>
  <c r="R201" i="5"/>
  <c r="R202" i="5" s="1"/>
  <c r="S59" i="5" l="1"/>
  <c r="S61" i="5" s="1"/>
  <c r="S63" i="5" s="1"/>
  <c r="S65" i="5" s="1"/>
  <c r="S292" i="5" s="1"/>
  <c r="S94" i="5"/>
  <c r="S97" i="5" s="1"/>
  <c r="S287" i="5" s="1"/>
  <c r="R253" i="5"/>
  <c r="K253" i="5"/>
  <c r="K262" i="5"/>
  <c r="K202" i="5"/>
  <c r="K205" i="5" s="1"/>
  <c r="L205" i="5"/>
  <c r="K220" i="5"/>
  <c r="R244" i="5"/>
  <c r="R247" i="5" s="1"/>
  <c r="K247" i="5"/>
  <c r="K254" i="5" s="1"/>
  <c r="K248" i="5" s="1"/>
  <c r="K249" i="5" s="1"/>
  <c r="K260" i="5" s="1"/>
  <c r="K276" i="5" s="1"/>
  <c r="K285" i="5" s="1"/>
  <c r="M192" i="5"/>
  <c r="Q205" i="5"/>
  <c r="Q253" i="5"/>
  <c r="Q262" i="5"/>
  <c r="Q220" i="5"/>
  <c r="Q211" i="5"/>
  <c r="Q247" i="5"/>
  <c r="L247" i="5"/>
  <c r="L234" i="5"/>
  <c r="P262" i="5"/>
  <c r="P253" i="5"/>
  <c r="P244" i="5"/>
  <c r="N253" i="5"/>
  <c r="N262" i="5"/>
  <c r="N244" i="5"/>
  <c r="P220" i="5"/>
  <c r="P211" i="5"/>
  <c r="P202" i="5"/>
  <c r="O262" i="5"/>
  <c r="O253" i="5"/>
  <c r="O244" i="5"/>
  <c r="N211" i="5"/>
  <c r="N202" i="5"/>
  <c r="N220" i="5"/>
  <c r="M247" i="5"/>
  <c r="M234" i="5"/>
  <c r="O211" i="5"/>
  <c r="O220" i="5"/>
  <c r="O202" i="5"/>
  <c r="R205" i="5"/>
  <c r="R192" i="5"/>
  <c r="I277" i="5" l="1"/>
  <c r="S277" i="5" s="1"/>
  <c r="S278" i="5" s="1"/>
  <c r="S296" i="5" s="1"/>
  <c r="S298" i="5"/>
  <c r="S288" i="5"/>
  <c r="K288" i="5"/>
  <c r="K192" i="5"/>
  <c r="K212" i="5" s="1"/>
  <c r="K213" i="5" s="1"/>
  <c r="L210" i="5" s="1"/>
  <c r="R234" i="5"/>
  <c r="N247" i="5"/>
  <c r="N234" i="5"/>
  <c r="O247" i="5"/>
  <c r="O234" i="5"/>
  <c r="P247" i="5"/>
  <c r="P234" i="5"/>
  <c r="N205" i="5"/>
  <c r="N192" i="5"/>
  <c r="O205" i="5"/>
  <c r="O192" i="5"/>
  <c r="P205" i="5"/>
  <c r="P192" i="5"/>
  <c r="K255" i="5"/>
  <c r="L252" i="5" s="1"/>
  <c r="L254" i="5" s="1"/>
  <c r="L255" i="5" s="1"/>
  <c r="M252" i="5" s="1"/>
  <c r="M254" i="5" s="1"/>
  <c r="M255" i="5" s="1"/>
  <c r="N252" i="5" s="1"/>
  <c r="K261" i="5"/>
  <c r="S299" i="5" l="1"/>
  <c r="S365" i="5" s="1"/>
  <c r="S369" i="5" s="1"/>
  <c r="N254" i="5"/>
  <c r="N255" i="5" s="1"/>
  <c r="O252" i="5" s="1"/>
  <c r="O254" i="5" s="1"/>
  <c r="O255" i="5" s="1"/>
  <c r="P252" i="5" s="1"/>
  <c r="K206" i="5"/>
  <c r="K207" i="5" s="1"/>
  <c r="K218" i="5" s="1"/>
  <c r="K61" i="5" s="1"/>
  <c r="L248" i="5"/>
  <c r="L249" i="5" s="1"/>
  <c r="L260" i="5" s="1"/>
  <c r="L261" i="5" s="1"/>
  <c r="L212" i="5"/>
  <c r="L206" i="5" s="1"/>
  <c r="L207" i="5" s="1"/>
  <c r="S371" i="5" l="1"/>
  <c r="S376" i="5"/>
  <c r="K277" i="5"/>
  <c r="K278" i="5" s="1"/>
  <c r="K296" i="5" s="1"/>
  <c r="K219" i="5"/>
  <c r="K62" i="5" s="1"/>
  <c r="K294" i="5" s="1"/>
  <c r="P254" i="5"/>
  <c r="P248" i="5" s="1"/>
  <c r="P249" i="5" s="1"/>
  <c r="P260" i="5" s="1"/>
  <c r="L276" i="5"/>
  <c r="L285" i="5" s="1"/>
  <c r="L288" i="5" s="1"/>
  <c r="M248" i="5"/>
  <c r="M249" i="5" s="1"/>
  <c r="M260" i="5" s="1"/>
  <c r="M261" i="5" s="1"/>
  <c r="L218" i="5"/>
  <c r="L61" i="5" s="1"/>
  <c r="L213" i="5"/>
  <c r="M210" i="5" s="1"/>
  <c r="S378" i="5" l="1"/>
  <c r="S383" i="5"/>
  <c r="S385" i="5" s="1"/>
  <c r="K63" i="5"/>
  <c r="K65" i="5" s="1"/>
  <c r="P255" i="5"/>
  <c r="Q252" i="5" s="1"/>
  <c r="Q254" i="5" s="1"/>
  <c r="Q248" i="5" s="1"/>
  <c r="Q249" i="5" s="1"/>
  <c r="Q260" i="5" s="1"/>
  <c r="P261" i="5"/>
  <c r="P276" i="5"/>
  <c r="P285" i="5" s="1"/>
  <c r="P288" i="5" s="1"/>
  <c r="M276" i="5"/>
  <c r="M285" i="5" s="1"/>
  <c r="M288" i="5" s="1"/>
  <c r="N248" i="5"/>
  <c r="N249" i="5" s="1"/>
  <c r="N260" i="5" s="1"/>
  <c r="N261" i="5" s="1"/>
  <c r="L219" i="5"/>
  <c r="L62" i="5" s="1"/>
  <c r="L294" i="5" s="1"/>
  <c r="L277" i="5"/>
  <c r="L278" i="5" s="1"/>
  <c r="L296" i="5" s="1"/>
  <c r="M212" i="5"/>
  <c r="M206" i="5" s="1"/>
  <c r="M207" i="5" s="1"/>
  <c r="M218" i="5" s="1"/>
  <c r="M61" i="5" s="1"/>
  <c r="K292" i="5" l="1"/>
  <c r="K299" i="5" s="1"/>
  <c r="K318" i="5" s="1"/>
  <c r="K322" i="5" s="1"/>
  <c r="K324" i="5" s="1"/>
  <c r="Q255" i="5"/>
  <c r="R252" i="5" s="1"/>
  <c r="R254" i="5" s="1"/>
  <c r="R248" i="5" s="1"/>
  <c r="R249" i="5" s="1"/>
  <c r="R260" i="5" s="1"/>
  <c r="Q261" i="5"/>
  <c r="Q276" i="5"/>
  <c r="Q285" i="5" s="1"/>
  <c r="Q288" i="5" s="1"/>
  <c r="N276" i="5"/>
  <c r="N285" i="5" s="1"/>
  <c r="N288" i="5" s="1"/>
  <c r="L63" i="5"/>
  <c r="M277" i="5"/>
  <c r="M278" i="5" s="1"/>
  <c r="M296" i="5" s="1"/>
  <c r="M219" i="5"/>
  <c r="M62" i="5" s="1"/>
  <c r="M294" i="5" s="1"/>
  <c r="M213" i="5"/>
  <c r="N210" i="5" s="1"/>
  <c r="K365" i="5" l="1"/>
  <c r="K369" i="5" s="1"/>
  <c r="K371" i="5" s="1"/>
  <c r="K302" i="5"/>
  <c r="L65" i="5"/>
  <c r="L292" i="5" s="1"/>
  <c r="L299" i="5" s="1"/>
  <c r="R255" i="5"/>
  <c r="R261" i="5"/>
  <c r="R276" i="5"/>
  <c r="R285" i="5" s="1"/>
  <c r="R288" i="5" s="1"/>
  <c r="O248" i="5"/>
  <c r="O249" i="5" s="1"/>
  <c r="O260" i="5" s="1"/>
  <c r="O261" i="5" s="1"/>
  <c r="N212" i="5"/>
  <c r="N206" i="5" s="1"/>
  <c r="N207" i="5" s="1"/>
  <c r="N218" i="5" s="1"/>
  <c r="M63" i="5"/>
  <c r="M65" i="5" s="1"/>
  <c r="M292" i="5" s="1"/>
  <c r="M299" i="5" s="1"/>
  <c r="K329" i="5" l="1"/>
  <c r="K331" i="5" s="1"/>
  <c r="K376" i="5"/>
  <c r="K378" i="5" s="1"/>
  <c r="L302" i="5"/>
  <c r="L365" i="5"/>
  <c r="L369" i="5" s="1"/>
  <c r="L371" i="5" s="1"/>
  <c r="L318" i="5"/>
  <c r="L322" i="5" s="1"/>
  <c r="L324" i="5" s="1"/>
  <c r="O276" i="5"/>
  <c r="O285" i="5" s="1"/>
  <c r="O288" i="5" s="1"/>
  <c r="D237" i="5"/>
  <c r="M318" i="5"/>
  <c r="M322" i="5" s="1"/>
  <c r="M365" i="5"/>
  <c r="M369" i="5" s="1"/>
  <c r="M302" i="5"/>
  <c r="N213" i="5"/>
  <c r="O210" i="5" s="1"/>
  <c r="N61" i="5"/>
  <c r="N277" i="5"/>
  <c r="N278" i="5" s="1"/>
  <c r="N296" i="5" s="1"/>
  <c r="N219" i="5"/>
  <c r="N62" i="5" s="1"/>
  <c r="N294" i="5" s="1"/>
  <c r="K336" i="5" l="1"/>
  <c r="K383" i="5"/>
  <c r="L376" i="5"/>
  <c r="L383" i="5" s="1"/>
  <c r="L385" i="5" s="1"/>
  <c r="L329" i="5"/>
  <c r="L336" i="5" s="1"/>
  <c r="L338" i="5" s="1"/>
  <c r="O212" i="5"/>
  <c r="O213" i="5" s="1"/>
  <c r="P210" i="5" s="1"/>
  <c r="N63" i="5"/>
  <c r="N65" i="5" s="1"/>
  <c r="N292" i="5" s="1"/>
  <c r="M324" i="5"/>
  <c r="M329" i="5"/>
  <c r="M371" i="5"/>
  <c r="M376" i="5"/>
  <c r="K338" i="5" l="1"/>
  <c r="K385" i="5"/>
  <c r="L331" i="5"/>
  <c r="L378" i="5"/>
  <c r="N299" i="5"/>
  <c r="N318" i="5" s="1"/>
  <c r="N322" i="5" s="1"/>
  <c r="P212" i="5"/>
  <c r="P206" i="5" s="1"/>
  <c r="P207" i="5" s="1"/>
  <c r="P218" i="5" s="1"/>
  <c r="P277" i="5" s="1"/>
  <c r="P278" i="5" s="1"/>
  <c r="P296" i="5" s="1"/>
  <c r="O206" i="5"/>
  <c r="O207" i="5" s="1"/>
  <c r="O218" i="5" s="1"/>
  <c r="O219" i="5" s="1"/>
  <c r="M378" i="5"/>
  <c r="M383" i="5"/>
  <c r="M331" i="5"/>
  <c r="M336" i="5"/>
  <c r="D195" i="5"/>
  <c r="N302" i="5" l="1"/>
  <c r="N365" i="5"/>
  <c r="N369" i="5" s="1"/>
  <c r="N376" i="5" s="1"/>
  <c r="P213" i="5"/>
  <c r="Q210" i="5" s="1"/>
  <c r="Q212" i="5" s="1"/>
  <c r="Q206" i="5" s="1"/>
  <c r="Q207" i="5" s="1"/>
  <c r="Q218" i="5" s="1"/>
  <c r="Q277" i="5" s="1"/>
  <c r="Q278" i="5" s="1"/>
  <c r="Q296" i="5" s="1"/>
  <c r="P61" i="5"/>
  <c r="P219" i="5"/>
  <c r="P62" i="5" s="1"/>
  <c r="P294" i="5" s="1"/>
  <c r="O61" i="5"/>
  <c r="O277" i="5"/>
  <c r="O278" i="5" s="1"/>
  <c r="O296" i="5" s="1"/>
  <c r="O62" i="5"/>
  <c r="O294" i="5" s="1"/>
  <c r="N324" i="5"/>
  <c r="N329" i="5"/>
  <c r="M338" i="5"/>
  <c r="M385" i="5"/>
  <c r="N371" i="5" l="1"/>
  <c r="O63" i="5"/>
  <c r="O65" i="5" s="1"/>
  <c r="O292" i="5" s="1"/>
  <c r="O299" i="5" s="1"/>
  <c r="Q61" i="5"/>
  <c r="Q219" i="5"/>
  <c r="Q62" i="5" s="1"/>
  <c r="Q294" i="5" s="1"/>
  <c r="P63" i="5"/>
  <c r="P65" i="5" s="1"/>
  <c r="P292" i="5" s="1"/>
  <c r="P299" i="5" s="1"/>
  <c r="P365" i="5" s="1"/>
  <c r="Q213" i="5"/>
  <c r="R210" i="5" s="1"/>
  <c r="N378" i="5"/>
  <c r="N383" i="5"/>
  <c r="N331" i="5"/>
  <c r="N336" i="5"/>
  <c r="P318" i="5" l="1"/>
  <c r="P322" i="5" s="1"/>
  <c r="P324" i="5" s="1"/>
  <c r="Q63" i="5"/>
  <c r="Q65" i="5" s="1"/>
  <c r="Q292" i="5" s="1"/>
  <c r="Q299" i="5" s="1"/>
  <c r="Q365" i="5" s="1"/>
  <c r="Q369" i="5" s="1"/>
  <c r="Q376" i="5" s="1"/>
  <c r="O330" i="5"/>
  <c r="O337" i="5" s="1"/>
  <c r="P302" i="5"/>
  <c r="P369" i="5"/>
  <c r="R212" i="5"/>
  <c r="R206" i="5" s="1"/>
  <c r="R207" i="5" s="1"/>
  <c r="R218" i="5" s="1"/>
  <c r="R277" i="5" s="1"/>
  <c r="R278" i="5" s="1"/>
  <c r="R296" i="5" s="1"/>
  <c r="O302" i="5"/>
  <c r="O365" i="5"/>
  <c r="O369" i="5" s="1"/>
  <c r="O371" i="5" s="1"/>
  <c r="O318" i="5"/>
  <c r="O322" i="5" s="1"/>
  <c r="N338" i="5"/>
  <c r="N385" i="5"/>
  <c r="Q371" i="5" l="1"/>
  <c r="P329" i="5"/>
  <c r="P336" i="5" s="1"/>
  <c r="P338" i="5" s="1"/>
  <c r="Q318" i="5"/>
  <c r="Q322" i="5" s="1"/>
  <c r="O324" i="5"/>
  <c r="O329" i="5"/>
  <c r="O331" i="5" s="1"/>
  <c r="R61" i="5"/>
  <c r="R219" i="5"/>
  <c r="R62" i="5" s="1"/>
  <c r="R294" i="5" s="1"/>
  <c r="P371" i="5"/>
  <c r="P376" i="5"/>
  <c r="R213" i="5"/>
  <c r="O376" i="5"/>
  <c r="O383" i="5" s="1"/>
  <c r="Q383" i="5" l="1"/>
  <c r="Q385" i="5" s="1"/>
  <c r="Q378" i="5"/>
  <c r="P331" i="5"/>
  <c r="O385" i="5"/>
  <c r="Q329" i="5"/>
  <c r="Q331" i="5" s="1"/>
  <c r="Q324" i="5"/>
  <c r="R63" i="5"/>
  <c r="R65" i="5" s="1"/>
  <c r="R292" i="5" s="1"/>
  <c r="P378" i="5"/>
  <c r="P383" i="5"/>
  <c r="P385" i="5" s="1"/>
  <c r="O378" i="5"/>
  <c r="O336" i="5"/>
  <c r="O338" i="5" s="1"/>
  <c r="Q336" i="5" l="1"/>
  <c r="Q338" i="5" s="1"/>
  <c r="R299" i="5"/>
  <c r="R365" i="5" s="1"/>
  <c r="S318" i="5" l="1"/>
  <c r="S322" i="5" s="1"/>
  <c r="S329" i="5" s="1"/>
  <c r="S336" i="5" s="1"/>
  <c r="R369" i="5"/>
  <c r="R318" i="5"/>
  <c r="R322" i="5" s="1"/>
  <c r="R324" i="5" s="1"/>
  <c r="R371" i="5" l="1"/>
  <c r="R376" i="5"/>
  <c r="S323" i="5"/>
  <c r="R329" i="5"/>
  <c r="R378" i="5" l="1"/>
  <c r="R383" i="5"/>
  <c r="O389" i="5" s="1"/>
  <c r="O391" i="5" s="1"/>
  <c r="S330" i="5"/>
  <c r="S337" i="5" s="1"/>
  <c r="S324" i="5"/>
  <c r="R331" i="5"/>
  <c r="R336" i="5"/>
  <c r="O342" i="5" s="1"/>
  <c r="J390" i="5" l="1"/>
  <c r="J395" i="5" s="1"/>
  <c r="R385" i="5"/>
  <c r="J389" i="5" s="1"/>
  <c r="S338" i="5"/>
  <c r="S331" i="5"/>
  <c r="J343" i="5" s="1"/>
  <c r="J348" i="5" s="1"/>
  <c r="R337" i="5"/>
  <c r="O343" i="5" s="1"/>
  <c r="J397" i="5" l="1"/>
  <c r="F13" i="3"/>
  <c r="C23" i="3"/>
  <c r="N389" i="5"/>
  <c r="R338" i="5"/>
  <c r="J342" i="5" s="1"/>
  <c r="J350" i="5"/>
  <c r="O348" i="5" s="1"/>
  <c r="O350" i="5" s="1"/>
  <c r="G59" i="3"/>
  <c r="D69" i="3"/>
  <c r="O344" i="5"/>
  <c r="N342" i="5" s="1"/>
  <c r="O395" i="5" l="1"/>
  <c r="O397" i="5" s="1"/>
  <c r="N390" i="5"/>
  <c r="N391" i="5"/>
  <c r="N344" i="5"/>
  <c r="N34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2" authorId="0" shapeId="0" xr:uid="{98A462A7-D0A5-024C-9EB6-C67411D13406}">
      <text>
        <r>
          <rPr>
            <sz val="11"/>
            <color rgb="FF000000"/>
            <rFont val="Aptos Narrow"/>
            <family val="2"/>
          </rPr>
          <t xml:space="preserve">
</t>
        </r>
        <r>
          <rPr>
            <sz val="11"/>
            <color rgb="FF000000"/>
            <rFont val="Aptos Narrow"/>
            <family val="2"/>
          </rPr>
          <t>% of opening PP&amp;E</t>
        </r>
      </text>
    </comment>
    <comment ref="I13" authorId="0" shapeId="0" xr:uid="{CDC6560C-418A-814B-8064-58622B154B3B}">
      <text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Average balance</t>
        </r>
      </text>
    </comment>
    <comment ref="A102" authorId="0" shapeId="0" xr:uid="{85160407-260E-8746-A597-21B415A8AF58}">
      <text>
        <r>
          <rPr>
            <sz val="11"/>
            <color rgb="FF000000"/>
            <rFont val="Aptos Narrow"/>
            <family val="2"/>
          </rPr>
          <t xml:space="preserve">======
</t>
        </r>
        <r>
          <rPr>
            <sz val="11"/>
            <color rgb="FF000000"/>
            <rFont val="Aptos Narrow"/>
            <family val="2"/>
          </rPr>
          <t xml:space="preserve">ID#AAAAqQiQ8JM
</t>
        </r>
        <r>
          <rPr>
            <sz val="11"/>
            <color rgb="FF000000"/>
            <rFont val="Aptos Narrow"/>
            <family val="2"/>
          </rPr>
          <t xml:space="preserve">CFI    (2023-02-13 21:11:43)
</t>
        </r>
        <r>
          <rPr>
            <sz val="11"/>
            <color rgb="FF000000"/>
            <rFont val="Aptos Narrow"/>
            <family val="2"/>
          </rPr>
          <t>We are using term debt/bond in this example so there's no compounding interest. To learn more about revolver and compound interest, take our LBO modeling course.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<sst xmlns="http://schemas.openxmlformats.org/spreadsheetml/2006/main" count="1578" uniqueCount="847">
  <si>
    <t xml:space="preserve"> </t>
  </si>
  <si>
    <t>Two UFCF Methods Different?</t>
  </si>
  <si>
    <t>Incorrect Date Set for First Cash Flow?</t>
  </si>
  <si>
    <t>Incorrect Date Set for Valuation?</t>
  </si>
  <si>
    <t xml:space="preserve">These tables require the workbook calculation to be set to automatic to update. </t>
  </si>
  <si>
    <t>WACC</t>
  </si>
  <si>
    <t>Terminal Multiple</t>
  </si>
  <si>
    <t>Premium (Discount) to Stock Price</t>
  </si>
  <si>
    <t>Equity Value</t>
  </si>
  <si>
    <t>Equity Value per Share</t>
  </si>
  <si>
    <r>
      <t xml:space="preserve">Enterprise Value </t>
    </r>
    <r>
      <rPr>
        <b/>
        <vertAlign val="superscript"/>
        <sz val="10"/>
        <color theme="1"/>
        <rFont val="Open Sans"/>
        <family val="2"/>
      </rPr>
      <t>1</t>
    </r>
  </si>
  <si>
    <t>(US$/sh)</t>
  </si>
  <si>
    <t>Current Stock Price</t>
  </si>
  <si>
    <t>(FD 000)</t>
  </si>
  <si>
    <t>Shares Outstanding</t>
  </si>
  <si>
    <t>Net Debt</t>
  </si>
  <si>
    <t>Per Share</t>
  </si>
  <si>
    <t>Value</t>
  </si>
  <si>
    <t>Equity</t>
  </si>
  <si>
    <t>Enterprise</t>
  </si>
  <si>
    <t>Selected Inputs</t>
  </si>
  <si>
    <r>
      <t xml:space="preserve">Main Outputs </t>
    </r>
    <r>
      <rPr>
        <b/>
        <vertAlign val="superscript"/>
        <sz val="10"/>
        <color theme="1"/>
        <rFont val="Open Sans"/>
        <family val="2"/>
      </rPr>
      <t>1</t>
    </r>
  </si>
  <si>
    <t>All figures in USD thousands unless stated</t>
  </si>
  <si>
    <t>Model Drivers Set To</t>
  </si>
  <si>
    <t>Dashboard: Multiple Method</t>
  </si>
  <si>
    <t>Terminal Growth Rate</t>
  </si>
  <si>
    <t>Worst Case</t>
  </si>
  <si>
    <t>Base Case</t>
  </si>
  <si>
    <t>Best Case</t>
  </si>
  <si>
    <t>Dashboard: Perpetuity Method</t>
  </si>
  <si>
    <t xml:space="preserve">The Terminal EBITDA multiple should reflect a 'steady-state' industry multiple. </t>
  </si>
  <si>
    <t>(Years)</t>
  </si>
  <si>
    <t>Useful Life: New Assets</t>
  </si>
  <si>
    <t>Terminal Growth Greater Than or Equal To WACC?</t>
  </si>
  <si>
    <t>Useful Life: Existing Assets</t>
  </si>
  <si>
    <t>Weighted Average Cost of Capital (WACC)</t>
  </si>
  <si>
    <t>First Year Accounting Depreciation</t>
  </si>
  <si>
    <r>
      <t xml:space="preserve">Terminal EBITDA Multiple </t>
    </r>
    <r>
      <rPr>
        <vertAlign val="superscript"/>
        <sz val="10"/>
        <color theme="1"/>
        <rFont val="Open Sans"/>
        <family val="2"/>
      </rPr>
      <t>1</t>
    </r>
  </si>
  <si>
    <t>Blended Tax Depreciation Rate</t>
  </si>
  <si>
    <t>First Year Tax Depreciation</t>
  </si>
  <si>
    <t>Projected Interest Expense</t>
  </si>
  <si>
    <t>(Units/Day)</t>
  </si>
  <si>
    <t>Plant Capacity</t>
  </si>
  <si>
    <t>Valuation</t>
  </si>
  <si>
    <t>Other Inputs</t>
  </si>
  <si>
    <t>Days in Period</t>
  </si>
  <si>
    <t>Tax Losses</t>
  </si>
  <si>
    <t>(YYYY)</t>
  </si>
  <si>
    <t>First Year of Forecast</t>
  </si>
  <si>
    <t>Tax Basis for PP&amp;E</t>
  </si>
  <si>
    <t>(YY-MM-DD)</t>
  </si>
  <si>
    <t>First Fiscal Year End for Forecast</t>
  </si>
  <si>
    <t>Property Plant &amp; Equipment</t>
  </si>
  <si>
    <t>First Expected Cash Flow</t>
  </si>
  <si>
    <t>Valuation Date</t>
  </si>
  <si>
    <t>Dates</t>
  </si>
  <si>
    <t>Weighted Average Cost of Capital</t>
  </si>
  <si>
    <t>Equity Capital</t>
  </si>
  <si>
    <t>Debt Capital</t>
  </si>
  <si>
    <t xml:space="preserve">Tax Rate is a 5-Year Average. </t>
  </si>
  <si>
    <t>Cost</t>
  </si>
  <si>
    <t>Weight</t>
  </si>
  <si>
    <t>Debt / Equity</t>
  </si>
  <si>
    <t>Total Capitalization</t>
  </si>
  <si>
    <t>After-Tax Cost of Debt</t>
  </si>
  <si>
    <t>Tax Rate</t>
  </si>
  <si>
    <t>Total Debt</t>
  </si>
  <si>
    <t>Pre-Tax Cost of Debt</t>
  </si>
  <si>
    <t>Target</t>
  </si>
  <si>
    <t>Current</t>
  </si>
  <si>
    <t>Cost of Debt</t>
  </si>
  <si>
    <t>Capital Structure</t>
  </si>
  <si>
    <t>Cost of Equity</t>
  </si>
  <si>
    <t>Median</t>
  </si>
  <si>
    <t>Average</t>
  </si>
  <si>
    <r>
      <t xml:space="preserve">Beta </t>
    </r>
    <r>
      <rPr>
        <b/>
        <vertAlign val="superscript"/>
        <sz val="10"/>
        <color theme="1"/>
        <rFont val="Open Sans"/>
        <family val="2"/>
      </rPr>
      <t>3</t>
    </r>
  </si>
  <si>
    <r>
      <t xml:space="preserve">Beta </t>
    </r>
    <r>
      <rPr>
        <b/>
        <vertAlign val="superscript"/>
        <sz val="10"/>
        <color theme="1"/>
        <rFont val="Open Sans"/>
        <family val="2"/>
      </rPr>
      <t>2</t>
    </r>
  </si>
  <si>
    <t>Capital</t>
  </si>
  <si>
    <r>
      <t xml:space="preserve">Tax Rate </t>
    </r>
    <r>
      <rPr>
        <b/>
        <vertAlign val="superscript"/>
        <sz val="10"/>
        <color theme="1"/>
        <rFont val="Open Sans"/>
        <family val="2"/>
      </rPr>
      <t>1</t>
    </r>
  </si>
  <si>
    <t>Debt</t>
  </si>
  <si>
    <t>Region</t>
  </si>
  <si>
    <t>Name</t>
  </si>
  <si>
    <t>Unlevered</t>
  </si>
  <si>
    <t>Levered</t>
  </si>
  <si>
    <t>Debt/</t>
  </si>
  <si>
    <t xml:space="preserve">We have assumed working capital amounts per day in terminal year are equal to the previous year. </t>
  </si>
  <si>
    <t>(Days)</t>
  </si>
  <si>
    <t>Accounts Payable</t>
  </si>
  <si>
    <t>Inventory</t>
  </si>
  <si>
    <t>Accounts Receivable</t>
  </si>
  <si>
    <r>
      <t xml:space="preserve">Working Capital </t>
    </r>
    <r>
      <rPr>
        <b/>
        <vertAlign val="superscript"/>
        <sz val="10"/>
        <color rgb="FF000000"/>
        <rFont val="Open Sans"/>
        <family val="2"/>
      </rPr>
      <t>1</t>
    </r>
  </si>
  <si>
    <t>Inflation Rate</t>
  </si>
  <si>
    <t>Capital Expenditure</t>
  </si>
  <si>
    <t>Driver Switch</t>
  </si>
  <si>
    <t>Term</t>
  </si>
  <si>
    <t>Drivers</t>
  </si>
  <si>
    <t xml:space="preserve">The Enterprise Value from the XNPV Function is slightly different from the Manual Method due to treatment of leap years. </t>
  </si>
  <si>
    <t xml:space="preserve">We have applied an LTM multiple to the EBITDA at the end of the terminal year to calculate the Terminal Value. </t>
  </si>
  <si>
    <t>($/sh)</t>
  </si>
  <si>
    <t>Less: Net Debt</t>
  </si>
  <si>
    <t>Enterprise Value</t>
  </si>
  <si>
    <t>EQUITY VALUE PER SHARE</t>
  </si>
  <si>
    <t>EQUITY VALUE</t>
  </si>
  <si>
    <t>PV of Terminal</t>
  </si>
  <si>
    <r>
      <t xml:space="preserve">XNPV Function </t>
    </r>
    <r>
      <rPr>
        <vertAlign val="superscript"/>
        <sz val="9"/>
        <rFont val="Open Sans"/>
        <family val="2"/>
      </rPr>
      <t>2</t>
    </r>
  </si>
  <si>
    <t>PV of Discrete</t>
  </si>
  <si>
    <t>Manual Method</t>
  </si>
  <si>
    <t>ENTERPRISE VALUE</t>
  </si>
  <si>
    <t>Total Cash Flow</t>
  </si>
  <si>
    <t>Terminal Value</t>
  </si>
  <si>
    <t>Discrete Forecast</t>
  </si>
  <si>
    <t>Years for Discounting</t>
  </si>
  <si>
    <t>DISCOUNTED CASH FLOW</t>
  </si>
  <si>
    <t>Partial Period Adjustment</t>
  </si>
  <si>
    <t>ADJUSTED CASH FLOW</t>
  </si>
  <si>
    <t>Adjustment</t>
  </si>
  <si>
    <r>
      <t xml:space="preserve">Terminal Value </t>
    </r>
    <r>
      <rPr>
        <vertAlign val="superscript"/>
        <sz val="10"/>
        <rFont val="Open Sans"/>
        <family val="2"/>
      </rPr>
      <t>1</t>
    </r>
  </si>
  <si>
    <t>Terminal</t>
  </si>
  <si>
    <t>UNADJUSTED CASH FLOW</t>
  </si>
  <si>
    <t>EBITDA</t>
  </si>
  <si>
    <t>Unlevered Free Cash Flow</t>
  </si>
  <si>
    <t>Cash Flow Timing</t>
  </si>
  <si>
    <t>Fiscal Year End</t>
  </si>
  <si>
    <t>Discounted Cash Flow Schedule: Multiple Method</t>
  </si>
  <si>
    <t xml:space="preserve">The Enterprise Value from the XNPV Function is slightly different due to treatment of leap years. </t>
  </si>
  <si>
    <r>
      <t xml:space="preserve">XNPV Function </t>
    </r>
    <r>
      <rPr>
        <vertAlign val="superscript"/>
        <sz val="9"/>
        <color rgb="FF000000"/>
        <rFont val="Open Sans"/>
        <family val="2"/>
      </rPr>
      <t>1</t>
    </r>
  </si>
  <si>
    <t>Terminal Growth</t>
  </si>
  <si>
    <t>Discounted Cash Flow Schedule: Perpetuity Method</t>
  </si>
  <si>
    <t xml:space="preserve">This schedule assumes no deferred taxes in the terminal year. </t>
  </si>
  <si>
    <t xml:space="preserve">Capital expenditure has been set equal to depreciation in the terminal year. </t>
  </si>
  <si>
    <t>Change in Working Capital</t>
  </si>
  <si>
    <t>Tax Shield From Interest</t>
  </si>
  <si>
    <t>Interest Expense</t>
  </si>
  <si>
    <r>
      <t xml:space="preserve">Deferred Tax </t>
    </r>
    <r>
      <rPr>
        <vertAlign val="superscript"/>
        <sz val="9"/>
        <rFont val="Open Sans"/>
        <family val="2"/>
      </rPr>
      <t>2</t>
    </r>
  </si>
  <si>
    <r>
      <t xml:space="preserve">Depreciation </t>
    </r>
    <r>
      <rPr>
        <vertAlign val="superscript"/>
        <sz val="9"/>
        <rFont val="Open Sans"/>
        <family val="2"/>
      </rPr>
      <t>1</t>
    </r>
  </si>
  <si>
    <t>Net Income</t>
  </si>
  <si>
    <t>NET INCOME METHOD</t>
  </si>
  <si>
    <t>Current Taxes</t>
  </si>
  <si>
    <t>EBITDA METHOD</t>
  </si>
  <si>
    <t>Total Tax Shield</t>
  </si>
  <si>
    <t>EBT</t>
  </si>
  <si>
    <t>Current Taxes (Levered)</t>
  </si>
  <si>
    <t>EBIT</t>
  </si>
  <si>
    <t>Current Taxes (Unlevered)</t>
  </si>
  <si>
    <t>Line Item</t>
  </si>
  <si>
    <t>TAX SHIELD FROM INTEREST</t>
  </si>
  <si>
    <t>Unlevered Free Cash Flow Schedule</t>
  </si>
  <si>
    <t xml:space="preserve">This schedule assumes losses do not carry back to previous periods to reduce taxable income. </t>
  </si>
  <si>
    <t xml:space="preserve">This schedule assumes that tax losses can be carried forward indefinitely into the future. </t>
  </si>
  <si>
    <t>Total Taxes</t>
  </si>
  <si>
    <t>Deferred Taxes</t>
  </si>
  <si>
    <t>TAXES</t>
  </si>
  <si>
    <t>Ending</t>
  </si>
  <si>
    <t>Less: Use of Tax Losses</t>
  </si>
  <si>
    <t>Add: New Losses</t>
  </si>
  <si>
    <t>Beginning</t>
  </si>
  <si>
    <t>TAX LOSSES</t>
  </si>
  <si>
    <t>Taxable Income</t>
  </si>
  <si>
    <r>
      <t xml:space="preserve">Less: Use of Tax Losses </t>
    </r>
    <r>
      <rPr>
        <vertAlign val="superscript"/>
        <sz val="9"/>
        <rFont val="Open Sans"/>
        <family val="2"/>
      </rPr>
      <t>2</t>
    </r>
  </si>
  <si>
    <t>EBIT After Adjustment</t>
  </si>
  <si>
    <r>
      <t xml:space="preserve">ADJUSTMENT FOR TAX LOSSES </t>
    </r>
    <r>
      <rPr>
        <b/>
        <vertAlign val="superscript"/>
        <sz val="10"/>
        <rFont val="Open Sans"/>
        <family val="2"/>
      </rPr>
      <t>1</t>
    </r>
  </si>
  <si>
    <t>Less: Tax Depreciation</t>
  </si>
  <si>
    <t>Add: Accounting Depreciation</t>
  </si>
  <si>
    <t>ADJUSTMENT FOR DEPRECIATION</t>
  </si>
  <si>
    <t>Unused Tax Losses Remaining?</t>
  </si>
  <si>
    <t>Profitable Before Taxes?</t>
  </si>
  <si>
    <t>Earnings Before Interest &amp; Tax (EBIT)</t>
  </si>
  <si>
    <t>Income Tax Schedule (Unlevered)</t>
  </si>
  <si>
    <t>EBT After Adjustment</t>
  </si>
  <si>
    <t>Earnings Before Tax (EBT)</t>
  </si>
  <si>
    <t>Income Tax Schedule (Levered)</t>
  </si>
  <si>
    <t xml:space="preserve">Model assumes no dispositions that would impact the PP&amp;E or the Tax Basis. </t>
  </si>
  <si>
    <t>Tax Depreciation</t>
  </si>
  <si>
    <r>
      <t xml:space="preserve">TAX BASIS </t>
    </r>
    <r>
      <rPr>
        <b/>
        <vertAlign val="superscript"/>
        <sz val="10"/>
        <rFont val="Open Sans"/>
        <family val="2"/>
      </rPr>
      <t>1</t>
    </r>
  </si>
  <si>
    <t>Accounting Depreciation</t>
  </si>
  <si>
    <r>
      <t xml:space="preserve">PROPERTY PLANT &amp; EQUIPMENT </t>
    </r>
    <r>
      <rPr>
        <b/>
        <vertAlign val="superscript"/>
        <sz val="10"/>
        <rFont val="Open Sans"/>
        <family val="2"/>
      </rPr>
      <t>1</t>
    </r>
  </si>
  <si>
    <t>Asset Schedule</t>
  </si>
  <si>
    <t xml:space="preserve">This schedule calculates depreciation on a straight-line basis. </t>
  </si>
  <si>
    <t xml:space="preserve">All PP&amp;E and capital expenditure is assumed depreciable (i.e. no land balance). </t>
  </si>
  <si>
    <t>Total Depreciation</t>
  </si>
  <si>
    <t>New Assets</t>
  </si>
  <si>
    <t>Existing Assets</t>
  </si>
  <si>
    <r>
      <t xml:space="preserve">TOTAL ASSET DEPRECIATION </t>
    </r>
    <r>
      <rPr>
        <b/>
        <vertAlign val="superscript"/>
        <sz val="9"/>
        <rFont val="Open Sans"/>
        <family val="2"/>
      </rPr>
      <t>2</t>
    </r>
  </si>
  <si>
    <t>Per Yr</t>
  </si>
  <si>
    <t>Capex</t>
  </si>
  <si>
    <t>Year</t>
  </si>
  <si>
    <t>Amounts for Depreciation</t>
  </si>
  <si>
    <t>Life</t>
  </si>
  <si>
    <t>Percent of Full Year</t>
  </si>
  <si>
    <t>Years</t>
  </si>
  <si>
    <r>
      <t xml:space="preserve">NEW ASSET DEPRECIATION </t>
    </r>
    <r>
      <rPr>
        <b/>
        <vertAlign val="superscript"/>
        <sz val="10"/>
        <rFont val="Open Sans"/>
        <family val="2"/>
      </rPr>
      <t>1</t>
    </r>
  </si>
  <si>
    <r>
      <t xml:space="preserve">EXISTING ASSET DEPRECIATION </t>
    </r>
    <r>
      <rPr>
        <b/>
        <vertAlign val="superscript"/>
        <sz val="10"/>
        <rFont val="Open Sans"/>
        <family val="2"/>
      </rPr>
      <t>1</t>
    </r>
  </si>
  <si>
    <t xml:space="preserve">Capital Expenditure </t>
  </si>
  <si>
    <t>Depreciation Schedule</t>
  </si>
  <si>
    <t>Cash from Working Capital Items</t>
  </si>
  <si>
    <t>Net Working Capital</t>
  </si>
  <si>
    <t>Current Liabilities</t>
  </si>
  <si>
    <t>Current Assets</t>
  </si>
  <si>
    <t>NET WORKING CAPITAL</t>
  </si>
  <si>
    <t>TOTAL AMOUNTS</t>
  </si>
  <si>
    <r>
      <t xml:space="preserve">AMOUNTS PER DAY </t>
    </r>
    <r>
      <rPr>
        <b/>
        <vertAlign val="superscript"/>
        <sz val="10"/>
        <color rgb="FF000000"/>
        <rFont val="Open Sans"/>
        <family val="2"/>
      </rPr>
      <t>1</t>
    </r>
  </si>
  <si>
    <t>COGS</t>
  </si>
  <si>
    <t>Revenue</t>
  </si>
  <si>
    <t>Working Capital Schedule</t>
  </si>
  <si>
    <t>Total Tax</t>
  </si>
  <si>
    <t>Deferred Tax</t>
  </si>
  <si>
    <t>Current Tax</t>
  </si>
  <si>
    <t>Interest</t>
  </si>
  <si>
    <t>Depreciation</t>
  </si>
  <si>
    <t>Other</t>
  </si>
  <si>
    <t>SG&amp;A</t>
  </si>
  <si>
    <t>Gross Profit</t>
  </si>
  <si>
    <t>Inflation</t>
  </si>
  <si>
    <t>Income Statement</t>
  </si>
  <si>
    <t>Cost Schedule</t>
  </si>
  <si>
    <t>(Units)</t>
  </si>
  <si>
    <t>REVENUE</t>
  </si>
  <si>
    <t>Revenue Schedule</t>
  </si>
  <si>
    <t>COGS%</t>
  </si>
  <si>
    <t>Revenue Growth</t>
  </si>
  <si>
    <t>COGS %</t>
  </si>
  <si>
    <t>Industry Name</t>
  </si>
  <si>
    <t>Number of Firms</t>
  </si>
  <si>
    <t>Capital Expenditures (US $ millions)</t>
  </si>
  <si>
    <t>Depreciation &amp; Amort ((US $ millions)</t>
  </si>
  <si>
    <t>Cap Ex/Deprecn</t>
  </si>
  <si>
    <t>Acquisitions (US $ millions)</t>
  </si>
  <si>
    <t>Net R&amp;D (US $ millions)</t>
  </si>
  <si>
    <t>Net Cap Ex/Sales</t>
  </si>
  <si>
    <t>Net Cap Ex/ EBIT (1-t)</t>
  </si>
  <si>
    <t>Sales/ Invested Capital (LTM)</t>
  </si>
  <si>
    <t>Oil/Gas (Integrated)</t>
  </si>
  <si>
    <t>Oil/Gas (Production and Exploration)</t>
  </si>
  <si>
    <t>Oil/Gas Distribution</t>
  </si>
  <si>
    <t>Oilfield Svcs/Equip.</t>
  </si>
  <si>
    <t xml:space="preserve">Inflation </t>
  </si>
  <si>
    <t>Link: https://www.statista.com/statistics/270812/inflation-rate-in-brazil/</t>
  </si>
  <si>
    <t>ROE</t>
  </si>
  <si>
    <t>Retention Ratio</t>
  </si>
  <si>
    <t xml:space="preserve">Fundamental Growth </t>
  </si>
  <si>
    <t>Number of firms</t>
  </si>
  <si>
    <t>% of Money Losing firms (Trailing)</t>
  </si>
  <si>
    <t>Current PE</t>
  </si>
  <si>
    <t>Trailing PE</t>
  </si>
  <si>
    <t>Forward PE</t>
  </si>
  <si>
    <t>Aggregate Mkt Cap/ Net Income (all firms)</t>
  </si>
  <si>
    <t>Aggregate Mkt Cap/ Trailing Net Income (only money making firms)</t>
  </si>
  <si>
    <t>Expected growth - next 5 years</t>
  </si>
  <si>
    <t>PEG Ratio</t>
  </si>
  <si>
    <t>NA</t>
  </si>
  <si>
    <t>EV/EBITDAR&amp;D</t>
  </si>
  <si>
    <t>EV/EBITDA</t>
  </si>
  <si>
    <t>EV/EBIT</t>
  </si>
  <si>
    <t>EV/EBIT (1-t)</t>
  </si>
  <si>
    <t>Price</t>
  </si>
  <si>
    <t>Adj Close</t>
  </si>
  <si>
    <t>Close</t>
  </si>
  <si>
    <t>High</t>
  </si>
  <si>
    <t>Low</t>
  </si>
  <si>
    <t>Open</t>
  </si>
  <si>
    <t>Volume</t>
  </si>
  <si>
    <t>Ticker</t>
  </si>
  <si>
    <t>PETR3.SA</t>
  </si>
  <si>
    <t>PETR4.SA</t>
  </si>
  <si>
    <t>Date</t>
  </si>
  <si>
    <t>Variance</t>
  </si>
  <si>
    <t>Rm Yearly</t>
  </si>
  <si>
    <t>Beta</t>
  </si>
  <si>
    <t>Rf</t>
  </si>
  <si>
    <t>Alpha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</si>
  <si>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</si>
  <si>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</si>
  <si>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</si>
  <si>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</si>
  <si>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</si>
  <si>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</si>
  <si>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</si>
  <si>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</si>
  <si>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</si>
  <si>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</si>
  <si>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</si>
  <si>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</si>
  <si>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</si>
  <si>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</si>
  <si>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</si>
  <si>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</si>
  <si>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</si>
  <si>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</si>
  <si>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</si>
  <si>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</si>
  <si>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</si>
  <si>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</si>
  <si>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</si>
  <si>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</si>
  <si>
    <t>Covariance</t>
  </si>
  <si>
    <t>Market Cap Preferred</t>
  </si>
  <si>
    <t>Risk Free</t>
  </si>
  <si>
    <t>Market return</t>
  </si>
  <si>
    <t>E/(D+E)</t>
  </si>
  <si>
    <t>Std Dev in Stock</t>
  </si>
  <si>
    <t>After-tax Cost of Debt</t>
  </si>
  <si>
    <t>D/(D+E)</t>
  </si>
  <si>
    <t>Cost of Capital</t>
  </si>
  <si>
    <t>Cost of Capital (Local Currency)</t>
  </si>
  <si>
    <t>Emerging Markets</t>
  </si>
  <si>
    <t>D/E</t>
  </si>
  <si>
    <t>Total Dividends (US $ millions)</t>
  </si>
  <si>
    <t>Special Dividends as % of Total Dividends</t>
  </si>
  <si>
    <t>Dividend Payout</t>
  </si>
  <si>
    <t>Dividend Yield</t>
  </si>
  <si>
    <t>Market Cap (US $ millions)</t>
  </si>
  <si>
    <t>Institutional Holdings</t>
  </si>
  <si>
    <t>Std Dev in Stock Prices</t>
  </si>
  <si>
    <t>High_PBR</t>
  </si>
  <si>
    <t>High_PBR-A</t>
  </si>
  <si>
    <t>High_^GSPC</t>
  </si>
  <si>
    <t>Low_PBR</t>
  </si>
  <si>
    <t>Low_PBR-A</t>
  </si>
  <si>
    <t>Low_^GSPC</t>
  </si>
  <si>
    <t>Open_PBR</t>
  </si>
  <si>
    <t>Open_PBR-A</t>
  </si>
  <si>
    <t>Open_^GSPC</t>
  </si>
  <si>
    <t>Volume_PBR</t>
  </si>
  <si>
    <t>Volume_PBR-A</t>
  </si>
  <si>
    <t>Volume_^GSPC</t>
  </si>
  <si>
    <t>PBR</t>
  </si>
  <si>
    <t>PBR-A</t>
  </si>
  <si>
    <t>S&amp;P 500</t>
  </si>
  <si>
    <t>R(PBR) Weekly</t>
  </si>
  <si>
    <t>R(PBR) Yearly</t>
  </si>
  <si>
    <t>Rm weekly</t>
  </si>
  <si>
    <t>% Change Weekly</t>
  </si>
  <si>
    <t>Number of weeks</t>
  </si>
  <si>
    <t>SUMMARY OUTPUT PBR</t>
  </si>
  <si>
    <t>SUMMARY OUTPUT PBR-A</t>
  </si>
  <si>
    <t>Assumptions</t>
  </si>
  <si>
    <t>Suncor Energy</t>
  </si>
  <si>
    <t>ENI (E)</t>
  </si>
  <si>
    <t>Candadian Natural Resources (CNQ)</t>
  </si>
  <si>
    <t>Equinor ASA (EQNR)</t>
  </si>
  <si>
    <t>BP</t>
  </si>
  <si>
    <t>Total Energies (TTE)</t>
  </si>
  <si>
    <t>SHELL</t>
  </si>
  <si>
    <t>Petroleo Brasileiro S.A.- Petrobras</t>
  </si>
  <si>
    <t>x</t>
  </si>
  <si>
    <t>($MM)</t>
  </si>
  <si>
    <t>($/share)</t>
  </si>
  <si>
    <t>Company Name</t>
  </si>
  <si>
    <t>P/E</t>
  </si>
  <si>
    <t>EV/Sales</t>
  </si>
  <si>
    <t>Earnings</t>
  </si>
  <si>
    <t>Sales</t>
  </si>
  <si>
    <t>EV</t>
  </si>
  <si>
    <t>Market Cap</t>
  </si>
  <si>
    <t>Financial Data</t>
  </si>
  <si>
    <t>Market Data</t>
  </si>
  <si>
    <t>Comparable Company Analysis</t>
  </si>
  <si>
    <t>Comparable Companies</t>
  </si>
  <si>
    <t>Middle</t>
  </si>
  <si>
    <t>Football Field Chart</t>
  </si>
  <si>
    <t>DCF - Perpetuity Method</t>
  </si>
  <si>
    <t>DCF - Multiple Method</t>
  </si>
  <si>
    <t xml:space="preserve">Net Debt </t>
  </si>
  <si>
    <t xml:space="preserve">Number of shares </t>
  </si>
  <si>
    <t>Implied EV (USD m)</t>
  </si>
  <si>
    <t>Implied Equity Value (USD</t>
  </si>
  <si>
    <t>Fair Price</t>
  </si>
  <si>
    <t>Beta PBR</t>
  </si>
  <si>
    <t>Minimum</t>
  </si>
  <si>
    <t>Max</t>
  </si>
  <si>
    <t>Income Statement Analysis</t>
  </si>
  <si>
    <t>Sales&amp;Revenues</t>
  </si>
  <si>
    <t>Variation</t>
  </si>
  <si>
    <t>Gross Margin (%)</t>
  </si>
  <si>
    <t>EBITDA margin</t>
  </si>
  <si>
    <t>Depr&amp;Amort</t>
  </si>
  <si>
    <t>EBIT margin</t>
  </si>
  <si>
    <t>Intrest Charges</t>
  </si>
  <si>
    <t>Taxes</t>
  </si>
  <si>
    <t>Earnings per share</t>
  </si>
  <si>
    <t>Number of Common share</t>
  </si>
  <si>
    <t>Number of Preferred share</t>
  </si>
  <si>
    <t>Total number of Shares</t>
  </si>
  <si>
    <t>Dividends per share</t>
  </si>
  <si>
    <t>Div Yield PBR</t>
  </si>
  <si>
    <t>Div Yield PBR.A</t>
  </si>
  <si>
    <t>Balance Sheet</t>
  </si>
  <si>
    <t>Total Assets</t>
  </si>
  <si>
    <t>Cash &amp; cash equivalents</t>
  </si>
  <si>
    <t>Current liabilities</t>
  </si>
  <si>
    <t>Book Equity</t>
  </si>
  <si>
    <t>Price/Book</t>
  </si>
  <si>
    <t>BV per share</t>
  </si>
  <si>
    <t>Liquidity Ratios</t>
  </si>
  <si>
    <t>Current Ratio</t>
  </si>
  <si>
    <t>Quick Ration</t>
  </si>
  <si>
    <t>Cash Ratio</t>
  </si>
  <si>
    <t>Efficiency Ratio</t>
  </si>
  <si>
    <t>Inventory Turnover</t>
  </si>
  <si>
    <t>Receivable Turnover</t>
  </si>
  <si>
    <t>Assets Turnover</t>
  </si>
  <si>
    <t>Cash Turnover</t>
  </si>
  <si>
    <t>Solvency Ratios</t>
  </si>
  <si>
    <t>Debt Ratio</t>
  </si>
  <si>
    <t>Equity Ratio</t>
  </si>
  <si>
    <t>EBITDA Coverage</t>
  </si>
  <si>
    <t>EBIT Coverage</t>
  </si>
  <si>
    <t>Profitability Ratios</t>
  </si>
  <si>
    <t>Profit Margin</t>
  </si>
  <si>
    <t>ROA</t>
  </si>
  <si>
    <t>Valuation Ratios</t>
  </si>
  <si>
    <t>Closing Price per year PBR</t>
  </si>
  <si>
    <t>Closing Price per year PBR.A</t>
  </si>
  <si>
    <t>P/E PBR</t>
  </si>
  <si>
    <t>M/B PBR</t>
  </si>
  <si>
    <t>Resources</t>
  </si>
  <si>
    <t>Petróleo Brasileiro S.A. - Petrobras. (2020). Annual Report and Form 20-F 2020. https://www.annualreports.com/HostedData/AnnualReportArchive/p/NYSE_PBR_2020.pdf</t>
  </si>
  <si>
    <t>Petróleo Brasileiro S.A. - Petrobras. (2021). Annual Report and Form 20-F 2021.  https://www.annualreports.com/HostedData/AnnualReportArchive/p/NYSE_PBR_2021.pdf</t>
  </si>
  <si>
    <t>Petróleo Brasileiro S.A. - Petrobras.  (2022). Annual Report and Form 20-F 2022. https://www.annualreports.com/HostedData/AnnualReportArchive/p/NYSE_PBR_2022.pdf</t>
  </si>
  <si>
    <t>Petróleo Brasileiro S.A. - Petrobras. (2023). Annual Report and Form 20-F 2023. https://www.annualreports.com/HostedData/AnnualReportArchive/p/NYSE_PBR_2023.pdf</t>
  </si>
  <si>
    <t>Petróleo Brasileiro S.A. - Petrobras. (2025). FORM 6-K. In sec.gov. SECURITIES AND EXCHANGE COMMISSION. https://www.sec.gov/Archives/edgar/data/1119639/000129281425002053/pbrfs1q25rs_6k.htm</t>
  </si>
  <si>
    <t>Petroleo Brasileiro SA Petrobras (PBR). (2025, October 6). Morningstar, Inc. https://www.morningstar.com/stocks/bvmf/PBR/quote</t>
  </si>
  <si>
    <t>Historical Results</t>
  </si>
  <si>
    <t xml:space="preserve"> Forecast Period</t>
  </si>
  <si>
    <t>Balance Sheet Check</t>
  </si>
  <si>
    <t>All-in ($000's)</t>
  </si>
  <si>
    <t>Key Assumptions</t>
  </si>
  <si>
    <t>Revenue Growth (% Change)</t>
  </si>
  <si>
    <t>Cost of Goods Sold (% of Revenue)</t>
  </si>
  <si>
    <t>Salaries and Benefits (% of Revenue)</t>
  </si>
  <si>
    <t>Rent and Overhead ($000's)</t>
  </si>
  <si>
    <t>Depreciation &amp; Amortization (% of PP&amp;E)</t>
  </si>
  <si>
    <t>Interest (% of Debt)</t>
  </si>
  <si>
    <t>Tax Rate (% of Earnings Before Tax)</t>
  </si>
  <si>
    <t>Accounts Receivable (Days)</t>
  </si>
  <si>
    <t>Inventory (Days)</t>
  </si>
  <si>
    <t>Accounts Payable (Days)</t>
  </si>
  <si>
    <t>Capital Expenditures ($000's)</t>
  </si>
  <si>
    <t>Debt Issuance (Repayment) ($000's)</t>
  </si>
  <si>
    <t>Equity Issued (Repaid) ($000's)</t>
  </si>
  <si>
    <t>Cost of Goods Sold (COGS)</t>
  </si>
  <si>
    <t>Expenses</t>
  </si>
  <si>
    <t>Salaries and Benefits</t>
  </si>
  <si>
    <t>Rent and Overhead</t>
  </si>
  <si>
    <t>Depreciation &amp; Amortization</t>
  </si>
  <si>
    <t>Total Expenses</t>
  </si>
  <si>
    <t>Earnings Before Tax</t>
  </si>
  <si>
    <t>Net Earnings</t>
  </si>
  <si>
    <t>Assets</t>
  </si>
  <si>
    <t>Cash</t>
  </si>
  <si>
    <t>Property &amp; Equipment</t>
  </si>
  <si>
    <t>Liabilities</t>
  </si>
  <si>
    <t>Total Liabilities</t>
  </si>
  <si>
    <t>Shareholder's Equity</t>
  </si>
  <si>
    <t>Retained Earnings</t>
  </si>
  <si>
    <t>Total Liabilities &amp; Shareholder's Equity</t>
  </si>
  <si>
    <t>Check</t>
  </si>
  <si>
    <t>Cash Flow Statement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</si>
  <si>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</si>
  <si>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</si>
  <si>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</si>
  <si>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</si>
  <si>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</si>
  <si>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</si>
  <si>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</si>
  <si>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</si>
  <si>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</si>
  <si>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</si>
  <si>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</si>
  <si>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</si>
  <si>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Opening Cash Balance</t>
  </si>
  <si>
    <t>Closing Cash Balance</t>
  </si>
  <si>
    <t>Supporting Schedules</t>
  </si>
  <si>
    <t>Net Working Capital (NWC)</t>
  </si>
  <si>
    <t>Change in NWC</t>
  </si>
  <si>
    <t>PPE Opening</t>
  </si>
  <si>
    <t>Plus Capex</t>
  </si>
  <si>
    <t>Less Depreciation</t>
  </si>
  <si>
    <t>PPE Closing</t>
  </si>
  <si>
    <t>Debt &amp; Interest Schedule</t>
  </si>
  <si>
    <t>Debt Opening</t>
  </si>
  <si>
    <t>Issuance (repayment)</t>
  </si>
  <si>
    <t>Debt Closing</t>
  </si>
  <si>
    <t>Charts and Graphs</t>
  </si>
  <si>
    <t>Gross Profit Margin (%)</t>
  </si>
  <si>
    <t>PBR_income-statement_Annual_As_Originally_Reported</t>
  </si>
  <si>
    <t>2020</t>
  </si>
  <si>
    <t>2021</t>
  </si>
  <si>
    <t>2022</t>
  </si>
  <si>
    <t>2023</t>
  </si>
  <si>
    <t>2024</t>
  </si>
  <si>
    <t xml:space="preserve">    Total Revenue</t>
  </si>
  <si>
    <t xml:space="preserve">        Business Revenue</t>
  </si>
  <si>
    <t xml:space="preserve">        Excise Taxes</t>
  </si>
  <si>
    <t/>
  </si>
  <si>
    <t xml:space="preserve">    Cost of Revenue</t>
  </si>
  <si>
    <t xml:space="preserve">        Cost of Goods and Services</t>
  </si>
  <si>
    <t xml:space="preserve">        Taxes, Cost of Revenue</t>
  </si>
  <si>
    <t xml:space="preserve">        Staff Cost, Cost of Revenue</t>
  </si>
  <si>
    <t xml:space="preserve">        Dpreciation &amp; Amortization, Cost of Revenue</t>
  </si>
  <si>
    <t>Operating Income/Expenses</t>
  </si>
  <si>
    <t xml:space="preserve">    Selling, General and Administrative Expenses</t>
  </si>
  <si>
    <t xml:space="preserve">        Staff Costs</t>
  </si>
  <si>
    <t xml:space="preserve">            Pension and Other Employee Benefits Costs</t>
  </si>
  <si>
    <t xml:space="preserve">            Other Staff Costs</t>
  </si>
  <si>
    <t xml:space="preserve">        Rent Expense</t>
  </si>
  <si>
    <t xml:space="preserve">        General and Administrative Expenses</t>
  </si>
  <si>
    <t xml:space="preserve">        Legal, Accounting, Auditing and Consulting Fee</t>
  </si>
  <si>
    <t xml:space="preserve">            Legal Fees</t>
  </si>
  <si>
    <t xml:space="preserve">        Selling and Marketing Expenses</t>
  </si>
  <si>
    <t xml:space="preserve">    Operation and Maintenance Expenses</t>
  </si>
  <si>
    <t xml:space="preserve">    Exploration Expenses</t>
  </si>
  <si>
    <t xml:space="preserve">    Research and Development Expenses</t>
  </si>
  <si>
    <t xml:space="preserve">    Depreciation, Amortization and Depletion</t>
  </si>
  <si>
    <t xml:space="preserve">    Accretion of Asset Retirement Obligation</t>
  </si>
  <si>
    <t xml:space="preserve">    Taxes Other Than Income Taxes</t>
  </si>
  <si>
    <t xml:space="preserve">    Provisions</t>
  </si>
  <si>
    <t xml:space="preserve">        Provision for Doubtful Accounts</t>
  </si>
  <si>
    <t xml:space="preserve">        Other Provisions</t>
  </si>
  <si>
    <t xml:space="preserve">    Other Income/Expense, Operating</t>
  </si>
  <si>
    <t xml:space="preserve">        Income from Grants Received, Operating</t>
  </si>
  <si>
    <t xml:space="preserve">        Other Expenses, Operating</t>
  </si>
  <si>
    <t>Total Operating Profit/Loss</t>
  </si>
  <si>
    <t>Non-Operating Income/Expense, Total</t>
  </si>
  <si>
    <t xml:space="preserve">    Total Net Finance Income/Expense</t>
  </si>
  <si>
    <t xml:space="preserve">        Net Interest Income/Expense</t>
  </si>
  <si>
    <t xml:space="preserve">            Interest Expense Net of Capitalized Interest</t>
  </si>
  <si>
    <t xml:space="preserve">                Gross Interest</t>
  </si>
  <si>
    <t xml:space="preserve">                Interest Capitalized</t>
  </si>
  <si>
    <t xml:space="preserve">            Interest Income</t>
  </si>
  <si>
    <t xml:space="preserve">        Other Finance Income/Expenses</t>
  </si>
  <si>
    <t xml:space="preserve">            Other Finance Income</t>
  </si>
  <si>
    <t xml:space="preserve">            Other Finance Expenses</t>
  </si>
  <si>
    <t xml:space="preserve">    Net Investment Income</t>
  </si>
  <si>
    <t xml:space="preserve">        Income from Associates, JointVentures and Other Participating Interests</t>
  </si>
  <si>
    <t xml:space="preserve">        Gain/Loss on Foreign Currency Exchange</t>
  </si>
  <si>
    <t xml:space="preserve">        Gain/Loss on Derivatives</t>
  </si>
  <si>
    <t xml:space="preserve">        Other Investment Income</t>
  </si>
  <si>
    <t xml:space="preserve">        Dividend and Investment Income</t>
  </si>
  <si>
    <t xml:space="preserve">        Fair Value or Unrealized Gain/Loss on Financial Assets</t>
  </si>
  <si>
    <t xml:space="preserve">    Irregular Income/Expense</t>
  </si>
  <si>
    <t xml:space="preserve">        Fixed Asset Disposals</t>
  </si>
  <si>
    <t xml:space="preserve">        Write Off/Write Down of Other Assets</t>
  </si>
  <si>
    <t xml:space="preserve">        Litigation Income/Expense</t>
  </si>
  <si>
    <t xml:space="preserve">        Other Irregular Income/Expense</t>
  </si>
  <si>
    <t xml:space="preserve">        Impairment/Write Off/Write Down of Capital Assets</t>
  </si>
  <si>
    <t xml:space="preserve">        Disposal of Businesses</t>
  </si>
  <si>
    <t xml:space="preserve">        Restructuring and Reorganization Income/Expense</t>
  </si>
  <si>
    <t xml:space="preserve">    Other Income/Expense, Non-Operating</t>
  </si>
  <si>
    <t>Pretax Income</t>
  </si>
  <si>
    <t>Provision for Income Tax</t>
  </si>
  <si>
    <t>Net Income before Extraordinary Items and Discontinued Operations</t>
  </si>
  <si>
    <t>Net Income after Extraordinary Items and Discontinued Operations</t>
  </si>
  <si>
    <t>Non-Controlling/Minority Interests</t>
  </si>
  <si>
    <t>Net Income after Non-Controlling/Minority Interests</t>
  </si>
  <si>
    <t>Net Income Available to Common Stockholders</t>
  </si>
  <si>
    <t>Diluted Net Income Available to Common Stockholders</t>
  </si>
  <si>
    <t>Income Statement Supplemental Section</t>
  </si>
  <si>
    <t xml:space="preserve">    Reported Normalized and Operating Income/Expense Supplemental Section</t>
  </si>
  <si>
    <t xml:space="preserve">        Total Revenue as Reported, Supplemental</t>
  </si>
  <si>
    <t xml:space="preserve">        Reported Effective Tax Rate</t>
  </si>
  <si>
    <t xml:space="preserve">        Reported Normalized EBITDA</t>
  </si>
  <si>
    <t xml:space="preserve">    Operating Income/Expense, Supplemental Section</t>
  </si>
  <si>
    <t xml:space="preserve">        Depreciation, Amortization and Depletion, Supplemental</t>
  </si>
  <si>
    <t xml:space="preserve">            Depreciation and Amortization, Supplemental</t>
  </si>
  <si>
    <t xml:space="preserve">                Depreciation, Supplemental</t>
  </si>
  <si>
    <t xml:space="preserve">                Amortization, Supplemental</t>
  </si>
  <si>
    <t>Discontinued Operations</t>
  </si>
  <si>
    <t>Basic EPS</t>
  </si>
  <si>
    <t xml:space="preserve">    Basic EPS from Continuing Operations</t>
  </si>
  <si>
    <t xml:space="preserve">    Basic EPS from Discontinued Operations</t>
  </si>
  <si>
    <t>Diluted EPS</t>
  </si>
  <si>
    <t xml:space="preserve">    Diluted EPS from Continuing Operations</t>
  </si>
  <si>
    <t xml:space="preserve">    Diluted EPS from Discontinued Operations</t>
  </si>
  <si>
    <t>Basic Weighted Average Shares Outstanding</t>
  </si>
  <si>
    <t>Diluted Weighted Average Shares Outstanding</t>
  </si>
  <si>
    <t>Total Dividend Per Share</t>
  </si>
  <si>
    <t xml:space="preserve">    Regular Dividend Per Share Calc</t>
  </si>
  <si>
    <t xml:space="preserve">    Special Dividend Per Share Calc</t>
  </si>
  <si>
    <t>Preferred Dividend Per Share</t>
  </si>
  <si>
    <t>Basic WASO</t>
  </si>
  <si>
    <t>Diluted WASO</t>
  </si>
  <si>
    <t>Fiscal year ends in Dec 31 | USD</t>
  </si>
  <si>
    <t>PBR_balance-sheet_Annual_As_Originally_Reported</t>
  </si>
  <si>
    <t xml:space="preserve">    Total Current Assets</t>
  </si>
  <si>
    <t xml:space="preserve">        Cash, Cash Equivalents and Short Term Investments</t>
  </si>
  <si>
    <t xml:space="preserve">            Cash and Cash Equivalents</t>
  </si>
  <si>
    <t xml:space="preserve">                Cash</t>
  </si>
  <si>
    <t xml:space="preserve">                Cash Equivalents</t>
  </si>
  <si>
    <t xml:space="preserve">            Short Term Investments</t>
  </si>
  <si>
    <t xml:space="preserve">                Other Short Term Investments</t>
  </si>
  <si>
    <t xml:space="preserve">        Inventories</t>
  </si>
  <si>
    <t>l</t>
  </si>
  <si>
    <t xml:space="preserve">            Finished Goods and Merchandise</t>
  </si>
  <si>
    <t xml:space="preserve">        Trade and Other Receivables, Current</t>
  </si>
  <si>
    <t xml:space="preserve">            Trade/Accounts Receivable, Current</t>
  </si>
  <si>
    <t xml:space="preserve">            Taxes Receivable, Current</t>
  </si>
  <si>
    <t xml:space="preserve">        Assets Held for Sale/Discontinued Operations, Current</t>
  </si>
  <si>
    <t xml:space="preserve">        Other Current Assets</t>
  </si>
  <si>
    <t xml:space="preserve">        Cash Restricted or Pledged, Current</t>
  </si>
  <si>
    <t xml:space="preserve">        Prepayments and Deposits, Current</t>
  </si>
  <si>
    <t xml:space="preserve">    Total Non-Current Assets</t>
  </si>
  <si>
    <t xml:space="preserve">        Net Property, Plant and Equipment</t>
  </si>
  <si>
    <t xml:space="preserve">            Gross Property, Plant and Equipment</t>
  </si>
  <si>
    <t xml:space="preserve">                Properties</t>
  </si>
  <si>
    <t xml:space="preserve">                    Land and Improvements</t>
  </si>
  <si>
    <t xml:space="preserve">                    Leasehold and Improvements</t>
  </si>
  <si>
    <t xml:space="preserve">                Machinery, Furniture and Equipment</t>
  </si>
  <si>
    <t xml:space="preserve">                    Flight, Fleet, Vehicle and Related Equipment</t>
  </si>
  <si>
    <t xml:space="preserve">                Construction in Progress and Advance Payments</t>
  </si>
  <si>
    <t xml:space="preserve">                Leased Property, Plant and Equipment</t>
  </si>
  <si>
    <t xml:space="preserve">                Other Property, Plant and Equipment</t>
  </si>
  <si>
    <t xml:space="preserve">            Accumulated Depreciation and Impairment</t>
  </si>
  <si>
    <t xml:space="preserve">                Accumulated Depreciation</t>
  </si>
  <si>
    <t xml:space="preserve">                    Accumulated Depreciation of Properties</t>
  </si>
  <si>
    <t xml:space="preserve">                        Accumulated Depreciation of Land and Improvements</t>
  </si>
  <si>
    <t xml:space="preserve">                        Accumulated Depreciation of Leasehold and Improvements</t>
  </si>
  <si>
    <t xml:space="preserve">                    Accumulated Depreciation of Machinery, Furniture and Equipment</t>
  </si>
  <si>
    <t xml:space="preserve">                        Accumulated Depreciation of Flight, Fleet, Vehicle and Related Equipments</t>
  </si>
  <si>
    <t xml:space="preserve">                    Accumulated Depreciation of Leased Property, Plant and Equipment</t>
  </si>
  <si>
    <t xml:space="preserve">                    Accumulated Depreciation of Construction in Progress</t>
  </si>
  <si>
    <t xml:space="preserve">                    Accumulated Depreciation of Other Property, Plant and Equipment</t>
  </si>
  <si>
    <t xml:space="preserve">        Net Mineral Property Interests and Exploration Assets</t>
  </si>
  <si>
    <t xml:space="preserve">            Gross Mineral Property Interests and Exploration Assets</t>
  </si>
  <si>
    <t xml:space="preserve">            Accumulated Amortization of Mineral Property Interests and Exploration Assets</t>
  </si>
  <si>
    <t xml:space="preserve">        Net Intangible Assets</t>
  </si>
  <si>
    <t xml:space="preserve">            Gross Goodwill and Other Intangible Assets</t>
  </si>
  <si>
    <t xml:space="preserve">                Goodwill</t>
  </si>
  <si>
    <t xml:space="preserve">                Intangibles other than Goodwill</t>
  </si>
  <si>
    <t xml:space="preserve">                    Software and Technology</t>
  </si>
  <si>
    <t xml:space="preserve">                    Licenses and Rights</t>
  </si>
  <si>
    <t xml:space="preserve">            Accumulated Amortization and Impairment</t>
  </si>
  <si>
    <t xml:space="preserve">                Accumulated Amortization of Intangible Assets</t>
  </si>
  <si>
    <t xml:space="preserve">                    Accumulated Amortization of Goodwill</t>
  </si>
  <si>
    <t xml:space="preserve">                    Accumulated Amortization of Intangibles other than Goodwill</t>
  </si>
  <si>
    <t xml:space="preserve">                        Accumulated Amortization of Software and Technology</t>
  </si>
  <si>
    <t xml:space="preserve">                        Accumulated Amortization of Licences and Rights</t>
  </si>
  <si>
    <t xml:space="preserve">        Total Long Term Investments</t>
  </si>
  <si>
    <t xml:space="preserve">            Long Term Equity Investments</t>
  </si>
  <si>
    <t xml:space="preserve">                Investments in Associates</t>
  </si>
  <si>
    <t xml:space="preserve">                Investments in Joint Ventures</t>
  </si>
  <si>
    <t xml:space="preserve">            Investment in Financial Assets, Non-Current</t>
  </si>
  <si>
    <t xml:space="preserve">                Financial Assets Designated as Fair Value Through Profit or Loss, Non-Current</t>
  </si>
  <si>
    <t xml:space="preserve">                Other Financial Assets, Non-Current</t>
  </si>
  <si>
    <t xml:space="preserve">            Other Investments, Non-Current</t>
  </si>
  <si>
    <t xml:space="preserve">        Trade and Other Receivables, Non-Current</t>
  </si>
  <si>
    <t xml:space="preserve">            Trade/Accounts Receivable, Non-Current</t>
  </si>
  <si>
    <t xml:space="preserve">            Taxes Receivable, Non-Current</t>
  </si>
  <si>
    <t xml:space="preserve">        Cash Restricted or Pledged, Non-Current</t>
  </si>
  <si>
    <t xml:space="preserve">        Deferred Tax Assets, Non-Current</t>
  </si>
  <si>
    <t xml:space="preserve">        Other Non-Current Assets</t>
  </si>
  <si>
    <t xml:space="preserve">        Prepayments and Deposits, Non-Current</t>
  </si>
  <si>
    <t xml:space="preserve">            Prepayments, Non-Current</t>
  </si>
  <si>
    <t xml:space="preserve">    Total Current Liabilities</t>
  </si>
  <si>
    <t xml:space="preserve">        Payables and Accrued Expenses, Current</t>
  </si>
  <si>
    <t xml:space="preserve">            Trade and Other Payables, Current</t>
  </si>
  <si>
    <t xml:space="preserve">                Trade/Accounts Payable, Current</t>
  </si>
  <si>
    <t xml:space="preserve">                Dividends Payable, Current</t>
  </si>
  <si>
    <t xml:space="preserve">                Taxes Payable, Current</t>
  </si>
  <si>
    <t xml:space="preserve">            Accrued Expenses, Current</t>
  </si>
  <si>
    <t xml:space="preserve">        Financial Liabilities, Current</t>
  </si>
  <si>
    <t xml:space="preserve">            Current Debt and Capital Lease Obligation</t>
  </si>
  <si>
    <t xml:space="preserve">                Current Debt</t>
  </si>
  <si>
    <t xml:space="preserve">                    Other Loans, Current Debt</t>
  </si>
  <si>
    <t xml:space="preserve">                Current Portion of Long Term Debt and Capital Lease</t>
  </si>
  <si>
    <t xml:space="preserve">                    Current Portion of Long Term Debt</t>
  </si>
  <si>
    <t xml:space="preserve">                    Capital Lease Obligations, Current</t>
  </si>
  <si>
    <t xml:space="preserve">        Provisions, Current</t>
  </si>
  <si>
    <t xml:space="preserve">            Provision for Employee Entitlements, Current</t>
  </si>
  <si>
    <t xml:space="preserve">                Pension and Other Post-Retirement Benefit Plans, Current</t>
  </si>
  <si>
    <t xml:space="preserve">                Other Employee-Related Liabilities, Current</t>
  </si>
  <si>
    <t xml:space="preserve">            Provision for Asset Retirement Obligation/Site Restoration and Rehabilitation, Current</t>
  </si>
  <si>
    <t xml:space="preserve">            Other Provisions, Current</t>
  </si>
  <si>
    <t xml:space="preserve">        Discontinued Operations Liabilities, Current</t>
  </si>
  <si>
    <t xml:space="preserve">        Other Current Liabilities</t>
  </si>
  <si>
    <t xml:space="preserve">    Total Non-Current Liabilities</t>
  </si>
  <si>
    <t xml:space="preserve">        Financial Liabilities, Non-Current</t>
  </si>
  <si>
    <t xml:space="preserve">            Long Term Debt and Capital Lease Obligation</t>
  </si>
  <si>
    <t xml:space="preserve">                Long Term Debt</t>
  </si>
  <si>
    <t xml:space="preserve">                    Notes Payables, Non-Current</t>
  </si>
  <si>
    <t xml:space="preserve">                    Bank/Institutional Loans, Non-Current</t>
  </si>
  <si>
    <t xml:space="preserve">                    Other Loans, Non-Current</t>
  </si>
  <si>
    <t xml:space="preserve">                Capital Lease Obligations, Non-Current</t>
  </si>
  <si>
    <t xml:space="preserve">        Provisions, Non-Current</t>
  </si>
  <si>
    <t xml:space="preserve">            Provision for Employee Entitlements, Non-Current</t>
  </si>
  <si>
    <t xml:space="preserve">                Pension and Other Post-Retirement Benefit Plans, Non-Current</t>
  </si>
  <si>
    <t xml:space="preserve">            Provision for Asset Retirement Obligation/Site Restoration and Rehabilitation, Non-Current</t>
  </si>
  <si>
    <t xml:space="preserve">            Other Provisions, Non-Current</t>
  </si>
  <si>
    <t xml:space="preserve">        Tax Liabilities, Non-Current</t>
  </si>
  <si>
    <t xml:space="preserve">            Deferred Tax Liabilities, Non-Current</t>
  </si>
  <si>
    <t xml:space="preserve">        Payables and Accrued Expenses, Non-Current</t>
  </si>
  <si>
    <t xml:space="preserve">            Trade and Other Payables, Non-Current</t>
  </si>
  <si>
    <t xml:space="preserve">                Taxes Payable, Non-Current</t>
  </si>
  <si>
    <t xml:space="preserve">        Other Non-Current Liabilities</t>
  </si>
  <si>
    <t>Total Equity</t>
  </si>
  <si>
    <t xml:space="preserve">    Equity Attributable to Parent Stockholders</t>
  </si>
  <si>
    <t xml:space="preserve">        Paid in Capital</t>
  </si>
  <si>
    <t xml:space="preserve">            Capital Stock</t>
  </si>
  <si>
    <t xml:space="preserve">                Common Stock</t>
  </si>
  <si>
    <t xml:space="preserve">        Reserves/Accumulated Comprehensive Income/Losses</t>
  </si>
  <si>
    <t xml:space="preserve">            Surplus/Revenue Reserve</t>
  </si>
  <si>
    <t xml:space="preserve">            Capital/Share Premium Reserve</t>
  </si>
  <si>
    <t xml:space="preserve">            Other Reserves/Accum.Comp.Inc</t>
  </si>
  <si>
    <t xml:space="preserve">        Other Equity Interest</t>
  </si>
  <si>
    <t xml:space="preserve">    Non-Controlling/Minority Interests in Equity</t>
  </si>
  <si>
    <t>Debt Maturity Schedule Total</t>
  </si>
  <si>
    <t xml:space="preserve">    Debt due in Year 1</t>
  </si>
  <si>
    <t xml:space="preserve">    Debt due in Year 2</t>
  </si>
  <si>
    <t xml:space="preserve">    Debt due in Year 3</t>
  </si>
  <si>
    <t xml:space="preserve">    Debt due in Year 4</t>
  </si>
  <si>
    <t xml:space="preserve">    Debt due in Year 5</t>
  </si>
  <si>
    <t xml:space="preserve">    Debt due Beyond</t>
  </si>
  <si>
    <t>Capital Lease Obligation Maturity Schedule Total</t>
  </si>
  <si>
    <t xml:space="preserve">    Capital Lease due in Year 1</t>
  </si>
  <si>
    <t xml:space="preserve">    Capital Lease due in Year 2</t>
  </si>
  <si>
    <t xml:space="preserve">    Capital Lease due in Year 3</t>
  </si>
  <si>
    <t xml:space="preserve">    Capital Lease due in Year 4</t>
  </si>
  <si>
    <t xml:space="preserve">    Capital Lease due in Year 5</t>
  </si>
  <si>
    <t xml:space="preserve">    Capital Lease due Beyond</t>
  </si>
  <si>
    <t xml:space="preserve">    Capital Lease - Interests Charges and Other Adjustments</t>
  </si>
  <si>
    <t>Total Lease Liability</t>
  </si>
  <si>
    <t xml:space="preserve">    Total Lease Liability - Due in year 1</t>
  </si>
  <si>
    <t xml:space="preserve">    Total Lease Liability - Due in year 2</t>
  </si>
  <si>
    <t xml:space="preserve">    Total Lease Liability - Due in year 3</t>
  </si>
  <si>
    <t xml:space="preserve">    Total Lease Liability - Due in year 4</t>
  </si>
  <si>
    <t xml:space="preserve">    Total Lease Liability - Due in year 5</t>
  </si>
  <si>
    <t xml:space="preserve">    Total Lease Liability - Beyond</t>
  </si>
  <si>
    <t xml:space="preserve">    Total Lease Liability - Interest Charges and Other Adjustments</t>
  </si>
  <si>
    <t>Total Contractual Obligations</t>
  </si>
  <si>
    <t xml:space="preserve">    Total Contractual Obligations due in year 1</t>
  </si>
  <si>
    <t xml:space="preserve">    Total Contractual Obligations due in year 2</t>
  </si>
  <si>
    <t xml:space="preserve">    Total Contractual Obligations due in year 3</t>
  </si>
  <si>
    <t xml:space="preserve">    Total Contractual Obligations due in year 4</t>
  </si>
  <si>
    <t xml:space="preserve">    Total Contractual Obligations due in year 5</t>
  </si>
  <si>
    <t xml:space="preserve">    Total Contractual Obligations due Beyond</t>
  </si>
  <si>
    <t xml:space="preserve">    Total Contractual Obligations - Interests Charges and Other Adjustments</t>
  </si>
  <si>
    <t>Other Contractual Obligations Maturity Schedule Total</t>
  </si>
  <si>
    <t xml:space="preserve">    Other Contractual Obligations due in Year 1</t>
  </si>
  <si>
    <t xml:space="preserve">    Other Contractual Obligations due in Year 3</t>
  </si>
  <si>
    <t xml:space="preserve">    Other Contractual Obligations due in Year 5</t>
  </si>
  <si>
    <t xml:space="preserve">    Other Contractual Obligations due Beyond</t>
  </si>
  <si>
    <t>Operating Lease Obligation Maturity Schedule Total</t>
  </si>
  <si>
    <t xml:space="preserve">    Operating Lease due in Year 1</t>
  </si>
  <si>
    <t xml:space="preserve">    Operating Lease due in Year 2</t>
  </si>
  <si>
    <t xml:space="preserve">    Operating Lease due in Year 3</t>
  </si>
  <si>
    <t xml:space="preserve">    Operating Lease due in Year 4</t>
  </si>
  <si>
    <t xml:space="preserve">    Operating Lease due Beyond</t>
  </si>
  <si>
    <t xml:space="preserve">    Operating Lease - Interests Charges and Other Adjustments</t>
  </si>
  <si>
    <t>PBR_cash-flow_Annual_As_Originally_Reported</t>
  </si>
  <si>
    <t>Cash Flow from Operating Activities, Indirect</t>
  </si>
  <si>
    <t xml:space="preserve">    Net Cash Flow from Continuing Operating Activities, Indirect</t>
  </si>
  <si>
    <t xml:space="preserve">        Cash Generated from Operating Activities</t>
  </si>
  <si>
    <t xml:space="preserve">            Income/Loss before Non-Cash Adjustment</t>
  </si>
  <si>
    <t xml:space="preserve">            Total Adjustments for Non-Cash Items</t>
  </si>
  <si>
    <t xml:space="preserve">                Depreciation, Amortization and Depletion, Non-Cash Adjustment</t>
  </si>
  <si>
    <t xml:space="preserve">                    Depreciation and Amortization, Non-Cash Adjustment</t>
  </si>
  <si>
    <t xml:space="preserve">                        Depreciation, Non-Cash Adjustment</t>
  </si>
  <si>
    <t xml:space="preserve">                        Amortization, Non-Cash Adjustment</t>
  </si>
  <si>
    <t xml:space="preserve">                Pension and Employee Benefit Expense, Non-Cash Adjustment</t>
  </si>
  <si>
    <t xml:space="preserve">                Deferred Taxes, Non-Cash Adjustment</t>
  </si>
  <si>
    <t xml:space="preserve">                Other Provisions, Non-Cash Adjustment</t>
  </si>
  <si>
    <t xml:space="preserve">                Net Investment Income/Loss, Non-Cash Adjustment</t>
  </si>
  <si>
    <t xml:space="preserve">                    Share of Profit/Loss from Associates, Joint Ventures and other Equity Investments, Non-Cash Adjustment</t>
  </si>
  <si>
    <t xml:space="preserve">                    Net Foreign Currency Exchange Gain/Loss, Non-Cash Adjustment</t>
  </si>
  <si>
    <t xml:space="preserve">                    Gain/Loss for Other Investment, Non-Cash Adjustment</t>
  </si>
  <si>
    <t xml:space="preserve">                Irregular Income/Loss, Non-Cash Adjustment</t>
  </si>
  <si>
    <t xml:space="preserve">                    Gain/Loss on Disposals, Non-Cash Adjustment</t>
  </si>
  <si>
    <t xml:space="preserve">                        Gain/Loss on Disposal/Sale of Other Assets, Non-Cash Adjustment</t>
  </si>
  <si>
    <t xml:space="preserve">                    Accretion of Asset Retirement Obligation, Non-Cash Adjustment</t>
  </si>
  <si>
    <t xml:space="preserve">                    Write off/Write down/Impairment of Capital Assets Loss/Reversal, Non-Cash Adjustment</t>
  </si>
  <si>
    <t xml:space="preserve">                    Write Down and Write off of Other Assets, Non-Cash Adjustment</t>
  </si>
  <si>
    <t xml:space="preserve">                    Other Irregular Income/Loss, Non-Cash Adjustment</t>
  </si>
  <si>
    <t xml:space="preserve">                Other Non-Cash Items</t>
  </si>
  <si>
    <t xml:space="preserve">            Changes in Operating Capital</t>
  </si>
  <si>
    <t xml:space="preserve">                Change in Inventories</t>
  </si>
  <si>
    <t xml:space="preserve">                Change in Trade and Other Receivables</t>
  </si>
  <si>
    <t xml:space="preserve">                Change in Cash Restricted or Pledged</t>
  </si>
  <si>
    <t xml:space="preserve">                Change in Other Current Assets</t>
  </si>
  <si>
    <t xml:space="preserve">                Change in Payables and Accrued Expenses</t>
  </si>
  <si>
    <t xml:space="preserve">                    Change in Trade and Other Payables</t>
  </si>
  <si>
    <t xml:space="preserve">                        Change in Trade/Accounts Payable</t>
  </si>
  <si>
    <t xml:space="preserve">                        Change in Taxes Payable</t>
  </si>
  <si>
    <t xml:space="preserve">                Change in Provisions</t>
  </si>
  <si>
    <t xml:space="preserve">                Change in Other Current Liabilities</t>
  </si>
  <si>
    <t xml:space="preserve">                Change in Other Operating Capital</t>
  </si>
  <si>
    <t xml:space="preserve">        Taxes Refund/Paid, Indirect</t>
  </si>
  <si>
    <t xml:space="preserve">    Net Cash Flow from Discontinuing Operating Activities</t>
  </si>
  <si>
    <t>Cash Flow from Investing Activities</t>
  </si>
  <si>
    <t xml:space="preserve">    Cash Flow from Continuing Investing Activities</t>
  </si>
  <si>
    <t xml:space="preserve">        Purchase/Sale and Disposal of Property, Plant and Equipment, Net</t>
  </si>
  <si>
    <t xml:space="preserve">            Purchase of Property, Plant and Equipment</t>
  </si>
  <si>
    <t xml:space="preserve">            Purchase of Mineral Properties/Rights/Interests</t>
  </si>
  <si>
    <t xml:space="preserve">        Purchase/Sale of Equity Investments</t>
  </si>
  <si>
    <t xml:space="preserve">            Purchase of Joint Venture/Associate</t>
  </si>
  <si>
    <t xml:space="preserve">        Purchase/Sale of Investments, Net</t>
  </si>
  <si>
    <t xml:space="preserve">            Purchase of Investments</t>
  </si>
  <si>
    <t xml:space="preserve">            Sale of Investments</t>
  </si>
  <si>
    <t xml:space="preserve">        Purchase/Sale of Other Non-Current Assets, Net</t>
  </si>
  <si>
    <t xml:space="preserve">            Sales of Other Non-Current Assets</t>
  </si>
  <si>
    <t xml:space="preserve">        Dividends Received/Paid, CFI</t>
  </si>
  <si>
    <t xml:space="preserve">        Other Investing Cash Flow</t>
  </si>
  <si>
    <t xml:space="preserve">        Purchase/Sale of Intangibles, Net</t>
  </si>
  <si>
    <t xml:space="preserve">            Sale of Intangibles</t>
  </si>
  <si>
    <t xml:space="preserve">        Capital Expenditure, Reported</t>
  </si>
  <si>
    <t xml:space="preserve">    Net Cash Flow from Discontinuing Investing Activities</t>
  </si>
  <si>
    <t>Cash Flow from Financing Activities</t>
  </si>
  <si>
    <t xml:space="preserve">    Cash Flow from Continuing Financing Activities</t>
  </si>
  <si>
    <t xml:space="preserve">        Issuance of/Payments for Common Stock, Net</t>
  </si>
  <si>
    <t xml:space="preserve">            Payments for Common Stock</t>
  </si>
  <si>
    <t xml:space="preserve">        Issuance of/Repayments for Debt, Net</t>
  </si>
  <si>
    <t xml:space="preserve">            Issuance of/Repayments for Long Term Debt, Net</t>
  </si>
  <si>
    <t xml:space="preserve">                Proceeds from Issuance of Long Term Debt</t>
  </si>
  <si>
    <t xml:space="preserve">                Repayments for Long Term Debt</t>
  </si>
  <si>
    <t xml:space="preserve">        Issuance of/Repayments for Lease Financing</t>
  </si>
  <si>
    <t xml:space="preserve">            Repayments for Lease Financing</t>
  </si>
  <si>
    <t xml:space="preserve">        Net Movement in Non-Controlling/Minority Interest</t>
  </si>
  <si>
    <t xml:space="preserve">        Cash Dividends and Interest Paid</t>
  </si>
  <si>
    <t xml:space="preserve">            Cash Dividends Paid</t>
  </si>
  <si>
    <t xml:space="preserve">            Interest Paid, CFF</t>
  </si>
  <si>
    <t xml:space="preserve">        Cash Dividends Paid to Non-Controlling/Minority Interests</t>
  </si>
  <si>
    <t xml:space="preserve">        Other Financing Cash Flow</t>
  </si>
  <si>
    <t xml:space="preserve">    Net Cash Flow from Discontinuing Financing Activities</t>
  </si>
  <si>
    <t>Cash and Cash Equivalents, End of Period</t>
  </si>
  <si>
    <t xml:space="preserve">    Change in Cash</t>
  </si>
  <si>
    <t xml:space="preserve">    Effect of Exchange Rate Changes</t>
  </si>
  <si>
    <t xml:space="preserve">    Cash and Cash Equivalents, Beginning of Period</t>
  </si>
  <si>
    <t>Cash Flow Supplemental Section</t>
  </si>
  <si>
    <t xml:space="preserve">    Change in Cash as Reported, Supplemental</t>
  </si>
  <si>
    <t>^GSPC</t>
  </si>
  <si>
    <t>VII. Football Field Chart</t>
  </si>
  <si>
    <t>VI. Assumptions Source</t>
  </si>
  <si>
    <t>V. Ratios</t>
  </si>
  <si>
    <t>IV. Relative Comparables Valuation</t>
  </si>
  <si>
    <t>III. DCF Valuation Model</t>
  </si>
  <si>
    <t>II. Inputs &amp; Assumptions</t>
  </si>
  <si>
    <t>I. Outputs</t>
  </si>
  <si>
    <t>Model Checks</t>
  </si>
  <si>
    <t>Model Guide</t>
  </si>
  <si>
    <t>Prepared by Group 19 : Salma Regaieg - Mustapha Aziz Laroussi</t>
  </si>
  <si>
    <t>Petrobras Valuation</t>
  </si>
  <si>
    <t>Valuation Date Check Issue</t>
  </si>
  <si>
    <t>Cash Flow Date Check Issue</t>
  </si>
  <si>
    <t>Terminal growth rate  &gt; WACC Check Issue</t>
  </si>
  <si>
    <t>Mismatch sum</t>
  </si>
  <si>
    <t>Balance Sheet Mismatch</t>
  </si>
  <si>
    <t>Expected Return</t>
  </si>
  <si>
    <t>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</si>
</sst>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#,##0_)_%;\(#,##0\)_%;_(&quot;–&quot;_)_%;_(@_)_%"/>
    <numFmt numFmtId="165" formatCode="&quot;Yes&quot;;&quot;ERROR&quot;;&quot;No&quot;;&quot;ERROR&quot;"/>
    <numFmt numFmtId="166" formatCode="_(#,##0.0%_);\(#,##0.0%\);_(&quot;–&quot;_)_%;_(@_)_%"/>
    <numFmt numFmtId="167" formatCode="@\⁽\¹\⁾"/>
    <numFmt numFmtId="168" formatCode="_(#,##0_);\(#,##0\);_(&quot;–&quot;_);_(@_)"/>
    <numFmt numFmtId="169" formatCode="_(0.0\x_);\(0.0\x\);_(&quot;–&quot;_);_(@_)"/>
    <numFmt numFmtId="170" formatCode="#,##0_);\(#,##0\);\-"/>
    <numFmt numFmtId="171" formatCode="_(#,##0.00_);\(#,##0.00\);_(&quot;–&quot;_);_(@_)"/>
    <numFmt numFmtId="172" formatCode="#,##0.00_);\(#,##0.00\);\-"/>
    <numFmt numFmtId="173" formatCode="0.0%"/>
    <numFmt numFmtId="174" formatCode="0&quot;A&quot;"/>
    <numFmt numFmtId="175" formatCode="0&quot;F&quot;"/>
    <numFmt numFmtId="176" formatCode="_-* #,##0_-;\(#,##0\)_-;_-* &quot;-&quot;_-;_-@_-"/>
    <numFmt numFmtId="177" formatCode="&quot;Yes&quot;_);&quot;ERROR&quot;_);&quot;No&quot;_);&quot;ERROR&quot;_)"/>
    <numFmt numFmtId="178" formatCode="_(#,##0%_);\(#,##0%\);_(&quot;–&quot;_)_%;_(@_)_%"/>
    <numFmt numFmtId="179" formatCode="0000_)"/>
    <numFmt numFmtId="180" formatCode="yyyy/mm/dd_)"/>
    <numFmt numFmtId="181" formatCode="@\⁽\⁴\⁾"/>
    <numFmt numFmtId="182" formatCode="@\⁽\³\⁾"/>
    <numFmt numFmtId="183" formatCode="@\⁽\²\⁾"/>
    <numFmt numFmtId="184" formatCode="_(0.00\x_)_)_';_(\(0.00\x\)_'_';_(&quot;–&quot;_);_(@_)"/>
    <numFmt numFmtId="185" formatCode="_(#,##0_)\⁽\²\⁾;\(#,##0\)\⁽\²\⁾;_(&quot;–&quot;_)\⁽\²\⁾;_(@_)\⁽\²\⁾"/>
    <numFmt numFmtId="186" formatCode="_(#,##0_)\⁽\¹\⁾;\(#,##0\)\⁽\¹\⁾;_(&quot;–&quot;_)\⁽\¹\⁾;_(@_)\⁽\¹\⁾"/>
    <numFmt numFmtId="187" formatCode="yyyy/mm/dd;@"/>
    <numFmt numFmtId="188" formatCode="#,##0_);[Red]\(#,##0\);\-"/>
    <numFmt numFmtId="189" formatCode="_(0.0000\x_);\(0.0000\x\);_(&quot;–&quot;_);_(@_)"/>
    <numFmt numFmtId="190" formatCode="yy/mm/dd"/>
    <numFmt numFmtId="191" formatCode="[=1]&quot;Yes&quot;_);[=0]&quot;No&quot;_)"/>
    <numFmt numFmtId="192" formatCode="#,##0.0_);\(#,##0.0\);\-"/>
    <numFmt numFmtId="193" formatCode="0&quot;F&quot;\ "/>
    <numFmt numFmtId="194" formatCode="&quot;Yr&quot;\ 0_)"/>
    <numFmt numFmtId="195" formatCode="_-* #,##0_-;\-* #,##0_-;_-* &quot;-&quot;??_-;_-@_-"/>
    <numFmt numFmtId="196" formatCode="_(#,##0.0_);\(#,##0.0\);_(&quot;–&quot;_);_(@_)"/>
    <numFmt numFmtId="197" formatCode="_-* #,##0.00_-;\(#,##0.00\)_-;_-* &quot;-&quot;_-;_-@_-"/>
    <numFmt numFmtId="198" formatCode="&quot;$&quot;#,##0.00"/>
    <numFmt numFmtId="199" formatCode="yyyy\-mm\-dd\ hh:mm:ss"/>
    <numFmt numFmtId="200" formatCode="0.000%"/>
    <numFmt numFmtId="201" formatCode="0.0000%"/>
    <numFmt numFmtId="202" formatCode="_(&quot;$&quot;* #,##0_);_(&quot;$&quot;* \(#,##0\);_(&quot;$&quot;* &quot;-&quot;??_);_(@_)"/>
    <numFmt numFmtId="203" formatCode="_(#,##0.0000_);\(#,##0.0000\);_(&quot;–&quot;_);_(@_)"/>
    <numFmt numFmtId="204" formatCode="_-* #,##0.00\ _€_-;\-* #,##0.00\ _€_-;_-* &quot;-&quot;??\ _€_-;_-@_-"/>
    <numFmt numFmtId="205" formatCode="0.0\x"/>
    <numFmt numFmtId="206" formatCode="0.000"/>
    <numFmt numFmtId="207" formatCode="#.##"/>
    <numFmt numFmtId="208" formatCode="_-* #,##0_-;\(#,##0\)_-;_-* &quot;-&quot;_-;_-@"/>
    <numFmt numFmtId="209" formatCode="_(* #,##0_);_(* \(#,##0\);_(* &quot;-&quot;??_);_(@_)"/>
    <numFmt numFmtId="210" formatCode="_-* #,##0_-;\-* #,##0_-;_-* &quot;-&quot;??_-;_-@"/>
    <numFmt numFmtId="211" formatCode="0.0000_ ;\-0.0000\ "/>
    <numFmt numFmtId="212" formatCode="0.0000"/>
  </numFmts>
  <fonts count="11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Open Sans"/>
      <family val="2"/>
    </font>
    <font>
      <sz val="11"/>
      <color theme="1"/>
      <name val="Calibri"/>
      <family val="2"/>
      <scheme val="minor"/>
    </font>
    <font>
      <b/>
      <sz val="10"/>
      <color theme="0"/>
      <name val="Open Sans"/>
      <family val="2"/>
    </font>
    <font>
      <sz val="10"/>
      <color rgb="FFFF0000"/>
      <name val="Open Sans"/>
      <family val="2"/>
    </font>
    <font>
      <b/>
      <sz val="10"/>
      <color theme="1"/>
      <name val="Open Sans"/>
      <family val="2"/>
    </font>
    <font>
      <sz val="10"/>
      <color theme="0"/>
      <name val="Open Sans"/>
      <family val="2"/>
    </font>
    <font>
      <sz val="11"/>
      <color theme="1"/>
      <name val="Open Sans"/>
      <family val="2"/>
    </font>
    <font>
      <sz val="11"/>
      <color theme="0"/>
      <name val="Open Sans"/>
      <family val="2"/>
    </font>
    <font>
      <u/>
      <sz val="10"/>
      <color theme="10"/>
      <name val="Arial"/>
      <family val="2"/>
    </font>
    <font>
      <sz val="12"/>
      <color theme="1"/>
      <name val="Open Sans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Open Sans"/>
      <family val="2"/>
    </font>
    <font>
      <sz val="11"/>
      <color rgb="FF000000"/>
      <name val="Open Sans"/>
      <family val="2"/>
    </font>
    <font>
      <sz val="9"/>
      <name val="Open Sans"/>
      <family val="2"/>
    </font>
    <font>
      <i/>
      <sz val="10"/>
      <color rgb="FF000000"/>
      <name val="Open Sans"/>
      <family val="2"/>
    </font>
    <font>
      <b/>
      <sz val="10"/>
      <color rgb="FF000000"/>
      <name val="Open Sans"/>
      <family val="2"/>
    </font>
    <font>
      <sz val="9"/>
      <color theme="0"/>
      <name val="Open Sans"/>
      <family val="2"/>
    </font>
    <font>
      <b/>
      <vertAlign val="superscript"/>
      <sz val="10"/>
      <color theme="1"/>
      <name val="Open Sans"/>
      <family val="2"/>
    </font>
    <font>
      <i/>
      <sz val="10"/>
      <color theme="1"/>
      <name val="Open Sans"/>
      <family val="2"/>
    </font>
    <font>
      <sz val="11"/>
      <name val="Open Sans"/>
      <family val="2"/>
    </font>
    <font>
      <sz val="11"/>
      <color rgb="FF555555"/>
      <name val="Open Sans"/>
      <family val="2"/>
    </font>
    <font>
      <sz val="11"/>
      <color rgb="FFC32838"/>
      <name val="Open Sans"/>
      <family val="2"/>
    </font>
    <font>
      <i/>
      <sz val="9"/>
      <color rgb="FF000000"/>
      <name val="Open Sans"/>
      <family val="2"/>
    </font>
    <font>
      <i/>
      <sz val="9"/>
      <color theme="1"/>
      <name val="Open Sans"/>
      <family val="2"/>
    </font>
    <font>
      <sz val="14"/>
      <color rgb="FF555555"/>
      <name val="Open Sans"/>
      <family val="2"/>
    </font>
    <font>
      <b/>
      <sz val="10"/>
      <color rgb="FF555555"/>
      <name val="Open Sans"/>
      <family val="2"/>
    </font>
    <font>
      <i/>
      <sz val="9"/>
      <name val="Open Sans"/>
      <family val="2"/>
    </font>
    <font>
      <sz val="14"/>
      <color theme="1"/>
      <name val="Open Sans"/>
      <family val="2"/>
    </font>
    <font>
      <b/>
      <sz val="10"/>
      <name val="Open Sans"/>
      <family val="2"/>
    </font>
    <font>
      <b/>
      <sz val="10"/>
      <color rgb="FF3271D2"/>
      <name val="Open Sans"/>
      <family val="2"/>
    </font>
    <font>
      <b/>
      <sz val="14"/>
      <color rgb="FF3271D2"/>
      <name val="Open Sans"/>
      <family val="2"/>
    </font>
    <font>
      <sz val="10"/>
      <color rgb="FF3271D2"/>
      <name val="Open Sans"/>
      <family val="2"/>
    </font>
    <font>
      <sz val="10"/>
      <name val="Bookman"/>
      <family val="1"/>
    </font>
    <font>
      <b/>
      <sz val="14"/>
      <color theme="0"/>
      <name val="Open Sans"/>
      <family val="2"/>
    </font>
    <font>
      <i/>
      <sz val="8"/>
      <color theme="1"/>
      <name val="Open Sans"/>
      <family val="2"/>
    </font>
    <font>
      <i/>
      <sz val="11"/>
      <color theme="1"/>
      <name val="Open Sans"/>
      <family val="2"/>
    </font>
    <font>
      <i/>
      <sz val="8"/>
      <color rgb="FF000000"/>
      <name val="Open Sans"/>
      <family val="2"/>
    </font>
    <font>
      <i/>
      <sz val="11"/>
      <color rgb="FF000000"/>
      <name val="Open Sans"/>
      <family val="2"/>
    </font>
    <font>
      <vertAlign val="superscript"/>
      <sz val="10"/>
      <color theme="1"/>
      <name val="Open Sans"/>
      <family val="2"/>
    </font>
    <font>
      <sz val="10"/>
      <name val="Open Sans"/>
      <family val="2"/>
    </font>
    <font>
      <sz val="9"/>
      <color rgb="FF000000"/>
      <name val="Open Sans"/>
      <family val="2"/>
    </font>
    <font>
      <b/>
      <sz val="11"/>
      <color rgb="FF3271D2"/>
      <name val="Open Sans"/>
      <family val="2"/>
    </font>
    <font>
      <b/>
      <sz val="14"/>
      <color rgb="FF0000FF"/>
      <name val="Open Sans"/>
      <family val="2"/>
    </font>
    <font>
      <b/>
      <vertAlign val="superscript"/>
      <sz val="10"/>
      <color rgb="FF000000"/>
      <name val="Open Sans"/>
      <family val="2"/>
    </font>
    <font>
      <sz val="10"/>
      <color rgb="FF0000FF"/>
      <name val="Open Sans"/>
      <family val="2"/>
    </font>
    <font>
      <i/>
      <sz val="10"/>
      <name val="Open Sans"/>
      <family val="2"/>
    </font>
    <font>
      <i/>
      <sz val="8"/>
      <name val="Open Sans"/>
      <family val="2"/>
    </font>
    <font>
      <vertAlign val="superscript"/>
      <sz val="9"/>
      <name val="Open Sans"/>
      <family val="2"/>
    </font>
    <font>
      <b/>
      <sz val="9"/>
      <color rgb="FF000000"/>
      <name val="Open Sans"/>
      <family val="2"/>
    </font>
    <font>
      <vertAlign val="superscript"/>
      <sz val="10"/>
      <name val="Open Sans"/>
      <family val="2"/>
    </font>
    <font>
      <sz val="10"/>
      <color rgb="FFC32838"/>
      <name val="Open Sans"/>
      <family val="2"/>
    </font>
    <font>
      <sz val="10"/>
      <color theme="9" tint="-0.249977111117893"/>
      <name val="Open Sans"/>
      <family val="2"/>
    </font>
    <font>
      <sz val="14"/>
      <color rgb="FF000000"/>
      <name val="Open Sans"/>
      <family val="2"/>
    </font>
    <font>
      <sz val="8"/>
      <name val="Open Sans"/>
      <family val="2"/>
    </font>
    <font>
      <b/>
      <i/>
      <sz val="10"/>
      <color rgb="FF3271D2"/>
      <name val="Open Sans"/>
      <family val="2"/>
    </font>
    <font>
      <vertAlign val="superscript"/>
      <sz val="9"/>
      <color rgb="FF000000"/>
      <name val="Open Sans"/>
      <family val="2"/>
    </font>
    <font>
      <b/>
      <i/>
      <sz val="10"/>
      <name val="Open Sans"/>
      <family val="2"/>
    </font>
    <font>
      <b/>
      <i/>
      <sz val="10"/>
      <color theme="0"/>
      <name val="Open Sans"/>
      <family val="2"/>
    </font>
    <font>
      <b/>
      <sz val="10"/>
      <color rgb="FFFFFFFF"/>
      <name val="Open Sans"/>
      <family val="2"/>
    </font>
    <font>
      <b/>
      <vertAlign val="superscript"/>
      <sz val="10"/>
      <name val="Open Sans"/>
      <family val="2"/>
    </font>
    <font>
      <i/>
      <sz val="10"/>
      <color rgb="FF3271D2"/>
      <name val="Open Sans"/>
      <family val="2"/>
    </font>
    <font>
      <sz val="10"/>
      <color rgb="FFFA621C"/>
      <name val="Open Sans"/>
      <family val="2"/>
    </font>
    <font>
      <b/>
      <vertAlign val="superscript"/>
      <sz val="9"/>
      <name val="Open Sans"/>
      <family val="2"/>
    </font>
    <font>
      <b/>
      <sz val="11"/>
      <name val="Open Sans"/>
      <family val="2"/>
    </font>
    <font>
      <b/>
      <sz val="10"/>
      <color rgb="FF0000FF"/>
      <name val="Open Sans"/>
      <family val="2"/>
    </font>
    <font>
      <b/>
      <i/>
      <sz val="11"/>
      <color rgb="FFFA621C"/>
      <name val="Open Sans"/>
      <family val="2"/>
    </font>
    <font>
      <b/>
      <sz val="11"/>
      <color rgb="FFFA621C"/>
      <name val="Open Sans"/>
      <family val="2"/>
    </font>
    <font>
      <b/>
      <sz val="11"/>
      <color theme="1"/>
      <name val="Calibri"/>
      <family val="2"/>
      <scheme val="minor"/>
    </font>
    <font>
      <b/>
      <i/>
      <sz val="9"/>
      <name val="Geneva"/>
      <family val="2"/>
      <charset val="1"/>
    </font>
    <font>
      <sz val="12"/>
      <color theme="1"/>
      <name val="Calibri"/>
      <family val="2"/>
      <scheme val="minor"/>
    </font>
    <font>
      <i/>
      <sz val="9"/>
      <name val="Geneva"/>
      <family val="2"/>
      <charset val="1"/>
    </font>
    <font>
      <u/>
      <sz val="12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name val="Geneva"/>
      <family val="2"/>
      <charset val="1"/>
    </font>
    <font>
      <sz val="10"/>
      <color theme="1"/>
      <name val="Calibri"/>
      <family val="2"/>
      <scheme val="minor"/>
    </font>
    <font>
      <b/>
      <i/>
      <sz val="10"/>
      <name val="Verdana"/>
      <family val="2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sz val="12"/>
      <name val="Arial Narrow"/>
      <family val="2"/>
    </font>
    <font>
      <i/>
      <sz val="12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i/>
      <sz val="9"/>
      <color rgb="FF000000"/>
      <name val="Arial Narrow"/>
      <family val="2"/>
    </font>
    <font>
      <b/>
      <sz val="11"/>
      <color rgb="FF000000"/>
      <name val="Arial Narrow"/>
      <family val="2"/>
    </font>
    <font>
      <b/>
      <sz val="14"/>
      <color rgb="FF008542"/>
      <name val="Open Sans"/>
      <family val="2"/>
    </font>
    <font>
      <sz val="11"/>
      <color rgb="FF008542"/>
      <name val="Arial Narrow"/>
      <family val="2"/>
    </font>
    <font>
      <sz val="10"/>
      <color rgb="FF003300"/>
      <name val="Open Sans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2"/>
      <name val="Arial Narrow"/>
      <family val="2"/>
    </font>
    <font>
      <i/>
      <sz val="10"/>
      <color theme="1"/>
      <name val="Arial Narrow"/>
      <family val="2"/>
    </font>
    <font>
      <sz val="12"/>
      <color rgb="FF0000FF"/>
      <name val="Arial Narrow"/>
      <family val="2"/>
    </font>
    <font>
      <b/>
      <sz val="12"/>
      <color theme="1"/>
      <name val="Arial Narrow"/>
      <family val="2"/>
    </font>
    <font>
      <b/>
      <sz val="12"/>
      <color rgb="FF0000FF"/>
      <name val="Arial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b/>
      <sz val="10"/>
      <name val="Arial"/>
      <family val="2"/>
    </font>
    <font>
      <b/>
      <sz val="11"/>
      <color rgb="FF008542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8"/>
      <color theme="0"/>
      <name val="Open Sans"/>
      <family val="2"/>
    </font>
    <font>
      <sz val="12"/>
      <color rgb="FF008542"/>
      <name val="Arial Narrow"/>
      <family val="2"/>
    </font>
    <font>
      <b/>
      <sz val="12"/>
      <color rgb="FF008542"/>
      <name val="Arial Narrow"/>
      <family val="2"/>
    </font>
    <font>
      <sz val="10"/>
      <color rgb="FF008542"/>
      <name val="Open Sans"/>
      <family val="2"/>
    </font>
    <font>
      <sz val="12"/>
      <color rgb="FF000000"/>
      <name val="Open Sans"/>
      <family val="2"/>
    </font>
    <font>
      <b/>
      <u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E5F7"/>
        <bgColor rgb="FF000000"/>
      </patternFill>
    </fill>
    <fill>
      <patternFill patternType="solid">
        <fgColor theme="2" tint="0.79998168889431442"/>
        <bgColor rgb="FF000000"/>
      </patternFill>
    </fill>
    <fill>
      <patternFill patternType="solid">
        <fgColor rgb="FFFDC82F"/>
        <bgColor rgb="FF000000"/>
      </patternFill>
    </fill>
    <fill>
      <patternFill patternType="solid">
        <fgColor rgb="FF008542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008542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thin">
        <color rgb="FF947131"/>
      </right>
      <top style="thin">
        <color rgb="FF947131"/>
      </top>
      <bottom style="thin">
        <color rgb="FF947131"/>
      </bottom>
      <diagonal/>
    </border>
    <border>
      <left/>
      <right/>
      <top style="thin">
        <color rgb="FF947131"/>
      </top>
      <bottom style="thin">
        <color rgb="FF947131"/>
      </bottom>
      <diagonal/>
    </border>
    <border>
      <left style="thin">
        <color rgb="FF947131"/>
      </left>
      <right/>
      <top style="thin">
        <color rgb="FF947131"/>
      </top>
      <bottom style="thin">
        <color rgb="FF94713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rgb="FF008542"/>
      </bottom>
      <diagonal/>
    </border>
    <border>
      <left/>
      <right/>
      <top/>
      <bottom style="medium">
        <color rgb="FF008542"/>
      </bottom>
      <diagonal/>
    </border>
    <border>
      <left/>
      <right/>
      <top style="thin">
        <color rgb="FF008542"/>
      </top>
      <bottom/>
      <diagonal/>
    </border>
    <border>
      <left/>
      <right/>
      <top style="thin">
        <color rgb="FF008542"/>
      </top>
      <bottom style="medium">
        <color rgb="FF008542"/>
      </bottom>
      <diagonal/>
    </border>
    <border>
      <left/>
      <right/>
      <top style="thin">
        <color rgb="FF3271D2"/>
      </top>
      <bottom style="medium">
        <color rgb="FF008542"/>
      </bottom>
      <diagonal/>
    </border>
    <border>
      <left/>
      <right/>
      <top style="thin">
        <color rgb="FF00854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8542"/>
      </left>
      <right/>
      <top style="thin">
        <color rgb="FF008542"/>
      </top>
      <bottom style="thin">
        <color rgb="FF008542"/>
      </bottom>
      <diagonal/>
    </border>
    <border>
      <left/>
      <right/>
      <top style="thin">
        <color rgb="FF008542"/>
      </top>
      <bottom style="thin">
        <color rgb="FF008542"/>
      </bottom>
      <diagonal/>
    </border>
    <border>
      <left/>
      <right style="thin">
        <color rgb="FF008542"/>
      </right>
      <top style="thin">
        <color rgb="FF008542"/>
      </top>
      <bottom style="thin">
        <color rgb="FF008542"/>
      </bottom>
      <diagonal/>
    </border>
    <border>
      <left style="thin">
        <color rgb="FF008542"/>
      </left>
      <right style="thin">
        <color rgb="FF008542"/>
      </right>
      <top style="thin">
        <color rgb="FF008542"/>
      </top>
      <bottom/>
      <diagonal/>
    </border>
    <border>
      <left style="thin">
        <color rgb="FF008542"/>
      </left>
      <right style="thin">
        <color rgb="FF008542"/>
      </right>
      <top/>
      <bottom/>
      <diagonal/>
    </border>
    <border>
      <left style="thin">
        <color rgb="FF008542"/>
      </left>
      <right style="thin">
        <color rgb="FF008542"/>
      </right>
      <top/>
      <bottom style="thin">
        <color rgb="FF00854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7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11" fillId="0" borderId="0" applyNumberFormat="0" applyFill="0" applyBorder="0" applyAlignment="0" applyProtection="0"/>
    <xf numFmtId="43" fontId="35" fillId="0" borderId="0" applyFont="0" applyFill="0" applyBorder="0" applyAlignment="0" applyProtection="0"/>
    <xf numFmtId="0" fontId="72" fillId="0" borderId="0"/>
    <xf numFmtId="0" fontId="74" fillId="0" borderId="0" applyNumberFormat="0" applyFill="0" applyBorder="0" applyAlignment="0" applyProtection="0"/>
    <xf numFmtId="9" fontId="72" fillId="0" borderId="0" applyFont="0" applyFill="0" applyBorder="0" applyAlignment="0" applyProtection="0"/>
    <xf numFmtId="0" fontId="79" fillId="0" borderId="0"/>
    <xf numFmtId="43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0" fontId="13" fillId="0" borderId="0" applyNumberFormat="0" applyFill="0" applyBorder="0" applyAlignment="0" applyProtection="0"/>
    <xf numFmtId="204" fontId="4" fillId="0" borderId="0" applyFont="0" applyFill="0" applyBorder="0" applyAlignment="0" applyProtection="0"/>
    <xf numFmtId="0" fontId="4" fillId="8" borderId="0" applyNumberFormat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4" fillId="9" borderId="0" applyNumberFormat="0" applyBorder="0" applyAlignment="0" applyProtection="0"/>
    <xf numFmtId="9" fontId="4" fillId="0" borderId="0" applyFont="0" applyFill="0" applyBorder="0" applyAlignment="0" applyProtection="0"/>
    <xf numFmtId="0" fontId="91" fillId="0" borderId="0" applyNumberFormat="0" applyFont="0" applyFill="0" applyBorder="0" applyAlignment="0" applyProtection="0"/>
    <xf numFmtId="0" fontId="2" fillId="0" borderId="0"/>
    <xf numFmtId="0" fontId="4" fillId="0" borderId="0"/>
    <xf numFmtId="0" fontId="91" fillId="0" borderId="0" applyNumberFormat="0" applyFont="0" applyFill="0" applyBorder="0" applyAlignment="0" applyProtection="0"/>
    <xf numFmtId="0" fontId="99" fillId="0" borderId="0"/>
    <xf numFmtId="0" fontId="13" fillId="0" borderId="0" applyNumberFormat="0" applyFill="0" applyBorder="0" applyAlignment="0" applyProtection="0"/>
    <xf numFmtId="0" fontId="1" fillId="0" borderId="0"/>
    <xf numFmtId="0" fontId="4" fillId="0" borderId="0"/>
  </cellStyleXfs>
  <cellXfs count="722">
    <xf numFmtId="0" fontId="0" fillId="0" borderId="0" xfId="0"/>
    <xf numFmtId="0" fontId="12" fillId="0" borderId="0" xfId="0" applyFont="1"/>
    <xf numFmtId="0" fontId="9" fillId="0" borderId="0" xfId="0" applyFont="1"/>
    <xf numFmtId="0" fontId="9" fillId="0" borderId="3" xfId="0" applyFont="1" applyBorder="1"/>
    <xf numFmtId="166" fontId="14" fillId="0" borderId="0" xfId="2" applyNumberFormat="1" applyFont="1" applyFill="1" applyBorder="1" applyAlignment="1">
      <alignment horizontal="right" vertical="center"/>
    </xf>
    <xf numFmtId="0" fontId="15" fillId="0" borderId="0" xfId="0" applyFont="1"/>
    <xf numFmtId="167" fontId="16" fillId="0" borderId="0" xfId="0" quotePrefix="1" applyNumberFormat="1" applyFont="1" applyAlignment="1">
      <alignment horizontal="right"/>
    </xf>
    <xf numFmtId="166" fontId="14" fillId="0" borderId="0" xfId="1" applyNumberFormat="1" applyFont="1" applyBorder="1" applyAlignment="1">
      <alignment horizontal="right" vertical="center"/>
    </xf>
    <xf numFmtId="166" fontId="17" fillId="0" borderId="0" xfId="2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 textRotation="90"/>
    </xf>
    <xf numFmtId="168" fontId="14" fillId="0" borderId="0" xfId="1" applyNumberFormat="1" applyFont="1" applyBorder="1" applyAlignment="1">
      <alignment vertical="center"/>
    </xf>
    <xf numFmtId="166" fontId="14" fillId="0" borderId="4" xfId="1" applyNumberFormat="1" applyFont="1" applyFill="1" applyBorder="1" applyAlignment="1">
      <alignment horizontal="right" vertical="center"/>
    </xf>
    <xf numFmtId="166" fontId="14" fillId="0" borderId="3" xfId="1" applyNumberFormat="1" applyFont="1" applyFill="1" applyBorder="1" applyAlignment="1">
      <alignment horizontal="right" vertical="center"/>
    </xf>
    <xf numFmtId="166" fontId="14" fillId="0" borderId="5" xfId="1" applyNumberFormat="1" applyFont="1" applyFill="1" applyBorder="1" applyAlignment="1">
      <alignment horizontal="right" vertical="center"/>
    </xf>
    <xf numFmtId="168" fontId="14" fillId="0" borderId="4" xfId="1" applyNumberFormat="1" applyFont="1" applyFill="1" applyBorder="1" applyAlignment="1">
      <alignment vertical="center"/>
    </xf>
    <xf numFmtId="168" fontId="14" fillId="0" borderId="3" xfId="1" applyNumberFormat="1" applyFont="1" applyFill="1" applyBorder="1" applyAlignment="1">
      <alignment vertical="center"/>
    </xf>
    <xf numFmtId="168" fontId="14" fillId="0" borderId="5" xfId="1" applyNumberFormat="1" applyFont="1" applyFill="1" applyBorder="1" applyAlignment="1">
      <alignment vertical="center"/>
    </xf>
    <xf numFmtId="166" fontId="14" fillId="0" borderId="6" xfId="1" applyNumberFormat="1" applyFont="1" applyFill="1" applyBorder="1" applyAlignment="1">
      <alignment horizontal="right" vertical="center"/>
    </xf>
    <xf numFmtId="166" fontId="14" fillId="0" borderId="0" xfId="1" applyNumberFormat="1" applyFont="1" applyFill="1" applyAlignment="1">
      <alignment horizontal="right" vertical="center"/>
    </xf>
    <xf numFmtId="166" fontId="14" fillId="0" borderId="7" xfId="1" applyNumberFormat="1" applyFont="1" applyFill="1" applyBorder="1" applyAlignment="1">
      <alignment horizontal="right" vertical="center"/>
    </xf>
    <xf numFmtId="168" fontId="14" fillId="0" borderId="6" xfId="1" applyNumberFormat="1" applyFont="1" applyFill="1" applyBorder="1" applyAlignment="1">
      <alignment vertical="center"/>
    </xf>
    <xf numFmtId="168" fontId="14" fillId="0" borderId="0" xfId="1" applyNumberFormat="1" applyFont="1" applyFill="1" applyAlignment="1">
      <alignment vertical="center"/>
    </xf>
    <xf numFmtId="168" fontId="14" fillId="0" borderId="7" xfId="1" applyNumberFormat="1" applyFont="1" applyFill="1" applyBorder="1" applyAlignment="1">
      <alignment vertical="center"/>
    </xf>
    <xf numFmtId="166" fontId="18" fillId="0" borderId="8" xfId="1" applyNumberFormat="1" applyFont="1" applyFill="1" applyBorder="1" applyAlignment="1">
      <alignment horizontal="right" vertical="center"/>
    </xf>
    <xf numFmtId="168" fontId="18" fillId="0" borderId="8" xfId="1" applyNumberFormat="1" applyFont="1" applyFill="1" applyBorder="1" applyAlignment="1">
      <alignment vertical="center"/>
    </xf>
    <xf numFmtId="166" fontId="14" fillId="0" borderId="9" xfId="1" applyNumberFormat="1" applyFont="1" applyFill="1" applyBorder="1" applyAlignment="1">
      <alignment horizontal="right" vertical="center"/>
    </xf>
    <xf numFmtId="166" fontId="14" fillId="0" borderId="10" xfId="1" applyNumberFormat="1" applyFont="1" applyFill="1" applyBorder="1" applyAlignment="1">
      <alignment horizontal="right" vertical="center"/>
    </xf>
    <xf numFmtId="166" fontId="14" fillId="0" borderId="11" xfId="1" applyNumberFormat="1" applyFont="1" applyFill="1" applyBorder="1" applyAlignment="1">
      <alignment horizontal="right" vertical="center"/>
    </xf>
    <xf numFmtId="168" fontId="14" fillId="0" borderId="9" xfId="1" applyNumberFormat="1" applyFont="1" applyFill="1" applyBorder="1" applyAlignment="1">
      <alignment vertical="center"/>
    </xf>
    <xf numFmtId="168" fontId="14" fillId="0" borderId="10" xfId="1" applyNumberFormat="1" applyFont="1" applyFill="1" applyBorder="1" applyAlignment="1">
      <alignment vertical="center"/>
    </xf>
    <xf numFmtId="168" fontId="14" fillId="0" borderId="11" xfId="1" applyNumberFormat="1" applyFont="1" applyFill="1" applyBorder="1" applyAlignment="1">
      <alignment vertical="center"/>
    </xf>
    <xf numFmtId="169" fontId="17" fillId="0" borderId="0" xfId="2" applyNumberFormat="1" applyFont="1" applyFill="1" applyBorder="1" applyAlignment="1">
      <alignment horizontal="right" vertical="center"/>
    </xf>
    <xf numFmtId="170" fontId="14" fillId="0" borderId="0" xfId="0" applyNumberFormat="1" applyFont="1" applyAlignment="1">
      <alignment horizontal="right"/>
    </xf>
    <xf numFmtId="0" fontId="15" fillId="0" borderId="0" xfId="0" applyFont="1" applyAlignment="1">
      <alignment horizontal="centerContinuous"/>
    </xf>
    <xf numFmtId="0" fontId="14" fillId="0" borderId="0" xfId="0" applyFont="1" applyAlignment="1">
      <alignment horizontal="centerContinuous" vertical="center"/>
    </xf>
    <xf numFmtId="0" fontId="15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Continuous"/>
    </xf>
    <xf numFmtId="0" fontId="3" fillId="0" borderId="0" xfId="0" applyFont="1" applyAlignment="1">
      <alignment horizontal="centerContinuous" vertical="center"/>
    </xf>
    <xf numFmtId="0" fontId="18" fillId="0" borderId="0" xfId="0" applyFont="1" applyAlignment="1">
      <alignment horizontal="centerContinuous" vertical="center"/>
    </xf>
    <xf numFmtId="171" fontId="14" fillId="0" borderId="4" xfId="1" applyNumberFormat="1" applyFont="1" applyFill="1" applyBorder="1" applyAlignment="1">
      <alignment vertical="center"/>
    </xf>
    <xf numFmtId="171" fontId="14" fillId="0" borderId="3" xfId="1" applyNumberFormat="1" applyFont="1" applyFill="1" applyBorder="1" applyAlignment="1">
      <alignment vertical="center"/>
    </xf>
    <xf numFmtId="171" fontId="14" fillId="0" borderId="5" xfId="1" applyNumberFormat="1" applyFont="1" applyFill="1" applyBorder="1" applyAlignment="1">
      <alignment vertical="center"/>
    </xf>
    <xf numFmtId="171" fontId="14" fillId="0" borderId="6" xfId="1" applyNumberFormat="1" applyFont="1" applyFill="1" applyBorder="1" applyAlignment="1">
      <alignment vertical="center"/>
    </xf>
    <xf numFmtId="171" fontId="14" fillId="0" borderId="0" xfId="1" applyNumberFormat="1" applyFont="1" applyFill="1" applyAlignment="1">
      <alignment vertical="center"/>
    </xf>
    <xf numFmtId="171" fontId="14" fillId="0" borderId="7" xfId="1" applyNumberFormat="1" applyFont="1" applyFill="1" applyBorder="1" applyAlignment="1">
      <alignment vertical="center"/>
    </xf>
    <xf numFmtId="171" fontId="18" fillId="0" borderId="8" xfId="1" applyNumberFormat="1" applyFont="1" applyFill="1" applyBorder="1" applyAlignment="1">
      <alignment vertical="center"/>
    </xf>
    <xf numFmtId="171" fontId="14" fillId="0" borderId="9" xfId="1" applyNumberFormat="1" applyFont="1" applyFill="1" applyBorder="1" applyAlignment="1">
      <alignment vertical="center"/>
    </xf>
    <xf numFmtId="171" fontId="14" fillId="0" borderId="10" xfId="1" applyNumberFormat="1" applyFont="1" applyFill="1" applyBorder="1" applyAlignment="1">
      <alignment vertical="center"/>
    </xf>
    <xf numFmtId="171" fontId="14" fillId="0" borderId="11" xfId="1" applyNumberFormat="1" applyFont="1" applyFill="1" applyBorder="1" applyAlignment="1">
      <alignment vertical="center"/>
    </xf>
    <xf numFmtId="172" fontId="14" fillId="0" borderId="0" xfId="0" applyNumberFormat="1" applyFont="1" applyAlignment="1">
      <alignment horizontal="right"/>
    </xf>
    <xf numFmtId="170" fontId="19" fillId="0" borderId="0" xfId="0" applyNumberFormat="1" applyFont="1" applyAlignment="1">
      <alignment horizontal="right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73" fontId="14" fillId="0" borderId="0" xfId="2" applyNumberFormat="1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2" fillId="0" borderId="0" xfId="0" applyFont="1"/>
    <xf numFmtId="0" fontId="23" fillId="0" borderId="0" xfId="0" applyFont="1"/>
    <xf numFmtId="0" fontId="14" fillId="0" borderId="0" xfId="0" applyFont="1" applyAlignment="1">
      <alignment horizontal="left"/>
    </xf>
    <xf numFmtId="0" fontId="24" fillId="0" borderId="0" xfId="0" applyFont="1"/>
    <xf numFmtId="171" fontId="14" fillId="0" borderId="0" xfId="0" applyNumberFormat="1" applyFont="1" applyAlignment="1">
      <alignment horizontal="right"/>
    </xf>
    <xf numFmtId="0" fontId="25" fillId="0" borderId="0" xfId="0" quotePrefix="1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vertical="center"/>
    </xf>
    <xf numFmtId="172" fontId="14" fillId="0" borderId="4" xfId="0" applyNumberFormat="1" applyFont="1" applyBorder="1" applyAlignment="1">
      <alignment horizontal="center"/>
    </xf>
    <xf numFmtId="170" fontId="14" fillId="0" borderId="3" xfId="0" applyNumberFormat="1" applyFont="1" applyBorder="1" applyAlignment="1">
      <alignment horizontal="center"/>
    </xf>
    <xf numFmtId="170" fontId="14" fillId="0" borderId="5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18" fillId="0" borderId="0" xfId="0" applyFont="1" applyAlignment="1">
      <alignment horizontal="left"/>
    </xf>
    <xf numFmtId="168" fontId="14" fillId="0" borderId="0" xfId="1" applyNumberFormat="1" applyFont="1" applyFill="1" applyBorder="1" applyAlignment="1">
      <alignment horizontal="right" vertical="center"/>
    </xf>
    <xf numFmtId="0" fontId="26" fillId="0" borderId="0" xfId="0" quotePrefix="1" applyFont="1" applyAlignment="1">
      <alignment horizontal="center" vertical="center"/>
    </xf>
    <xf numFmtId="37" fontId="27" fillId="0" borderId="0" xfId="0" applyNumberFormat="1" applyFont="1" applyAlignment="1">
      <alignment vertical="center"/>
    </xf>
    <xf numFmtId="174" fontId="28" fillId="0" borderId="0" xfId="0" applyNumberFormat="1" applyFont="1" applyAlignment="1">
      <alignment horizontal="right"/>
    </xf>
    <xf numFmtId="172" fontId="14" fillId="0" borderId="6" xfId="0" applyNumberFormat="1" applyFont="1" applyBorder="1" applyAlignment="1">
      <alignment horizontal="center"/>
    </xf>
    <xf numFmtId="170" fontId="14" fillId="0" borderId="0" xfId="0" applyNumberFormat="1" applyFont="1" applyAlignment="1">
      <alignment horizontal="center"/>
    </xf>
    <xf numFmtId="170" fontId="14" fillId="0" borderId="7" xfId="0" applyNumberFormat="1" applyFont="1" applyBorder="1" applyAlignment="1">
      <alignment horizontal="center"/>
    </xf>
    <xf numFmtId="164" fontId="29" fillId="0" borderId="0" xfId="0" applyNumberFormat="1" applyFont="1" applyAlignment="1">
      <alignment vertical="center"/>
    </xf>
    <xf numFmtId="172" fontId="14" fillId="0" borderId="9" xfId="0" applyNumberFormat="1" applyFont="1" applyBorder="1" applyAlignment="1">
      <alignment horizontal="center"/>
    </xf>
    <xf numFmtId="170" fontId="14" fillId="0" borderId="10" xfId="0" applyNumberFormat="1" applyFont="1" applyBorder="1" applyAlignment="1">
      <alignment horizontal="center"/>
    </xf>
    <xf numFmtId="170" fontId="14" fillId="0" borderId="11" xfId="0" applyNumberFormat="1" applyFont="1" applyBorder="1" applyAlignment="1">
      <alignment horizontal="center"/>
    </xf>
    <xf numFmtId="168" fontId="14" fillId="0" borderId="0" xfId="0" applyNumberFormat="1" applyFont="1"/>
    <xf numFmtId="0" fontId="9" fillId="0" borderId="0" xfId="0" applyFont="1" applyAlignment="1">
      <alignment horizontal="center"/>
    </xf>
    <xf numFmtId="170" fontId="8" fillId="0" borderId="0" xfId="0" applyNumberFormat="1" applyFont="1" applyAlignment="1">
      <alignment horizontal="center"/>
    </xf>
    <xf numFmtId="169" fontId="14" fillId="0" borderId="0" xfId="2" applyNumberFormat="1" applyFont="1" applyFill="1" applyBorder="1" applyAlignment="1">
      <alignment horizontal="right" vertical="center"/>
    </xf>
    <xf numFmtId="0" fontId="18" fillId="0" borderId="0" xfId="0" applyFont="1" applyAlignment="1">
      <alignment horizontal="center" vertical="center"/>
    </xf>
    <xf numFmtId="37" fontId="30" fillId="0" borderId="0" xfId="0" applyNumberFormat="1" applyFont="1" applyAlignment="1">
      <alignment vertical="center"/>
    </xf>
    <xf numFmtId="174" fontId="31" fillId="0" borderId="0" xfId="0" applyNumberFormat="1" applyFont="1" applyAlignment="1">
      <alignment horizontal="right"/>
    </xf>
    <xf numFmtId="164" fontId="25" fillId="0" borderId="0" xfId="0" applyNumberFormat="1" applyFont="1" applyAlignment="1">
      <alignment horizontal="left" vertical="center"/>
    </xf>
    <xf numFmtId="175" fontId="31" fillId="0" borderId="0" xfId="0" applyNumberFormat="1" applyFont="1" applyAlignment="1">
      <alignment horizontal="right"/>
    </xf>
    <xf numFmtId="174" fontId="32" fillId="0" borderId="0" xfId="0" applyNumberFormat="1" applyFont="1" applyAlignment="1">
      <alignment horizontal="right"/>
    </xf>
    <xf numFmtId="174" fontId="5" fillId="0" borderId="0" xfId="0" applyNumberFormat="1" applyFont="1" applyAlignment="1">
      <alignment horizontal="right"/>
    </xf>
    <xf numFmtId="37" fontId="8" fillId="0" borderId="0" xfId="0" applyNumberFormat="1" applyFont="1" applyAlignment="1">
      <alignment vertical="center"/>
    </xf>
    <xf numFmtId="37" fontId="5" fillId="0" borderId="0" xfId="0" applyNumberFormat="1" applyFont="1" applyAlignment="1">
      <alignment vertical="center"/>
    </xf>
    <xf numFmtId="168" fontId="14" fillId="0" borderId="0" xfId="1" applyNumberFormat="1" applyFont="1" applyFill="1" applyBorder="1" applyAlignment="1">
      <alignment vertical="center"/>
    </xf>
    <xf numFmtId="166" fontId="17" fillId="0" borderId="3" xfId="2" applyNumberFormat="1" applyFont="1" applyFill="1" applyBorder="1" applyAlignment="1">
      <alignment horizontal="right" vertical="center"/>
    </xf>
    <xf numFmtId="168" fontId="14" fillId="0" borderId="0" xfId="1" applyNumberFormat="1" applyFont="1" applyBorder="1" applyAlignment="1">
      <alignment horizontal="right" vertical="center"/>
    </xf>
    <xf numFmtId="0" fontId="18" fillId="0" borderId="0" xfId="0" applyFont="1" applyAlignment="1">
      <alignment horizontal="left" vertical="center"/>
    </xf>
    <xf numFmtId="170" fontId="34" fillId="0" borderId="0" xfId="0" applyNumberFormat="1" applyFont="1" applyAlignment="1">
      <alignment horizontal="center"/>
    </xf>
    <xf numFmtId="176" fontId="9" fillId="0" borderId="0" xfId="5" applyNumberFormat="1" applyFont="1" applyProtection="1">
      <protection locked="0"/>
    </xf>
    <xf numFmtId="176" fontId="9" fillId="0" borderId="0" xfId="5" applyNumberFormat="1" applyFont="1" applyFill="1" applyProtection="1">
      <protection locked="0"/>
    </xf>
    <xf numFmtId="174" fontId="36" fillId="0" borderId="0" xfId="0" applyNumberFormat="1" applyFont="1" applyAlignment="1">
      <alignment horizontal="right" vertical="center"/>
    </xf>
    <xf numFmtId="169" fontId="34" fillId="0" borderId="0" xfId="1" applyNumberFormat="1" applyFont="1" applyFill="1" applyBorder="1" applyAlignment="1">
      <alignment vertical="center"/>
    </xf>
    <xf numFmtId="0" fontId="37" fillId="0" borderId="0" xfId="0" applyFont="1" applyAlignment="1">
      <alignment horizontal="center" vertical="center"/>
    </xf>
    <xf numFmtId="176" fontId="38" fillId="0" borderId="0" xfId="5" applyNumberFormat="1" applyFont="1" applyAlignment="1" applyProtection="1">
      <alignment horizontal="center"/>
      <protection locked="0"/>
    </xf>
    <xf numFmtId="171" fontId="34" fillId="0" borderId="0" xfId="1" applyNumberFormat="1" applyFont="1" applyFill="1" applyBorder="1" applyAlignment="1">
      <alignment vertical="center"/>
    </xf>
    <xf numFmtId="171" fontId="34" fillId="0" borderId="0" xfId="2" applyNumberFormat="1" applyFont="1" applyFill="1" applyBorder="1" applyAlignment="1">
      <alignment horizontal="right" vertical="center"/>
    </xf>
    <xf numFmtId="0" fontId="39" fillId="0" borderId="0" xfId="0" quotePrefix="1" applyFont="1" applyAlignment="1">
      <alignment horizontal="center" vertical="center"/>
    </xf>
    <xf numFmtId="177" fontId="3" fillId="0" borderId="0" xfId="4" applyNumberFormat="1" applyFont="1" applyFill="1" applyBorder="1" applyAlignment="1" applyProtection="1">
      <alignment horizontal="right" vertical="center"/>
      <protection locked="0"/>
    </xf>
    <xf numFmtId="176" fontId="40" fillId="0" borderId="0" xfId="5" applyNumberFormat="1" applyFont="1" applyFill="1" applyBorder="1" applyAlignment="1" applyProtection="1">
      <alignment vertical="center"/>
      <protection locked="0"/>
    </xf>
    <xf numFmtId="0" fontId="15" fillId="0" borderId="0" xfId="0" applyFont="1" applyAlignment="1">
      <alignment vertical="center"/>
    </xf>
    <xf numFmtId="176" fontId="17" fillId="0" borderId="0" xfId="5" applyNumberFormat="1" applyFont="1" applyFill="1" applyBorder="1" applyAlignment="1">
      <alignment horizontal="right" vertical="center"/>
    </xf>
    <xf numFmtId="49" fontId="3" fillId="0" borderId="0" xfId="0" applyNumberFormat="1" applyFont="1" applyAlignment="1">
      <alignment vertical="center"/>
    </xf>
    <xf numFmtId="166" fontId="14" fillId="0" borderId="0" xfId="2" applyNumberFormat="1" applyFont="1" applyFill="1" applyBorder="1" applyAlignment="1">
      <alignment vertical="center"/>
    </xf>
    <xf numFmtId="0" fontId="9" fillId="0" borderId="0" xfId="0" applyFont="1" applyAlignment="1">
      <alignment vertical="center"/>
    </xf>
    <xf numFmtId="176" fontId="21" fillId="0" borderId="0" xfId="5" applyNumberFormat="1" applyFont="1" applyAlignment="1" applyProtection="1">
      <alignment horizontal="center"/>
      <protection locked="0"/>
    </xf>
    <xf numFmtId="168" fontId="34" fillId="0" borderId="0" xfId="1" applyNumberFormat="1" applyFont="1" applyFill="1" applyBorder="1" applyAlignment="1">
      <alignment vertical="center"/>
    </xf>
    <xf numFmtId="176" fontId="21" fillId="0" borderId="0" xfId="5" applyNumberFormat="1" applyFont="1" applyBorder="1" applyAlignment="1" applyProtection="1">
      <alignment vertical="center"/>
      <protection locked="0"/>
    </xf>
    <xf numFmtId="176" fontId="3" fillId="0" borderId="0" xfId="5" applyNumberFormat="1" applyFont="1" applyBorder="1" applyAlignment="1" applyProtection="1">
      <alignment vertical="center"/>
      <protection locked="0"/>
    </xf>
    <xf numFmtId="0" fontId="3" fillId="0" borderId="0" xfId="0" applyFont="1"/>
    <xf numFmtId="168" fontId="34" fillId="0" borderId="0" xfId="0" applyNumberFormat="1" applyFont="1" applyAlignment="1">
      <alignment vertical="center"/>
    </xf>
    <xf numFmtId="176" fontId="21" fillId="0" borderId="0" xfId="5" applyNumberFormat="1" applyFont="1" applyAlignment="1" applyProtection="1">
      <alignment vertical="center"/>
      <protection locked="0"/>
    </xf>
    <xf numFmtId="177" fontId="14" fillId="0" borderId="0" xfId="4" applyNumberFormat="1" applyFont="1" applyFill="1" applyBorder="1" applyAlignment="1" applyProtection="1">
      <alignment horizontal="right" vertical="center"/>
      <protection locked="0"/>
    </xf>
    <xf numFmtId="168" fontId="34" fillId="0" borderId="0" xfId="1" applyNumberFormat="1" applyFont="1"/>
    <xf numFmtId="179" fontId="14" fillId="0" borderId="0" xfId="0" applyNumberFormat="1" applyFont="1" applyAlignment="1">
      <alignment horizontal="right" vertical="center"/>
    </xf>
    <xf numFmtId="0" fontId="37" fillId="0" borderId="0" xfId="0" quotePrefix="1" applyFont="1" applyAlignment="1">
      <alignment horizontal="center" vertical="center"/>
    </xf>
    <xf numFmtId="176" fontId="21" fillId="0" borderId="0" xfId="5" applyNumberFormat="1" applyFont="1" applyAlignment="1">
      <alignment horizontal="right"/>
    </xf>
    <xf numFmtId="166" fontId="42" fillId="0" borderId="0" xfId="0" applyNumberFormat="1" applyFont="1"/>
    <xf numFmtId="166" fontId="14" fillId="0" borderId="0" xfId="0" applyNumberFormat="1" applyFont="1"/>
    <xf numFmtId="176" fontId="9" fillId="0" borderId="0" xfId="5" applyNumberFormat="1" applyFont="1" applyFill="1" applyBorder="1" applyProtection="1">
      <protection locked="0"/>
    </xf>
    <xf numFmtId="176" fontId="38" fillId="0" borderId="0" xfId="5" applyNumberFormat="1" applyFont="1" applyAlignment="1">
      <alignment horizontal="right"/>
    </xf>
    <xf numFmtId="176" fontId="38" fillId="0" borderId="0" xfId="5" applyNumberFormat="1" applyFont="1" applyProtection="1">
      <protection locked="0"/>
    </xf>
    <xf numFmtId="173" fontId="34" fillId="0" borderId="0" xfId="0" applyNumberFormat="1" applyFont="1" applyAlignment="1">
      <alignment vertical="center"/>
    </xf>
    <xf numFmtId="173" fontId="34" fillId="0" borderId="3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4" fillId="0" borderId="0" xfId="0" applyFont="1" applyAlignment="1">
      <alignment horizontal="left" indent="1"/>
    </xf>
    <xf numFmtId="0" fontId="42" fillId="0" borderId="0" xfId="0" applyFont="1"/>
    <xf numFmtId="37" fontId="5" fillId="0" borderId="3" xfId="0" applyNumberFormat="1" applyFont="1" applyBorder="1" applyAlignment="1">
      <alignment vertical="center"/>
    </xf>
    <xf numFmtId="0" fontId="18" fillId="0" borderId="3" xfId="0" applyFont="1" applyBorder="1" applyAlignment="1">
      <alignment horizontal="left"/>
    </xf>
    <xf numFmtId="173" fontId="17" fillId="0" borderId="0" xfId="2" applyNumberFormat="1" applyFont="1" applyFill="1" applyBorder="1" applyAlignment="1">
      <alignment vertical="center"/>
    </xf>
    <xf numFmtId="168" fontId="18" fillId="0" borderId="3" xfId="0" applyNumberFormat="1" applyFont="1" applyBorder="1" applyAlignment="1">
      <alignment horizontal="right"/>
    </xf>
    <xf numFmtId="170" fontId="14" fillId="0" borderId="0" xfId="0" applyNumberFormat="1" applyFont="1"/>
    <xf numFmtId="171" fontId="14" fillId="0" borderId="0" xfId="0" applyNumberFormat="1" applyFont="1"/>
    <xf numFmtId="171" fontId="42" fillId="0" borderId="0" xfId="0" applyNumberFormat="1" applyFont="1"/>
    <xf numFmtId="171" fontId="34" fillId="0" borderId="0" xfId="0" applyNumberFormat="1" applyFont="1"/>
    <xf numFmtId="0" fontId="42" fillId="0" borderId="0" xfId="0" applyFont="1" applyAlignment="1">
      <alignment horizontal="left"/>
    </xf>
    <xf numFmtId="173" fontId="14" fillId="0" borderId="0" xfId="2" applyNumberFormat="1" applyFont="1" applyFill="1" applyBorder="1" applyAlignment="1">
      <alignment horizontal="center" vertical="center"/>
    </xf>
    <xf numFmtId="168" fontId="18" fillId="0" borderId="0" xfId="0" applyNumberFormat="1" applyFont="1" applyAlignment="1">
      <alignment horizontal="right"/>
    </xf>
    <xf numFmtId="37" fontId="45" fillId="0" borderId="0" xfId="0" applyNumberFormat="1" applyFont="1" applyAlignment="1">
      <alignment vertical="center"/>
    </xf>
    <xf numFmtId="37" fontId="33" fillId="0" borderId="0" xfId="0" applyNumberFormat="1" applyFont="1" applyAlignment="1">
      <alignment vertical="center"/>
    </xf>
    <xf numFmtId="0" fontId="14" fillId="0" borderId="0" xfId="0" applyFont="1" applyAlignment="1">
      <alignment horizontal="left" indent="2"/>
    </xf>
    <xf numFmtId="0" fontId="18" fillId="0" borderId="0" xfId="0" applyFont="1" applyAlignment="1">
      <alignment horizontal="left" indent="1"/>
    </xf>
    <xf numFmtId="166" fontId="34" fillId="0" borderId="0" xfId="0" applyNumberFormat="1" applyFont="1" applyAlignment="1">
      <alignment horizontal="right" vertical="center"/>
    </xf>
    <xf numFmtId="0" fontId="4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2"/>
    </xf>
    <xf numFmtId="168" fontId="12" fillId="0" borderId="0" xfId="0" applyNumberFormat="1" applyFont="1" applyAlignment="1">
      <alignment horizontal="right"/>
    </xf>
    <xf numFmtId="168" fontId="47" fillId="0" borderId="0" xfId="0" applyNumberFormat="1" applyFont="1" applyAlignment="1">
      <alignment horizontal="right" vertical="center"/>
    </xf>
    <xf numFmtId="168" fontId="48" fillId="0" borderId="0" xfId="0" applyNumberFormat="1" applyFont="1" applyAlignment="1">
      <alignment horizontal="right" vertical="center"/>
    </xf>
    <xf numFmtId="168" fontId="3" fillId="0" borderId="0" xfId="0" applyNumberFormat="1" applyFont="1" applyAlignment="1">
      <alignment horizontal="right" vertical="center"/>
    </xf>
    <xf numFmtId="168" fontId="18" fillId="0" borderId="14" xfId="2" applyNumberFormat="1" applyFont="1" applyFill="1" applyBorder="1" applyAlignment="1">
      <alignment horizontal="right" vertical="center"/>
    </xf>
    <xf numFmtId="168" fontId="18" fillId="0" borderId="15" xfId="2" applyNumberFormat="1" applyFont="1" applyFill="1" applyBorder="1" applyAlignment="1">
      <alignment horizontal="right" vertical="center"/>
    </xf>
    <xf numFmtId="166" fontId="12" fillId="0" borderId="0" xfId="0" applyNumberFormat="1" applyFont="1"/>
    <xf numFmtId="166" fontId="47" fillId="0" borderId="0" xfId="0" applyNumberFormat="1" applyFont="1" applyAlignment="1">
      <alignment horizontal="right" vertical="center"/>
    </xf>
    <xf numFmtId="166" fontId="48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vertical="center"/>
    </xf>
    <xf numFmtId="166" fontId="18" fillId="0" borderId="14" xfId="2" applyNumberFormat="1" applyFont="1" applyFill="1" applyBorder="1" applyAlignment="1">
      <alignment vertical="center"/>
    </xf>
    <xf numFmtId="166" fontId="18" fillId="0" borderId="15" xfId="2" applyNumberFormat="1" applyFont="1" applyFill="1" applyBorder="1" applyAlignment="1">
      <alignment vertical="center"/>
    </xf>
    <xf numFmtId="173" fontId="12" fillId="0" borderId="0" xfId="0" applyNumberFormat="1" applyFont="1"/>
    <xf numFmtId="173" fontId="47" fillId="0" borderId="0" xfId="0" applyNumberFormat="1" applyFont="1" applyAlignment="1">
      <alignment horizontal="right" vertical="center"/>
    </xf>
    <xf numFmtId="173" fontId="48" fillId="0" borderId="0" xfId="0" applyNumberFormat="1" applyFont="1" applyAlignment="1">
      <alignment horizontal="right" vertical="center"/>
    </xf>
    <xf numFmtId="173" fontId="3" fillId="0" borderId="0" xfId="0" applyNumberFormat="1" applyFont="1" applyAlignment="1">
      <alignment vertical="center"/>
    </xf>
    <xf numFmtId="0" fontId="42" fillId="0" borderId="0" xfId="0" applyFont="1" applyAlignment="1">
      <alignment vertical="center"/>
    </xf>
    <xf numFmtId="173" fontId="21" fillId="0" borderId="0" xfId="0" applyNumberFormat="1" applyFont="1" applyAlignment="1">
      <alignment horizontal="right" vertical="center"/>
    </xf>
    <xf numFmtId="187" fontId="47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175" fontId="31" fillId="0" borderId="3" xfId="0" applyNumberFormat="1" applyFont="1" applyBorder="1" applyAlignment="1">
      <alignment horizontal="right"/>
    </xf>
    <xf numFmtId="174" fontId="31" fillId="0" borderId="3" xfId="0" applyNumberFormat="1" applyFont="1" applyBorder="1" applyAlignment="1">
      <alignment horizontal="right"/>
    </xf>
    <xf numFmtId="164" fontId="29" fillId="0" borderId="3" xfId="0" applyNumberFormat="1" applyFont="1" applyBorder="1" applyAlignment="1">
      <alignment vertical="center"/>
    </xf>
    <xf numFmtId="183" fontId="16" fillId="0" borderId="0" xfId="0" quotePrefix="1" applyNumberFormat="1" applyFont="1" applyAlignment="1">
      <alignment horizontal="right"/>
    </xf>
    <xf numFmtId="171" fontId="14" fillId="0" borderId="4" xfId="0" applyNumberFormat="1" applyFont="1" applyBorder="1"/>
    <xf numFmtId="0" fontId="49" fillId="0" borderId="3" xfId="0" applyFont="1" applyBorder="1" applyAlignment="1">
      <alignment horizontal="right"/>
    </xf>
    <xf numFmtId="0" fontId="42" fillId="0" borderId="5" xfId="0" applyFont="1" applyBorder="1" applyAlignment="1">
      <alignment horizontal="left" indent="1"/>
    </xf>
    <xf numFmtId="168" fontId="14" fillId="0" borderId="4" xfId="0" applyNumberFormat="1" applyFont="1" applyBorder="1"/>
    <xf numFmtId="168" fontId="42" fillId="0" borderId="4" xfId="0" applyNumberFormat="1" applyFont="1" applyBorder="1"/>
    <xf numFmtId="0" fontId="49" fillId="0" borderId="0" xfId="0" quotePrefix="1" applyFont="1" applyAlignment="1">
      <alignment horizontal="right"/>
    </xf>
    <xf numFmtId="0" fontId="42" fillId="0" borderId="7" xfId="0" applyFont="1" applyBorder="1" applyAlignment="1">
      <alignment horizontal="left" indent="1"/>
    </xf>
    <xf numFmtId="0" fontId="14" fillId="0" borderId="7" xfId="0" applyFont="1" applyBorder="1" applyAlignment="1">
      <alignment horizontal="left" indent="1"/>
    </xf>
    <xf numFmtId="168" fontId="14" fillId="0" borderId="9" xfId="0" applyNumberFormat="1" applyFont="1" applyBorder="1"/>
    <xf numFmtId="0" fontId="9" fillId="0" borderId="10" xfId="0" applyFont="1" applyBorder="1"/>
    <xf numFmtId="0" fontId="42" fillId="0" borderId="11" xfId="0" applyFont="1" applyBorder="1" applyAlignment="1">
      <alignment horizontal="left" indent="1"/>
    </xf>
    <xf numFmtId="0" fontId="31" fillId="0" borderId="0" xfId="0" applyFont="1" applyAlignment="1">
      <alignment horizontal="left"/>
    </xf>
    <xf numFmtId="178" fontId="17" fillId="0" borderId="3" xfId="0" applyNumberFormat="1" applyFont="1" applyBorder="1" applyAlignment="1">
      <alignment horizontal="right"/>
    </xf>
    <xf numFmtId="0" fontId="15" fillId="0" borderId="3" xfId="0" applyFont="1" applyBorder="1"/>
    <xf numFmtId="0" fontId="14" fillId="0" borderId="5" xfId="0" applyFont="1" applyBorder="1" applyAlignment="1">
      <alignment horizontal="left" indent="1"/>
    </xf>
    <xf numFmtId="174" fontId="42" fillId="0" borderId="0" xfId="0" applyNumberFormat="1" applyFont="1" applyAlignment="1">
      <alignment horizontal="right"/>
    </xf>
    <xf numFmtId="0" fontId="42" fillId="0" borderId="0" xfId="0" applyFont="1" applyAlignment="1">
      <alignment horizontal="left" indent="1"/>
    </xf>
    <xf numFmtId="188" fontId="42" fillId="0" borderId="0" xfId="0" applyNumberFormat="1" applyFont="1"/>
    <xf numFmtId="178" fontId="17" fillId="0" borderId="10" xfId="0" applyNumberFormat="1" applyFont="1" applyBorder="1" applyAlignment="1">
      <alignment horizontal="right"/>
    </xf>
    <xf numFmtId="0" fontId="15" fillId="0" borderId="10" xfId="0" applyFont="1" applyBorder="1"/>
    <xf numFmtId="0" fontId="14" fillId="0" borderId="11" xfId="0" applyFont="1" applyBorder="1" applyAlignment="1">
      <alignment horizontal="left" indent="1"/>
    </xf>
    <xf numFmtId="37" fontId="30" fillId="0" borderId="10" xfId="0" applyNumberFormat="1" applyFont="1" applyBorder="1" applyAlignment="1">
      <alignment vertical="center"/>
    </xf>
    <xf numFmtId="0" fontId="15" fillId="0" borderId="0" xfId="0" applyFont="1" applyAlignment="1">
      <alignment horizontal="center"/>
    </xf>
    <xf numFmtId="170" fontId="34" fillId="0" borderId="0" xfId="0" applyNumberFormat="1" applyFont="1"/>
    <xf numFmtId="168" fontId="14" fillId="0" borderId="0" xfId="0" applyNumberFormat="1" applyFont="1" applyAlignment="1">
      <alignment horizontal="right"/>
    </xf>
    <xf numFmtId="166" fontId="14" fillId="0" borderId="0" xfId="1" applyNumberFormat="1" applyFont="1" applyFill="1" applyBorder="1" applyAlignment="1">
      <alignment horizontal="right"/>
    </xf>
    <xf numFmtId="168" fontId="34" fillId="0" borderId="0" xfId="0" applyNumberFormat="1" applyFont="1" applyAlignment="1">
      <alignment horizontal="right"/>
    </xf>
    <xf numFmtId="170" fontId="18" fillId="0" borderId="0" xfId="0" applyNumberFormat="1" applyFont="1"/>
    <xf numFmtId="168" fontId="14" fillId="0" borderId="3" xfId="0" applyNumberFormat="1" applyFont="1" applyBorder="1"/>
    <xf numFmtId="168" fontId="34" fillId="0" borderId="3" xfId="0" applyNumberFormat="1" applyFont="1" applyBorder="1"/>
    <xf numFmtId="168" fontId="34" fillId="0" borderId="0" xfId="0" applyNumberFormat="1" applyFont="1"/>
    <xf numFmtId="168" fontId="14" fillId="0" borderId="3" xfId="0" applyNumberFormat="1" applyFont="1" applyBorder="1" applyAlignment="1">
      <alignment horizontal="right"/>
    </xf>
    <xf numFmtId="168" fontId="34" fillId="0" borderId="3" xfId="0" applyNumberFormat="1" applyFont="1" applyBorder="1" applyAlignment="1">
      <alignment horizontal="right"/>
    </xf>
    <xf numFmtId="171" fontId="14" fillId="0" borderId="16" xfId="1" applyNumberFormat="1" applyFont="1" applyFill="1" applyBorder="1" applyAlignment="1">
      <alignment horizontal="center"/>
    </xf>
    <xf numFmtId="168" fontId="51" fillId="0" borderId="17" xfId="0" applyNumberFormat="1" applyFont="1" applyBorder="1" applyAlignment="1">
      <alignment horizontal="center"/>
    </xf>
    <xf numFmtId="168" fontId="51" fillId="0" borderId="18" xfId="0" applyNumberFormat="1" applyFont="1" applyBorder="1" applyAlignment="1">
      <alignment horizontal="center"/>
    </xf>
    <xf numFmtId="189" fontId="53" fillId="0" borderId="0" xfId="2" applyNumberFormat="1" applyFont="1" applyFill="1" applyBorder="1" applyAlignment="1">
      <alignment horizontal="right"/>
    </xf>
    <xf numFmtId="188" fontId="54" fillId="0" borderId="0" xfId="0" applyNumberFormat="1" applyFont="1"/>
    <xf numFmtId="168" fontId="34" fillId="0" borderId="5" xfId="0" applyNumberFormat="1" applyFont="1" applyBorder="1"/>
    <xf numFmtId="174" fontId="18" fillId="0" borderId="0" xfId="0" applyNumberFormat="1" applyFont="1" applyAlignment="1">
      <alignment horizontal="right"/>
    </xf>
    <xf numFmtId="37" fontId="55" fillId="0" borderId="0" xfId="0" applyNumberFormat="1" applyFont="1" applyAlignment="1">
      <alignment vertical="center"/>
    </xf>
    <xf numFmtId="168" fontId="14" fillId="0" borderId="10" xfId="0" applyNumberFormat="1" applyFont="1" applyBorder="1"/>
    <xf numFmtId="168" fontId="34" fillId="0" borderId="11" xfId="0" applyNumberFormat="1" applyFont="1" applyBorder="1"/>
    <xf numFmtId="190" fontId="14" fillId="0" borderId="0" xfId="0" applyNumberFormat="1" applyFont="1" applyAlignment="1">
      <alignment horizontal="center"/>
    </xf>
    <xf numFmtId="168" fontId="51" fillId="0" borderId="0" xfId="0" applyNumberFormat="1" applyFont="1" applyAlignment="1">
      <alignment horizontal="left"/>
    </xf>
    <xf numFmtId="166" fontId="14" fillId="0" borderId="4" xfId="2" applyNumberFormat="1" applyFont="1" applyFill="1" applyBorder="1" applyAlignment="1">
      <alignment horizontal="right"/>
    </xf>
    <xf numFmtId="0" fontId="42" fillId="0" borderId="5" xfId="0" applyFont="1" applyBorder="1" applyAlignment="1">
      <alignment horizontal="left"/>
    </xf>
    <xf numFmtId="169" fontId="14" fillId="0" borderId="9" xfId="2" applyNumberFormat="1" applyFont="1" applyFill="1" applyBorder="1" applyAlignment="1">
      <alignment horizontal="right"/>
    </xf>
    <xf numFmtId="0" fontId="42" fillId="0" borderId="11" xfId="0" applyFont="1" applyBorder="1" applyAlignment="1">
      <alignment horizontal="left"/>
    </xf>
    <xf numFmtId="167" fontId="42" fillId="0" borderId="0" xfId="0" quotePrefix="1" applyNumberFormat="1" applyFont="1" applyAlignment="1">
      <alignment horizontal="right"/>
    </xf>
    <xf numFmtId="167" fontId="43" fillId="0" borderId="0" xfId="0" quotePrefix="1" applyNumberFormat="1" applyFont="1" applyAlignment="1">
      <alignment horizontal="right"/>
    </xf>
    <xf numFmtId="175" fontId="18" fillId="0" borderId="0" xfId="0" applyNumberFormat="1" applyFont="1" applyAlignment="1">
      <alignment horizontal="right"/>
    </xf>
    <xf numFmtId="171" fontId="14" fillId="0" borderId="9" xfId="0" applyNumberFormat="1" applyFont="1" applyBorder="1"/>
    <xf numFmtId="0" fontId="39" fillId="0" borderId="0" xfId="0" applyFont="1" applyAlignment="1">
      <alignment horizontal="right"/>
    </xf>
    <xf numFmtId="0" fontId="15" fillId="0" borderId="7" xfId="0" applyFont="1" applyBorder="1"/>
    <xf numFmtId="168" fontId="14" fillId="0" borderId="6" xfId="0" applyNumberFormat="1" applyFont="1" applyBorder="1"/>
    <xf numFmtId="0" fontId="39" fillId="0" borderId="0" xfId="0" quotePrefix="1" applyFont="1" applyAlignment="1">
      <alignment horizontal="right"/>
    </xf>
    <xf numFmtId="178" fontId="17" fillId="0" borderId="0" xfId="0" applyNumberFormat="1" applyFont="1" applyAlignment="1">
      <alignment horizontal="right"/>
    </xf>
    <xf numFmtId="168" fontId="14" fillId="0" borderId="12" xfId="0" applyNumberFormat="1" applyFont="1" applyBorder="1"/>
    <xf numFmtId="168" fontId="14" fillId="0" borderId="13" xfId="0" applyNumberFormat="1" applyFont="1" applyBorder="1"/>
    <xf numFmtId="166" fontId="3" fillId="0" borderId="9" xfId="2" applyNumberFormat="1" applyFont="1" applyFill="1" applyBorder="1" applyAlignment="1">
      <alignment horizontal="right"/>
    </xf>
    <xf numFmtId="173" fontId="42" fillId="0" borderId="3" xfId="2" applyNumberFormat="1" applyFont="1" applyFill="1" applyBorder="1"/>
    <xf numFmtId="0" fontId="42" fillId="0" borderId="3" xfId="0" applyFont="1" applyBorder="1"/>
    <xf numFmtId="0" fontId="31" fillId="0" borderId="3" xfId="0" applyFont="1" applyBorder="1"/>
    <xf numFmtId="170" fontId="17" fillId="0" borderId="0" xfId="0" applyNumberFormat="1" applyFont="1"/>
    <xf numFmtId="174" fontId="59" fillId="0" borderId="0" xfId="0" applyNumberFormat="1" applyFont="1" applyAlignment="1">
      <alignment horizontal="right"/>
    </xf>
    <xf numFmtId="37" fontId="60" fillId="0" borderId="0" xfId="0" applyNumberFormat="1" applyFont="1" applyAlignment="1">
      <alignment vertical="center"/>
    </xf>
    <xf numFmtId="165" fontId="14" fillId="0" borderId="19" xfId="0" applyNumberFormat="1" applyFont="1" applyBorder="1" applyAlignment="1">
      <alignment horizontal="right"/>
    </xf>
    <xf numFmtId="165" fontId="14" fillId="0" borderId="20" xfId="0" applyNumberFormat="1" applyFont="1" applyBorder="1" applyAlignment="1">
      <alignment horizontal="right"/>
    </xf>
    <xf numFmtId="165" fontId="14" fillId="0" borderId="21" xfId="0" applyNumberFormat="1" applyFont="1" applyBorder="1" applyAlignment="1">
      <alignment horizontal="right"/>
    </xf>
    <xf numFmtId="0" fontId="48" fillId="0" borderId="0" xfId="0" applyFont="1" applyAlignment="1">
      <alignment horizontal="left" indent="1"/>
    </xf>
    <xf numFmtId="168" fontId="14" fillId="0" borderId="22" xfId="0" applyNumberFormat="1" applyFont="1" applyBorder="1" applyAlignment="1">
      <alignment vertical="center"/>
    </xf>
    <xf numFmtId="168" fontId="14" fillId="0" borderId="17" xfId="0" applyNumberFormat="1" applyFont="1" applyBorder="1"/>
    <xf numFmtId="172" fontId="34" fillId="0" borderId="0" xfId="0" applyNumberFormat="1" applyFont="1" applyAlignment="1">
      <alignment horizontal="right"/>
    </xf>
    <xf numFmtId="168" fontId="18" fillId="0" borderId="0" xfId="0" applyNumberFormat="1" applyFont="1"/>
    <xf numFmtId="178" fontId="14" fillId="0" borderId="4" xfId="0" applyNumberFormat="1" applyFont="1" applyBorder="1" applyAlignment="1">
      <alignment horizontal="right"/>
    </xf>
    <xf numFmtId="0" fontId="14" fillId="0" borderId="5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168" fontId="31" fillId="0" borderId="0" xfId="0" applyNumberFormat="1" applyFont="1" applyAlignment="1">
      <alignment horizontal="right"/>
    </xf>
    <xf numFmtId="168" fontId="42" fillId="0" borderId="0" xfId="0" applyNumberFormat="1" applyFont="1" applyAlignment="1">
      <alignment horizontal="right"/>
    </xf>
    <xf numFmtId="183" fontId="42" fillId="0" borderId="0" xfId="0" quotePrefix="1" applyNumberFormat="1" applyFont="1" applyAlignment="1">
      <alignment horizontal="right"/>
    </xf>
    <xf numFmtId="174" fontId="18" fillId="0" borderId="3" xfId="0" applyNumberFormat="1" applyFont="1" applyBorder="1" applyAlignment="1">
      <alignment horizontal="right"/>
    </xf>
    <xf numFmtId="37" fontId="61" fillId="0" borderId="3" xfId="0" applyNumberFormat="1" applyFont="1" applyBorder="1" applyAlignment="1">
      <alignment vertical="center"/>
    </xf>
    <xf numFmtId="164" fontId="25" fillId="0" borderId="3" xfId="0" applyNumberFormat="1" applyFont="1" applyBorder="1" applyAlignment="1">
      <alignment vertical="center"/>
    </xf>
    <xf numFmtId="168" fontId="31" fillId="0" borderId="3" xfId="0" applyNumberFormat="1" applyFont="1" applyBorder="1" applyAlignment="1">
      <alignment horizontal="right"/>
    </xf>
    <xf numFmtId="49" fontId="42" fillId="0" borderId="0" xfId="0" applyNumberFormat="1" applyFont="1" applyAlignment="1">
      <alignment horizontal="left" indent="1"/>
    </xf>
    <xf numFmtId="49" fontId="31" fillId="0" borderId="0" xfId="0" applyNumberFormat="1" applyFont="1" applyAlignment="1">
      <alignment horizontal="left"/>
    </xf>
    <xf numFmtId="173" fontId="63" fillId="0" borderId="0" xfId="2" applyNumberFormat="1" applyFont="1" applyBorder="1"/>
    <xf numFmtId="165" fontId="14" fillId="0" borderId="4" xfId="0" applyNumberFormat="1" applyFont="1" applyBorder="1" applyAlignment="1">
      <alignment horizontal="right"/>
    </xf>
    <xf numFmtId="49" fontId="14" fillId="0" borderId="5" xfId="0" applyNumberFormat="1" applyFont="1" applyBorder="1" applyAlignment="1">
      <alignment horizontal="left"/>
    </xf>
    <xf numFmtId="173" fontId="14" fillId="0" borderId="9" xfId="2" applyNumberFormat="1" applyFont="1" applyFill="1" applyBorder="1" applyAlignment="1"/>
    <xf numFmtId="37" fontId="61" fillId="0" borderId="10" xfId="0" applyNumberFormat="1" applyFont="1" applyBorder="1" applyAlignment="1">
      <alignment vertical="center"/>
    </xf>
    <xf numFmtId="191" fontId="14" fillId="0" borderId="3" xfId="0" applyNumberFormat="1" applyFont="1" applyBorder="1"/>
    <xf numFmtId="191" fontId="14" fillId="0" borderId="5" xfId="0" applyNumberFormat="1" applyFont="1" applyBorder="1"/>
    <xf numFmtId="168" fontId="14" fillId="0" borderId="11" xfId="0" applyNumberFormat="1" applyFont="1" applyBorder="1"/>
    <xf numFmtId="166" fontId="14" fillId="0" borderId="0" xfId="2" applyNumberFormat="1" applyFont="1" applyFill="1" applyBorder="1" applyAlignment="1">
      <alignment horizontal="right"/>
    </xf>
    <xf numFmtId="166" fontId="42" fillId="0" borderId="0" xfId="2" applyNumberFormat="1" applyFont="1" applyFill="1" applyBorder="1" applyAlignment="1">
      <alignment horizontal="right"/>
    </xf>
    <xf numFmtId="0" fontId="31" fillId="0" borderId="0" xfId="0" applyFont="1"/>
    <xf numFmtId="168" fontId="42" fillId="0" borderId="0" xfId="0" applyNumberFormat="1" applyFont="1"/>
    <xf numFmtId="168" fontId="64" fillId="0" borderId="0" xfId="0" applyNumberFormat="1" applyFont="1"/>
    <xf numFmtId="37" fontId="30" fillId="0" borderId="3" xfId="0" applyNumberFormat="1" applyFont="1" applyBorder="1" applyAlignment="1">
      <alignment vertical="center"/>
    </xf>
    <xf numFmtId="172" fontId="14" fillId="0" borderId="0" xfId="0" applyNumberFormat="1" applyFont="1"/>
    <xf numFmtId="168" fontId="14" fillId="0" borderId="0" xfId="2" applyNumberFormat="1" applyFont="1"/>
    <xf numFmtId="192" fontId="14" fillId="0" borderId="0" xfId="0" applyNumberFormat="1" applyFont="1" applyAlignment="1">
      <alignment horizontal="left"/>
    </xf>
    <xf numFmtId="166" fontId="34" fillId="0" borderId="0" xfId="0" applyNumberFormat="1" applyFont="1" applyAlignment="1">
      <alignment horizontal="right"/>
    </xf>
    <xf numFmtId="166" fontId="42" fillId="0" borderId="4" xfId="2" applyNumberFormat="1" applyFont="1" applyFill="1" applyBorder="1"/>
    <xf numFmtId="37" fontId="55" fillId="0" borderId="3" xfId="0" applyNumberFormat="1" applyFont="1" applyBorder="1" applyAlignment="1">
      <alignment vertical="center"/>
    </xf>
    <xf numFmtId="178" fontId="42" fillId="0" borderId="9" xfId="0" applyNumberFormat="1" applyFont="1" applyBorder="1" applyAlignment="1">
      <alignment horizontal="right"/>
    </xf>
    <xf numFmtId="37" fontId="55" fillId="0" borderId="10" xfId="0" applyNumberFormat="1" applyFont="1" applyBorder="1" applyAlignment="1">
      <alignment vertical="center"/>
    </xf>
    <xf numFmtId="170" fontId="14" fillId="0" borderId="6" xfId="0" applyNumberFormat="1" applyFont="1" applyBorder="1" applyAlignment="1">
      <alignment horizontal="left"/>
    </xf>
    <xf numFmtId="175" fontId="31" fillId="0" borderId="7" xfId="0" applyNumberFormat="1" applyFont="1" applyBorder="1" applyAlignment="1">
      <alignment horizontal="left"/>
    </xf>
    <xf numFmtId="168" fontId="14" fillId="0" borderId="10" xfId="0" applyNumberFormat="1" applyFont="1" applyBorder="1" applyAlignment="1">
      <alignment horizontal="right"/>
    </xf>
    <xf numFmtId="170" fontId="14" fillId="0" borderId="9" xfId="0" applyNumberFormat="1" applyFont="1" applyBorder="1" applyAlignment="1">
      <alignment horizontal="left"/>
    </xf>
    <xf numFmtId="175" fontId="31" fillId="0" borderId="11" xfId="0" applyNumberFormat="1" applyFont="1" applyBorder="1" applyAlignment="1">
      <alignment horizontal="left"/>
    </xf>
    <xf numFmtId="193" fontId="31" fillId="0" borderId="0" xfId="0" applyNumberFormat="1" applyFont="1" applyAlignment="1">
      <alignment horizontal="right"/>
    </xf>
    <xf numFmtId="37" fontId="30" fillId="0" borderId="0" xfId="0" applyNumberFormat="1" applyFont="1" applyAlignment="1">
      <alignment horizontal="centerContinuous" vertical="center"/>
    </xf>
    <xf numFmtId="175" fontId="31" fillId="0" borderId="0" xfId="0" applyNumberFormat="1" applyFont="1" applyAlignment="1">
      <alignment horizontal="centerContinuous"/>
    </xf>
    <xf numFmtId="0" fontId="31" fillId="0" borderId="0" xfId="0" applyFont="1" applyAlignment="1">
      <alignment horizontal="centerContinuous"/>
    </xf>
    <xf numFmtId="166" fontId="14" fillId="0" borderId="0" xfId="0" applyNumberFormat="1" applyFont="1" applyAlignment="1">
      <alignment horizontal="right"/>
    </xf>
    <xf numFmtId="172" fontId="14" fillId="0" borderId="0" xfId="0" applyNumberFormat="1" applyFont="1" applyAlignment="1">
      <alignment horizontal="left"/>
    </xf>
    <xf numFmtId="166" fontId="14" fillId="0" borderId="10" xfId="0" applyNumberFormat="1" applyFont="1" applyBorder="1" applyAlignment="1">
      <alignment horizontal="right"/>
    </xf>
    <xf numFmtId="172" fontId="14" fillId="0" borderId="10" xfId="0" applyNumberFormat="1" applyFont="1" applyBorder="1" applyAlignment="1">
      <alignment horizontal="left"/>
    </xf>
    <xf numFmtId="0" fontId="54" fillId="0" borderId="0" xfId="0" applyFont="1" applyAlignment="1">
      <alignment horizontal="left"/>
    </xf>
    <xf numFmtId="178" fontId="14" fillId="0" borderId="0" xfId="0" applyNumberFormat="1" applyFont="1" applyAlignment="1">
      <alignment horizontal="right"/>
    </xf>
    <xf numFmtId="171" fontId="34" fillId="0" borderId="0" xfId="2" applyNumberFormat="1" applyFont="1" applyBorder="1" applyAlignment="1">
      <alignment horizontal="right"/>
    </xf>
    <xf numFmtId="178" fontId="14" fillId="0" borderId="3" xfId="0" applyNumberFormat="1" applyFont="1" applyBorder="1" applyAlignment="1">
      <alignment horizontal="right"/>
    </xf>
    <xf numFmtId="178" fontId="14" fillId="0" borderId="5" xfId="0" applyNumberFormat="1" applyFont="1" applyBorder="1" applyAlignment="1">
      <alignment horizontal="right"/>
    </xf>
    <xf numFmtId="178" fontId="42" fillId="0" borderId="4" xfId="0" applyNumberFormat="1" applyFont="1" applyBorder="1" applyAlignment="1">
      <alignment horizontal="right"/>
    </xf>
    <xf numFmtId="194" fontId="31" fillId="0" borderId="3" xfId="0" applyNumberFormat="1" applyFont="1" applyBorder="1" applyAlignment="1">
      <alignment horizontal="right"/>
    </xf>
    <xf numFmtId="171" fontId="42" fillId="0" borderId="9" xfId="2" applyNumberFormat="1" applyFont="1" applyBorder="1" applyAlignment="1">
      <alignment horizontal="right"/>
    </xf>
    <xf numFmtId="0" fontId="31" fillId="0" borderId="0" xfId="0" applyFont="1" applyAlignment="1">
      <alignment horizontal="right"/>
    </xf>
    <xf numFmtId="0" fontId="29" fillId="0" borderId="0" xfId="0" applyFont="1" applyAlignment="1">
      <alignment horizontal="right" vertical="center"/>
    </xf>
    <xf numFmtId="171" fontId="63" fillId="0" borderId="0" xfId="2" applyNumberFormat="1" applyFont="1" applyBorder="1" applyAlignment="1">
      <alignment horizontal="right"/>
    </xf>
    <xf numFmtId="178" fontId="14" fillId="0" borderId="12" xfId="0" applyNumberFormat="1" applyFont="1" applyBorder="1" applyAlignment="1">
      <alignment horizontal="right"/>
    </xf>
    <xf numFmtId="170" fontId="34" fillId="0" borderId="6" xfId="0" applyNumberFormat="1" applyFont="1" applyBorder="1"/>
    <xf numFmtId="174" fontId="31" fillId="0" borderId="0" xfId="0" applyNumberFormat="1" applyFont="1" applyAlignment="1">
      <alignment horizontal="left"/>
    </xf>
    <xf numFmtId="168" fontId="42" fillId="0" borderId="4" xfId="0" applyNumberFormat="1" applyFont="1" applyBorder="1" applyAlignment="1">
      <alignment horizontal="right"/>
    </xf>
    <xf numFmtId="194" fontId="31" fillId="0" borderId="0" xfId="0" applyNumberFormat="1" applyFont="1" applyAlignment="1">
      <alignment horizontal="right"/>
    </xf>
    <xf numFmtId="171" fontId="42" fillId="0" borderId="9" xfId="2" applyNumberFormat="1" applyFont="1" applyFill="1" applyBorder="1" applyAlignment="1">
      <alignment horizontal="right"/>
    </xf>
    <xf numFmtId="167" fontId="42" fillId="0" borderId="0" xfId="0" applyNumberFormat="1" applyFont="1" applyAlignment="1">
      <alignment horizontal="left"/>
    </xf>
    <xf numFmtId="49" fontId="42" fillId="0" borderId="0" xfId="0" applyNumberFormat="1" applyFont="1" applyAlignment="1">
      <alignment horizontal="left"/>
    </xf>
    <xf numFmtId="9" fontId="31" fillId="0" borderId="0" xfId="2" applyFont="1" applyBorder="1" applyAlignment="1">
      <alignment horizontal="right"/>
    </xf>
    <xf numFmtId="0" fontId="49" fillId="0" borderId="0" xfId="0" applyFont="1" applyAlignment="1">
      <alignment horizontal="center"/>
    </xf>
    <xf numFmtId="0" fontId="14" fillId="0" borderId="3" xfId="0" applyFont="1" applyBorder="1"/>
    <xf numFmtId="170" fontId="42" fillId="0" borderId="0" xfId="0" applyNumberFormat="1" applyFont="1"/>
    <xf numFmtId="168" fontId="18" fillId="0" borderId="22" xfId="0" applyNumberFormat="1" applyFont="1" applyBorder="1" applyAlignment="1">
      <alignment vertical="center"/>
    </xf>
    <xf numFmtId="0" fontId="31" fillId="0" borderId="0" xfId="0" applyFont="1" applyAlignment="1">
      <alignment horizontal="left" indent="1"/>
    </xf>
    <xf numFmtId="168" fontId="14" fillId="0" borderId="5" xfId="0" applyNumberFormat="1" applyFont="1" applyBorder="1"/>
    <xf numFmtId="168" fontId="14" fillId="0" borderId="7" xfId="0" applyNumberFormat="1" applyFont="1" applyBorder="1"/>
    <xf numFmtId="170" fontId="47" fillId="0" borderId="0" xfId="0" applyNumberFormat="1" applyFont="1"/>
    <xf numFmtId="38" fontId="42" fillId="0" borderId="0" xfId="0" applyNumberFormat="1" applyFont="1"/>
    <xf numFmtId="40" fontId="42" fillId="0" borderId="0" xfId="0" applyNumberFormat="1" applyFont="1"/>
    <xf numFmtId="0" fontId="29" fillId="0" borderId="0" xfId="0" applyFont="1" applyAlignment="1">
      <alignment horizontal="center"/>
    </xf>
    <xf numFmtId="168" fontId="42" fillId="0" borderId="5" xfId="0" applyNumberFormat="1" applyFont="1" applyBorder="1"/>
    <xf numFmtId="168" fontId="42" fillId="0" borderId="6" xfId="0" applyNumberFormat="1" applyFont="1" applyBorder="1"/>
    <xf numFmtId="168" fontId="42" fillId="0" borderId="7" xfId="0" applyNumberFormat="1" applyFont="1" applyBorder="1"/>
    <xf numFmtId="168" fontId="42" fillId="0" borderId="9" xfId="0" applyNumberFormat="1" applyFont="1" applyBorder="1"/>
    <xf numFmtId="168" fontId="42" fillId="0" borderId="11" xfId="0" applyNumberFormat="1" applyFont="1" applyBorder="1"/>
    <xf numFmtId="188" fontId="31" fillId="0" borderId="3" xfId="0" applyNumberFormat="1" applyFont="1" applyBorder="1"/>
    <xf numFmtId="0" fontId="66" fillId="0" borderId="0" xfId="0" applyFont="1"/>
    <xf numFmtId="188" fontId="31" fillId="0" borderId="0" xfId="0" applyNumberFormat="1" applyFont="1"/>
    <xf numFmtId="168" fontId="31" fillId="0" borderId="22" xfId="0" applyNumberFormat="1" applyFont="1" applyBorder="1" applyAlignment="1">
      <alignment horizontal="right" vertical="center"/>
    </xf>
    <xf numFmtId="168" fontId="42" fillId="0" borderId="2" xfId="0" applyNumberFormat="1" applyFont="1" applyBorder="1" applyAlignment="1">
      <alignment horizontal="right"/>
    </xf>
    <xf numFmtId="168" fontId="34" fillId="0" borderId="2" xfId="0" applyNumberFormat="1" applyFont="1" applyBorder="1" applyAlignment="1">
      <alignment horizontal="right"/>
    </xf>
    <xf numFmtId="168" fontId="42" fillId="0" borderId="3" xfId="0" applyNumberFormat="1" applyFont="1" applyBorder="1" applyAlignment="1">
      <alignment horizontal="right"/>
    </xf>
    <xf numFmtId="168" fontId="31" fillId="0" borderId="0" xfId="2" applyNumberFormat="1" applyFont="1" applyFill="1" applyAlignment="1">
      <alignment horizontal="right"/>
    </xf>
    <xf numFmtId="168" fontId="67" fillId="0" borderId="0" xfId="2" applyNumberFormat="1" applyFont="1" applyFill="1" applyAlignment="1">
      <alignment horizontal="right"/>
    </xf>
    <xf numFmtId="173" fontId="14" fillId="0" borderId="4" xfId="2" applyNumberFormat="1" applyFont="1" applyFill="1" applyBorder="1" applyAlignment="1"/>
    <xf numFmtId="195" fontId="42" fillId="0" borderId="9" xfId="1" applyNumberFormat="1" applyFont="1" applyFill="1" applyBorder="1" applyAlignment="1">
      <alignment horizontal="right"/>
    </xf>
    <xf numFmtId="0" fontId="3" fillId="0" borderId="11" xfId="0" applyFont="1" applyBorder="1" applyAlignment="1">
      <alignment vertical="center"/>
    </xf>
    <xf numFmtId="166" fontId="34" fillId="0" borderId="0" xfId="0" applyNumberFormat="1" applyFont="1"/>
    <xf numFmtId="166" fontId="14" fillId="0" borderId="12" xfId="0" applyNumberFormat="1" applyFont="1" applyBorder="1"/>
    <xf numFmtId="173" fontId="34" fillId="0" borderId="3" xfId="2" applyNumberFormat="1" applyFont="1" applyFill="1" applyBorder="1"/>
    <xf numFmtId="0" fontId="49" fillId="0" borderId="3" xfId="0" applyFont="1" applyBorder="1" applyAlignment="1">
      <alignment horizontal="center"/>
    </xf>
    <xf numFmtId="0" fontId="14" fillId="0" borderId="3" xfId="0" applyFont="1" applyBorder="1" applyAlignment="1">
      <alignment horizontal="left"/>
    </xf>
    <xf numFmtId="171" fontId="14" fillId="0" borderId="17" xfId="0" applyNumberFormat="1" applyFont="1" applyBorder="1"/>
    <xf numFmtId="166" fontId="14" fillId="0" borderId="3" xfId="0" applyNumberFormat="1" applyFont="1" applyBorder="1"/>
    <xf numFmtId="166" fontId="34" fillId="0" borderId="3" xfId="0" applyNumberFormat="1" applyFont="1" applyBorder="1"/>
    <xf numFmtId="168" fontId="14" fillId="0" borderId="23" xfId="0" applyNumberFormat="1" applyFont="1" applyBorder="1" applyAlignment="1">
      <alignment vertical="center"/>
    </xf>
    <xf numFmtId="196" fontId="34" fillId="0" borderId="0" xfId="0" applyNumberFormat="1" applyFont="1"/>
    <xf numFmtId="168" fontId="42" fillId="0" borderId="12" xfId="0" applyNumberFormat="1" applyFont="1" applyBorder="1"/>
    <xf numFmtId="0" fontId="57" fillId="0" borderId="0" xfId="0" applyFont="1" applyAlignment="1">
      <alignment horizontal="right" vertical="center"/>
    </xf>
    <xf numFmtId="197" fontId="68" fillId="0" borderId="0" xfId="5" applyNumberFormat="1" applyFont="1" applyAlignment="1" applyProtection="1">
      <alignment horizontal="center"/>
      <protection locked="0"/>
    </xf>
    <xf numFmtId="176" fontId="68" fillId="0" borderId="0" xfId="5" applyNumberFormat="1" applyFont="1" applyProtection="1">
      <protection locked="0"/>
    </xf>
    <xf numFmtId="176" fontId="69" fillId="0" borderId="0" xfId="5" applyNumberFormat="1" applyFont="1" applyAlignment="1" applyProtection="1">
      <protection locked="0"/>
    </xf>
    <xf numFmtId="176" fontId="69" fillId="0" borderId="0" xfId="5" applyNumberFormat="1" applyFont="1" applyAlignment="1" applyProtection="1">
      <alignment horizontal="center"/>
      <protection locked="0"/>
    </xf>
    <xf numFmtId="171" fontId="42" fillId="0" borderId="0" xfId="2" applyNumberFormat="1" applyFont="1" applyFill="1" applyBorder="1" applyAlignment="1">
      <alignment horizontal="right"/>
    </xf>
    <xf numFmtId="171" fontId="42" fillId="0" borderId="0" xfId="2" applyNumberFormat="1" applyFont="1" applyBorder="1" applyAlignment="1">
      <alignment horizontal="right"/>
    </xf>
    <xf numFmtId="178" fontId="42" fillId="0" borderId="0" xfId="0" applyNumberFormat="1" applyFont="1" applyAlignment="1">
      <alignment horizontal="right"/>
    </xf>
    <xf numFmtId="166" fontId="42" fillId="0" borderId="0" xfId="2" applyNumberFormat="1" applyFont="1" applyFill="1" applyBorder="1"/>
    <xf numFmtId="173" fontId="14" fillId="0" borderId="0" xfId="2" applyNumberFormat="1" applyFont="1" applyFill="1" applyBorder="1" applyAlignment="1"/>
    <xf numFmtId="165" fontId="14" fillId="0" borderId="0" xfId="0" applyNumberFormat="1" applyFont="1" applyAlignment="1">
      <alignment horizontal="right"/>
    </xf>
    <xf numFmtId="10" fontId="34" fillId="0" borderId="0" xfId="2" applyNumberFormat="1" applyFont="1"/>
    <xf numFmtId="0" fontId="71" fillId="0" borderId="24" xfId="0" applyFont="1" applyBorder="1" applyAlignment="1">
      <alignment wrapText="1"/>
    </xf>
    <xf numFmtId="0" fontId="71" fillId="0" borderId="24" xfId="0" applyFont="1" applyBorder="1" applyAlignment="1">
      <alignment horizontal="center" wrapText="1"/>
    </xf>
    <xf numFmtId="0" fontId="0" fillId="2" borderId="24" xfId="0" applyFill="1" applyBorder="1"/>
    <xf numFmtId="0" fontId="0" fillId="2" borderId="24" xfId="0" applyFill="1" applyBorder="1" applyAlignment="1">
      <alignment horizontal="center"/>
    </xf>
    <xf numFmtId="198" fontId="0" fillId="2" borderId="24" xfId="0" applyNumberFormat="1" applyFill="1" applyBorder="1" applyAlignment="1">
      <alignment horizontal="center"/>
    </xf>
    <xf numFmtId="10" fontId="0" fillId="2" borderId="24" xfId="2" applyNumberFormat="1" applyFont="1" applyFill="1" applyBorder="1" applyAlignment="1">
      <alignment horizontal="center"/>
    </xf>
    <xf numFmtId="198" fontId="0" fillId="2" borderId="24" xfId="2" applyNumberFormat="1" applyFont="1" applyFill="1" applyBorder="1" applyAlignment="1">
      <alignment horizontal="center"/>
    </xf>
    <xf numFmtId="2" fontId="0" fillId="2" borderId="24" xfId="0" applyNumberFormat="1" applyFill="1" applyBorder="1" applyAlignment="1">
      <alignment horizontal="center"/>
    </xf>
    <xf numFmtId="198" fontId="0" fillId="0" borderId="0" xfId="0" applyNumberFormat="1"/>
    <xf numFmtId="0" fontId="0" fillId="2" borderId="0" xfId="0" applyFill="1"/>
    <xf numFmtId="10" fontId="0" fillId="0" borderId="0" xfId="0" applyNumberFormat="1"/>
    <xf numFmtId="175" fontId="42" fillId="0" borderId="0" xfId="0" applyNumberFormat="1" applyFont="1" applyAlignment="1">
      <alignment horizontal="left"/>
    </xf>
    <xf numFmtId="170" fontId="14" fillId="0" borderId="0" xfId="0" applyNumberFormat="1" applyFont="1" applyAlignment="1">
      <alignment horizontal="left"/>
    </xf>
    <xf numFmtId="170" fontId="14" fillId="0" borderId="25" xfId="0" applyNumberFormat="1" applyFont="1" applyBorder="1" applyAlignment="1">
      <alignment horizontal="left"/>
    </xf>
    <xf numFmtId="170" fontId="14" fillId="0" borderId="26" xfId="0" applyNumberFormat="1" applyFont="1" applyBorder="1" applyAlignment="1">
      <alignment horizontal="left"/>
    </xf>
    <xf numFmtId="0" fontId="73" fillId="0" borderId="27" xfId="6" applyFont="1" applyBorder="1" applyAlignment="1">
      <alignment horizontal="left"/>
    </xf>
    <xf numFmtId="0" fontId="72" fillId="0" borderId="24" xfId="6" applyBorder="1" applyAlignment="1">
      <alignment horizontal="center"/>
    </xf>
    <xf numFmtId="10" fontId="72" fillId="0" borderId="24" xfId="6" applyNumberFormat="1" applyBorder="1" applyAlignment="1">
      <alignment horizontal="center"/>
    </xf>
    <xf numFmtId="0" fontId="72" fillId="0" borderId="28" xfId="6" applyBorder="1"/>
    <xf numFmtId="10" fontId="72" fillId="0" borderId="29" xfId="8" applyNumberFormat="1" applyFont="1" applyBorder="1" applyAlignment="1">
      <alignment horizontal="center"/>
    </xf>
    <xf numFmtId="0" fontId="73" fillId="0" borderId="30" xfId="6" applyFont="1" applyBorder="1" applyAlignment="1">
      <alignment horizontal="center"/>
    </xf>
    <xf numFmtId="0" fontId="73" fillId="0" borderId="31" xfId="6" applyFont="1" applyBorder="1" applyAlignment="1">
      <alignment horizontal="center"/>
    </xf>
    <xf numFmtId="199" fontId="70" fillId="0" borderId="24" xfId="0" applyNumberFormat="1" applyFont="1" applyBorder="1" applyAlignment="1">
      <alignment horizontal="center" vertical="top"/>
    </xf>
    <xf numFmtId="10" fontId="0" fillId="0" borderId="0" xfId="2" applyNumberFormat="1" applyFont="1"/>
    <xf numFmtId="0" fontId="76" fillId="0" borderId="24" xfId="0" applyFont="1" applyBorder="1"/>
    <xf numFmtId="0" fontId="76" fillId="0" borderId="24" xfId="0" applyFont="1" applyBorder="1" applyAlignment="1">
      <alignment horizontal="center"/>
    </xf>
    <xf numFmtId="2" fontId="76" fillId="0" borderId="24" xfId="0" applyNumberFormat="1" applyFont="1" applyBorder="1" applyAlignment="1">
      <alignment horizontal="center"/>
    </xf>
    <xf numFmtId="10" fontId="77" fillId="0" borderId="24" xfId="8" applyNumberFormat="1" applyFont="1" applyBorder="1" applyAlignment="1">
      <alignment horizontal="center"/>
    </xf>
    <xf numFmtId="10" fontId="0" fillId="0" borderId="24" xfId="8" applyNumberFormat="1" applyFont="1" applyBorder="1" applyAlignment="1">
      <alignment horizontal="center"/>
    </xf>
    <xf numFmtId="10" fontId="77" fillId="0" borderId="24" xfId="0" applyNumberFormat="1" applyFont="1" applyBorder="1" applyAlignment="1">
      <alignment horizontal="center"/>
    </xf>
    <xf numFmtId="10" fontId="0" fillId="0" borderId="24" xfId="0" applyNumberFormat="1" applyBorder="1"/>
    <xf numFmtId="10" fontId="77" fillId="0" borderId="29" xfId="8" applyNumberFormat="1" applyFont="1" applyBorder="1" applyAlignment="1">
      <alignment horizontal="center"/>
    </xf>
    <xf numFmtId="0" fontId="76" fillId="3" borderId="24" xfId="0" applyFont="1" applyFill="1" applyBorder="1"/>
    <xf numFmtId="0" fontId="76" fillId="3" borderId="24" xfId="0" applyFont="1" applyFill="1" applyBorder="1" applyAlignment="1">
      <alignment horizontal="center"/>
    </xf>
    <xf numFmtId="2" fontId="76" fillId="3" borderId="24" xfId="0" applyNumberFormat="1" applyFont="1" applyFill="1" applyBorder="1" applyAlignment="1">
      <alignment horizontal="center"/>
    </xf>
    <xf numFmtId="10" fontId="77" fillId="3" borderId="24" xfId="8" applyNumberFormat="1" applyFont="1" applyFill="1" applyBorder="1" applyAlignment="1">
      <alignment horizontal="center"/>
    </xf>
    <xf numFmtId="10" fontId="0" fillId="3" borderId="24" xfId="8" applyNumberFormat="1" applyFont="1" applyFill="1" applyBorder="1" applyAlignment="1">
      <alignment horizontal="center"/>
    </xf>
    <xf numFmtId="10" fontId="77" fillId="3" borderId="24" xfId="0" applyNumberFormat="1" applyFont="1" applyFill="1" applyBorder="1" applyAlignment="1">
      <alignment horizontal="center"/>
    </xf>
    <xf numFmtId="10" fontId="0" fillId="3" borderId="24" xfId="0" applyNumberFormat="1" applyFill="1" applyBorder="1"/>
    <xf numFmtId="10" fontId="77" fillId="3" borderId="29" xfId="8" applyNumberFormat="1" applyFont="1" applyFill="1" applyBorder="1" applyAlignment="1">
      <alignment horizontal="center"/>
    </xf>
    <xf numFmtId="201" fontId="77" fillId="0" borderId="24" xfId="8" applyNumberFormat="1" applyFont="1" applyBorder="1" applyAlignment="1">
      <alignment horizontal="center"/>
    </xf>
    <xf numFmtId="201" fontId="77" fillId="3" borderId="24" xfId="8" applyNumberFormat="1" applyFont="1" applyFill="1" applyBorder="1" applyAlignment="1">
      <alignment horizontal="center"/>
    </xf>
    <xf numFmtId="2" fontId="0" fillId="0" borderId="0" xfId="0" applyNumberFormat="1"/>
    <xf numFmtId="0" fontId="9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44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0" fontId="14" fillId="0" borderId="0" xfId="0" applyFont="1" applyAlignment="1">
      <alignment horizontal="left" vertical="center"/>
    </xf>
    <xf numFmtId="17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vertical="center"/>
    </xf>
    <xf numFmtId="171" fontId="14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center"/>
    </xf>
    <xf numFmtId="49" fontId="14" fillId="0" borderId="0" xfId="0" applyNumberFormat="1" applyFont="1" applyAlignment="1">
      <alignment horizontal="left" indent="1"/>
    </xf>
    <xf numFmtId="171" fontId="14" fillId="0" borderId="3" xfId="0" applyNumberFormat="1" applyFont="1" applyBorder="1" applyAlignment="1">
      <alignment horizontal="right" vertical="center"/>
    </xf>
    <xf numFmtId="168" fontId="14" fillId="0" borderId="0" xfId="0" applyNumberFormat="1" applyFont="1" applyAlignment="1">
      <alignment vertical="center"/>
    </xf>
    <xf numFmtId="0" fontId="17" fillId="0" borderId="0" xfId="0" applyFont="1" applyAlignment="1">
      <alignment horizontal="left" indent="1"/>
    </xf>
    <xf numFmtId="0" fontId="38" fillId="0" borderId="0" xfId="0" applyFont="1"/>
    <xf numFmtId="167" fontId="43" fillId="0" borderId="0" xfId="0" applyNumberFormat="1" applyFont="1" applyAlignment="1">
      <alignment horizontal="left" indent="1"/>
    </xf>
    <xf numFmtId="0" fontId="25" fillId="0" borderId="0" xfId="0" applyFont="1"/>
    <xf numFmtId="183" fontId="43" fillId="0" borderId="0" xfId="0" applyNumberFormat="1" applyFont="1" applyAlignment="1">
      <alignment horizontal="left" indent="1"/>
    </xf>
    <xf numFmtId="182" fontId="43" fillId="0" borderId="0" xfId="0" applyNumberFormat="1" applyFont="1" applyAlignment="1">
      <alignment horizontal="left" indent="1"/>
    </xf>
    <xf numFmtId="181" fontId="43" fillId="0" borderId="0" xfId="0" applyNumberFormat="1" applyFont="1" applyAlignment="1">
      <alignment horizontal="left" indent="1"/>
    </xf>
    <xf numFmtId="0" fontId="78" fillId="0" borderId="24" xfId="0" applyFont="1" applyBorder="1" applyAlignment="1">
      <alignment wrapText="1"/>
    </xf>
    <xf numFmtId="0" fontId="78" fillId="0" borderId="24" xfId="0" applyFont="1" applyBorder="1" applyAlignment="1">
      <alignment horizontal="center" wrapText="1"/>
    </xf>
    <xf numFmtId="10" fontId="78" fillId="0" borderId="24" xfId="0" applyNumberFormat="1" applyFont="1" applyBorder="1" applyAlignment="1">
      <alignment horizontal="center" wrapText="1"/>
    </xf>
    <xf numFmtId="202" fontId="71" fillId="0" borderId="24" xfId="0" applyNumberFormat="1" applyFont="1" applyBorder="1" applyAlignment="1">
      <alignment horizontal="center" wrapText="1"/>
    </xf>
    <xf numFmtId="9" fontId="0" fillId="0" borderId="0" xfId="2" applyFont="1"/>
    <xf numFmtId="37" fontId="33" fillId="4" borderId="0" xfId="3" applyNumberFormat="1" applyFont="1" applyFill="1" applyAlignment="1">
      <alignment horizontal="right" vertical="center"/>
    </xf>
    <xf numFmtId="0" fontId="3" fillId="0" borderId="0" xfId="9" applyFont="1"/>
    <xf numFmtId="171" fontId="34" fillId="0" borderId="0" xfId="10" applyNumberFormat="1" applyFont="1"/>
    <xf numFmtId="14" fontId="3" fillId="0" borderId="0" xfId="9" applyNumberFormat="1" applyFont="1"/>
    <xf numFmtId="0" fontId="7" fillId="4" borderId="15" xfId="9" applyFont="1" applyFill="1" applyBorder="1"/>
    <xf numFmtId="200" fontId="3" fillId="0" borderId="0" xfId="2" applyNumberFormat="1" applyFont="1"/>
    <xf numFmtId="10" fontId="3" fillId="0" borderId="0" xfId="9" applyNumberFormat="1" applyFont="1"/>
    <xf numFmtId="10" fontId="3" fillId="0" borderId="0" xfId="2" applyNumberFormat="1" applyFont="1"/>
    <xf numFmtId="200" fontId="3" fillId="0" borderId="0" xfId="9" applyNumberFormat="1" applyFont="1"/>
    <xf numFmtId="0" fontId="3" fillId="4" borderId="14" xfId="9" applyFont="1" applyFill="1" applyBorder="1"/>
    <xf numFmtId="203" fontId="18" fillId="4" borderId="35" xfId="9" applyNumberFormat="1" applyFont="1" applyFill="1" applyBorder="1"/>
    <xf numFmtId="43" fontId="3" fillId="0" borderId="0" xfId="10" applyFont="1"/>
    <xf numFmtId="173" fontId="3" fillId="0" borderId="0" xfId="11" applyNumberFormat="1" applyFont="1"/>
    <xf numFmtId="0" fontId="0" fillId="0" borderId="33" xfId="0" applyBorder="1"/>
    <xf numFmtId="0" fontId="75" fillId="0" borderId="32" xfId="0" applyFont="1" applyBorder="1" applyAlignment="1">
      <alignment horizontal="center"/>
    </xf>
    <xf numFmtId="0" fontId="75" fillId="0" borderId="32" xfId="0" applyFont="1" applyBorder="1" applyAlignment="1">
      <alignment horizontal="centerContinuous"/>
    </xf>
    <xf numFmtId="0" fontId="79" fillId="0" borderId="0" xfId="0" applyFont="1"/>
    <xf numFmtId="0" fontId="79" fillId="0" borderId="0" xfId="0" applyFont="1" applyAlignment="1">
      <alignment vertical="center"/>
    </xf>
    <xf numFmtId="205" fontId="79" fillId="0" borderId="0" xfId="0" applyNumberFormat="1" applyFont="1" applyAlignment="1">
      <alignment vertical="center"/>
    </xf>
    <xf numFmtId="0" fontId="84" fillId="0" borderId="0" xfId="0" applyFont="1" applyAlignment="1">
      <alignment horizontal="right"/>
    </xf>
    <xf numFmtId="0" fontId="85" fillId="0" borderId="0" xfId="0" applyFont="1" applyAlignment="1">
      <alignment horizontal="right" vertical="center"/>
    </xf>
    <xf numFmtId="0" fontId="84" fillId="0" borderId="0" xfId="0" applyFont="1" applyAlignment="1">
      <alignment horizontal="right" vertical="center"/>
    </xf>
    <xf numFmtId="0" fontId="86" fillId="0" borderId="0" xfId="0" applyFont="1" applyAlignment="1">
      <alignment horizontal="right" vertical="center"/>
    </xf>
    <xf numFmtId="0" fontId="86" fillId="0" borderId="0" xfId="0" applyFont="1" applyAlignment="1">
      <alignment vertical="center"/>
    </xf>
    <xf numFmtId="0" fontId="84" fillId="0" borderId="37" xfId="0" applyFont="1" applyBorder="1" applyAlignment="1">
      <alignment horizontal="right"/>
    </xf>
    <xf numFmtId="0" fontId="86" fillId="0" borderId="0" xfId="0" applyFont="1" applyAlignment="1">
      <alignment horizontal="centerContinuous"/>
    </xf>
    <xf numFmtId="0" fontId="86" fillId="0" borderId="2" xfId="0" applyFont="1" applyBorder="1" applyAlignment="1">
      <alignment horizontal="centerContinuous" vertical="center"/>
    </xf>
    <xf numFmtId="0" fontId="84" fillId="0" borderId="2" xfId="0" applyFont="1" applyBorder="1" applyAlignment="1">
      <alignment horizontal="centerContinuous" vertical="center"/>
    </xf>
    <xf numFmtId="0" fontId="84" fillId="0" borderId="0" xfId="0" applyFont="1" applyAlignment="1">
      <alignment vertical="center"/>
    </xf>
    <xf numFmtId="176" fontId="12" fillId="0" borderId="0" xfId="1" applyNumberFormat="1" applyFont="1" applyFill="1" applyAlignment="1">
      <alignment horizontal="center"/>
    </xf>
    <xf numFmtId="0" fontId="33" fillId="5" borderId="0" xfId="9" applyFont="1" applyFill="1" applyAlignment="1">
      <alignment vertical="center"/>
    </xf>
    <xf numFmtId="171" fontId="3" fillId="0" borderId="16" xfId="0" applyNumberFormat="1" applyFont="1" applyBorder="1"/>
    <xf numFmtId="171" fontId="3" fillId="0" borderId="0" xfId="0" applyNumberFormat="1" applyFont="1"/>
    <xf numFmtId="0" fontId="3" fillId="0" borderId="0" xfId="0" applyFont="1" applyAlignment="1">
      <alignment horizontal="right"/>
    </xf>
    <xf numFmtId="2" fontId="79" fillId="0" borderId="0" xfId="0" applyNumberFormat="1" applyFont="1"/>
    <xf numFmtId="37" fontId="87" fillId="6" borderId="0" xfId="0" applyNumberFormat="1" applyFont="1" applyFill="1" applyAlignment="1">
      <alignment vertical="center"/>
    </xf>
    <xf numFmtId="0" fontId="22" fillId="7" borderId="0" xfId="0" applyFont="1" applyFill="1"/>
    <xf numFmtId="0" fontId="7" fillId="0" borderId="38" xfId="0" applyFont="1" applyBorder="1" applyAlignment="1">
      <alignment horizontal="left" vertical="center"/>
    </xf>
    <xf numFmtId="0" fontId="9" fillId="0" borderId="38" xfId="0" applyFont="1" applyBorder="1" applyAlignment="1">
      <alignment horizontal="centerContinuous"/>
    </xf>
    <xf numFmtId="0" fontId="7" fillId="0" borderId="38" xfId="0" applyFont="1" applyBorder="1" applyAlignment="1">
      <alignment horizontal="centerContinuous" vertical="center"/>
    </xf>
    <xf numFmtId="0" fontId="18" fillId="0" borderId="38" xfId="0" applyFont="1" applyBorder="1" applyAlignment="1">
      <alignment horizontal="centerContinuous" vertical="center"/>
    </xf>
    <xf numFmtId="0" fontId="15" fillId="0" borderId="38" xfId="0" applyFont="1" applyBorder="1" applyAlignment="1">
      <alignment horizontal="centerContinuous"/>
    </xf>
    <xf numFmtId="0" fontId="88" fillId="0" borderId="0" xfId="0" applyFont="1" applyAlignment="1">
      <alignment vertical="center"/>
    </xf>
    <xf numFmtId="3" fontId="88" fillId="0" borderId="0" xfId="0" applyNumberFormat="1" applyFont="1" applyAlignment="1">
      <alignment vertical="center"/>
    </xf>
    <xf numFmtId="0" fontId="87" fillId="5" borderId="0" xfId="9" applyFont="1" applyFill="1" applyAlignment="1">
      <alignment vertical="center"/>
    </xf>
    <xf numFmtId="0" fontId="83" fillId="0" borderId="40" xfId="0" applyFont="1" applyBorder="1" applyAlignment="1">
      <alignment vertical="center"/>
    </xf>
    <xf numFmtId="168" fontId="34" fillId="0" borderId="0" xfId="0" applyNumberFormat="1" applyFont="1" applyAlignment="1">
      <alignment horizontal="right" vertical="center"/>
    </xf>
    <xf numFmtId="175" fontId="31" fillId="0" borderId="41" xfId="0" applyNumberFormat="1" applyFont="1" applyBorder="1" applyAlignment="1">
      <alignment horizontal="right"/>
    </xf>
    <xf numFmtId="37" fontId="87" fillId="0" borderId="0" xfId="0" applyNumberFormat="1" applyFont="1" applyAlignment="1">
      <alignment vertical="center"/>
    </xf>
    <xf numFmtId="0" fontId="7" fillId="0" borderId="38" xfId="0" applyFont="1" applyBorder="1"/>
    <xf numFmtId="0" fontId="3" fillId="0" borderId="38" xfId="0" applyFont="1" applyBorder="1"/>
    <xf numFmtId="0" fontId="9" fillId="0" borderId="38" xfId="0" applyFont="1" applyBorder="1"/>
    <xf numFmtId="0" fontId="18" fillId="0" borderId="38" xfId="0" applyFont="1" applyBorder="1" applyAlignment="1">
      <alignment horizontal="left"/>
    </xf>
    <xf numFmtId="0" fontId="22" fillId="0" borderId="38" xfId="0" applyFont="1" applyBorder="1"/>
    <xf numFmtId="37" fontId="5" fillId="0" borderId="38" xfId="0" applyNumberFormat="1" applyFont="1" applyBorder="1" applyAlignment="1">
      <alignment vertical="center"/>
    </xf>
    <xf numFmtId="168" fontId="18" fillId="0" borderId="38" xfId="0" applyNumberFormat="1" applyFont="1" applyBorder="1" applyAlignment="1">
      <alignment horizontal="right"/>
    </xf>
    <xf numFmtId="174" fontId="31" fillId="0" borderId="38" xfId="0" applyNumberFormat="1" applyFont="1" applyBorder="1" applyAlignment="1">
      <alignment horizontal="left"/>
    </xf>
    <xf numFmtId="166" fontId="14" fillId="0" borderId="38" xfId="0" applyNumberFormat="1" applyFont="1" applyBorder="1" applyAlignment="1">
      <alignment horizontal="center" vertical="center"/>
    </xf>
    <xf numFmtId="166" fontId="14" fillId="0" borderId="38" xfId="2" applyNumberFormat="1" applyFont="1" applyFill="1" applyBorder="1" applyAlignment="1">
      <alignment horizontal="center" vertical="center"/>
    </xf>
    <xf numFmtId="171" fontId="14" fillId="0" borderId="38" xfId="0" applyNumberFormat="1" applyFont="1" applyBorder="1" applyAlignment="1">
      <alignment horizontal="center" vertical="center"/>
    </xf>
    <xf numFmtId="174" fontId="31" fillId="0" borderId="40" xfId="0" applyNumberFormat="1" applyFont="1" applyBorder="1" applyAlignment="1">
      <alignment horizontal="left"/>
    </xf>
    <xf numFmtId="166" fontId="14" fillId="0" borderId="40" xfId="0" applyNumberFormat="1" applyFont="1" applyBorder="1" applyAlignment="1">
      <alignment horizontal="center" vertical="center"/>
    </xf>
    <xf numFmtId="166" fontId="14" fillId="0" borderId="40" xfId="2" applyNumberFormat="1" applyFont="1" applyFill="1" applyBorder="1" applyAlignment="1">
      <alignment horizontal="center" vertical="center"/>
    </xf>
    <xf numFmtId="171" fontId="14" fillId="0" borderId="40" xfId="0" applyNumberFormat="1" applyFont="1" applyBorder="1" applyAlignment="1">
      <alignment horizontal="center" vertical="center"/>
    </xf>
    <xf numFmtId="168" fontId="31" fillId="0" borderId="40" xfId="0" applyNumberFormat="1" applyFont="1" applyBorder="1" applyAlignment="1">
      <alignment horizontal="center"/>
    </xf>
    <xf numFmtId="168" fontId="18" fillId="0" borderId="40" xfId="0" applyNumberFormat="1" applyFont="1" applyBorder="1" applyAlignment="1">
      <alignment horizontal="center"/>
    </xf>
    <xf numFmtId="168" fontId="31" fillId="0" borderId="40" xfId="0" applyNumberFormat="1" applyFont="1" applyBorder="1" applyAlignment="1">
      <alignment horizontal="right"/>
    </xf>
    <xf numFmtId="166" fontId="14" fillId="0" borderId="40" xfId="0" applyNumberFormat="1" applyFont="1" applyBorder="1" applyAlignment="1">
      <alignment vertical="center"/>
    </xf>
    <xf numFmtId="186" fontId="18" fillId="0" borderId="0" xfId="0" applyNumberFormat="1" applyFont="1" applyAlignment="1">
      <alignment horizontal="right"/>
    </xf>
    <xf numFmtId="168" fontId="18" fillId="0" borderId="0" xfId="0" applyNumberFormat="1" applyFont="1" applyAlignment="1">
      <alignment horizontal="center"/>
    </xf>
    <xf numFmtId="185" fontId="18" fillId="0" borderId="0" xfId="0" applyNumberFormat="1" applyFont="1" applyAlignment="1">
      <alignment horizontal="center"/>
    </xf>
    <xf numFmtId="168" fontId="7" fillId="0" borderId="39" xfId="0" applyNumberFormat="1" applyFont="1" applyBorder="1" applyAlignment="1">
      <alignment horizontal="right" vertical="center"/>
    </xf>
    <xf numFmtId="0" fontId="18" fillId="0" borderId="39" xfId="0" applyFont="1" applyBorder="1" applyAlignment="1">
      <alignment horizontal="left"/>
    </xf>
    <xf numFmtId="49" fontId="18" fillId="0" borderId="39" xfId="0" applyNumberFormat="1" applyFont="1" applyBorder="1" applyAlignment="1">
      <alignment horizontal="left"/>
    </xf>
    <xf numFmtId="168" fontId="18" fillId="0" borderId="39" xfId="0" applyNumberFormat="1" applyFont="1" applyBorder="1" applyAlignment="1">
      <alignment horizontal="right"/>
    </xf>
    <xf numFmtId="0" fontId="7" fillId="0" borderId="39" xfId="0" applyFont="1" applyBorder="1" applyAlignment="1">
      <alignment horizontal="center"/>
    </xf>
    <xf numFmtId="168" fontId="18" fillId="0" borderId="39" xfId="0" applyNumberFormat="1" applyFont="1" applyBorder="1" applyAlignment="1">
      <alignment horizontal="center"/>
    </xf>
    <xf numFmtId="37" fontId="34" fillId="0" borderId="0" xfId="0" applyNumberFormat="1" applyFont="1" applyAlignment="1">
      <alignment horizontal="left" vertical="center"/>
    </xf>
    <xf numFmtId="166" fontId="34" fillId="0" borderId="0" xfId="0" applyNumberFormat="1" applyFont="1" applyAlignment="1">
      <alignment horizontal="center" vertical="center"/>
    </xf>
    <xf numFmtId="171" fontId="34" fillId="0" borderId="0" xfId="0" applyNumberFormat="1" applyFont="1" applyAlignment="1">
      <alignment horizontal="center" vertical="center"/>
    </xf>
    <xf numFmtId="0" fontId="9" fillId="0" borderId="40" xfId="0" applyFont="1" applyBorder="1"/>
    <xf numFmtId="0" fontId="42" fillId="0" borderId="40" xfId="0" applyFont="1" applyBorder="1" applyAlignment="1">
      <alignment horizontal="left"/>
    </xf>
    <xf numFmtId="0" fontId="14" fillId="0" borderId="40" xfId="0" applyFont="1" applyBorder="1" applyAlignment="1">
      <alignment horizontal="left"/>
    </xf>
    <xf numFmtId="168" fontId="34" fillId="0" borderId="40" xfId="0" applyNumberFormat="1" applyFont="1" applyBorder="1" applyAlignment="1">
      <alignment horizontal="right" vertical="center"/>
    </xf>
    <xf numFmtId="166" fontId="34" fillId="0" borderId="40" xfId="0" applyNumberFormat="1" applyFont="1" applyBorder="1" applyAlignment="1">
      <alignment vertical="center"/>
    </xf>
    <xf numFmtId="184" fontId="14" fillId="0" borderId="40" xfId="0" applyNumberFormat="1" applyFont="1" applyBorder="1" applyAlignment="1">
      <alignment horizontal="center" vertical="center"/>
    </xf>
    <xf numFmtId="171" fontId="34" fillId="0" borderId="40" xfId="0" applyNumberFormat="1" applyFont="1" applyBorder="1" applyAlignment="1">
      <alignment horizontal="right" vertical="center"/>
    </xf>
    <xf numFmtId="37" fontId="89" fillId="0" borderId="0" xfId="0" applyNumberFormat="1" applyFont="1" applyAlignment="1">
      <alignment horizontal="left" vertical="center"/>
    </xf>
    <xf numFmtId="166" fontId="89" fillId="0" borderId="0" xfId="0" applyNumberFormat="1" applyFont="1" applyAlignment="1">
      <alignment horizontal="center" vertical="center"/>
    </xf>
    <xf numFmtId="171" fontId="89" fillId="0" borderId="0" xfId="0" applyNumberFormat="1" applyFont="1" applyAlignment="1">
      <alignment horizontal="center" vertical="center"/>
    </xf>
    <xf numFmtId="166" fontId="89" fillId="0" borderId="0" xfId="0" applyNumberFormat="1" applyFont="1" applyAlignment="1">
      <alignment vertical="center"/>
    </xf>
    <xf numFmtId="166" fontId="89" fillId="0" borderId="3" xfId="0" applyNumberFormat="1" applyFont="1" applyBorder="1" applyAlignment="1">
      <alignment vertical="center"/>
    </xf>
    <xf numFmtId="168" fontId="89" fillId="0" borderId="0" xfId="0" applyNumberFormat="1" applyFont="1" applyAlignment="1">
      <alignment vertical="center"/>
    </xf>
    <xf numFmtId="168" fontId="89" fillId="0" borderId="0" xfId="1" applyNumberFormat="1" applyFont="1" applyFill="1" applyBorder="1" applyAlignment="1">
      <alignment vertical="center"/>
    </xf>
    <xf numFmtId="180" fontId="89" fillId="0" borderId="0" xfId="0" applyNumberFormat="1" applyFont="1" applyAlignment="1">
      <alignment horizontal="right" vertical="center"/>
    </xf>
    <xf numFmtId="178" fontId="89" fillId="0" borderId="0" xfId="2" applyNumberFormat="1" applyFont="1" applyFill="1" applyBorder="1" applyAlignment="1">
      <alignment vertical="center"/>
    </xf>
    <xf numFmtId="166" fontId="89" fillId="0" borderId="0" xfId="2" applyNumberFormat="1" applyFont="1" applyFill="1" applyBorder="1" applyAlignment="1">
      <alignment horizontal="right" vertical="center"/>
    </xf>
    <xf numFmtId="171" fontId="89" fillId="0" borderId="0" xfId="1" applyNumberFormat="1" applyFont="1" applyFill="1" applyBorder="1" applyAlignment="1">
      <alignment vertical="center"/>
    </xf>
    <xf numFmtId="171" fontId="89" fillId="0" borderId="0" xfId="2" applyNumberFormat="1" applyFont="1" applyFill="1" applyBorder="1" applyAlignment="1">
      <alignment horizontal="right" vertical="center"/>
    </xf>
    <xf numFmtId="166" fontId="89" fillId="0" borderId="0" xfId="2" applyNumberFormat="1" applyFont="1" applyFill="1" applyBorder="1" applyAlignment="1">
      <alignment vertical="center"/>
    </xf>
    <xf numFmtId="169" fontId="89" fillId="0" borderId="0" xfId="1" applyNumberFormat="1" applyFont="1" applyFill="1" applyBorder="1" applyAlignment="1">
      <alignment vertical="center"/>
    </xf>
    <xf numFmtId="168" fontId="89" fillId="0" borderId="11" xfId="0" applyNumberFormat="1" applyFont="1" applyBorder="1" applyAlignment="1">
      <alignment horizontal="right" vertical="center"/>
    </xf>
    <xf numFmtId="168" fontId="89" fillId="0" borderId="10" xfId="0" applyNumberFormat="1" applyFont="1" applyBorder="1" applyAlignment="1">
      <alignment horizontal="right" vertical="center"/>
    </xf>
    <xf numFmtId="168" fontId="89" fillId="0" borderId="9" xfId="0" applyNumberFormat="1" applyFont="1" applyBorder="1" applyAlignment="1">
      <alignment horizontal="right" vertical="center"/>
    </xf>
    <xf numFmtId="168" fontId="89" fillId="0" borderId="7" xfId="0" applyNumberFormat="1" applyFont="1" applyBorder="1" applyAlignment="1">
      <alignment horizontal="right" vertical="center"/>
    </xf>
    <xf numFmtId="168" fontId="89" fillId="0" borderId="0" xfId="0" applyNumberFormat="1" applyFont="1" applyAlignment="1">
      <alignment horizontal="right" vertical="center"/>
    </xf>
    <xf numFmtId="168" fontId="89" fillId="0" borderId="6" xfId="0" applyNumberFormat="1" applyFont="1" applyBorder="1" applyAlignment="1">
      <alignment horizontal="right" vertical="center"/>
    </xf>
    <xf numFmtId="168" fontId="89" fillId="0" borderId="5" xfId="0" applyNumberFormat="1" applyFont="1" applyBorder="1" applyAlignment="1">
      <alignment horizontal="right" vertical="center"/>
    </xf>
    <xf numFmtId="168" fontId="89" fillId="0" borderId="3" xfId="0" applyNumberFormat="1" applyFont="1" applyBorder="1" applyAlignment="1">
      <alignment horizontal="right" vertical="center"/>
    </xf>
    <xf numFmtId="168" fontId="89" fillId="0" borderId="4" xfId="0" applyNumberFormat="1" applyFont="1" applyBorder="1" applyAlignment="1">
      <alignment horizontal="right" vertical="center"/>
    </xf>
    <xf numFmtId="166" fontId="89" fillId="0" borderId="13" xfId="0" applyNumberFormat="1" applyFont="1" applyBorder="1" applyAlignment="1">
      <alignment horizontal="right" vertical="center"/>
    </xf>
    <xf numFmtId="166" fontId="89" fillId="0" borderId="12" xfId="0" applyNumberFormat="1" applyFont="1" applyBorder="1" applyAlignment="1">
      <alignment horizontal="right" vertical="center"/>
    </xf>
    <xf numFmtId="166" fontId="89" fillId="0" borderId="11" xfId="0" applyNumberFormat="1" applyFont="1" applyBorder="1" applyAlignment="1">
      <alignment vertical="center"/>
    </xf>
    <xf numFmtId="166" fontId="89" fillId="0" borderId="10" xfId="0" applyNumberFormat="1" applyFont="1" applyBorder="1" applyAlignment="1">
      <alignment vertical="center"/>
    </xf>
    <xf numFmtId="166" fontId="89" fillId="0" borderId="9" xfId="0" applyNumberFormat="1" applyFont="1" applyBorder="1" applyAlignment="1">
      <alignment vertical="center"/>
    </xf>
    <xf numFmtId="166" fontId="89" fillId="0" borderId="7" xfId="0" applyNumberFormat="1" applyFont="1" applyBorder="1" applyAlignment="1">
      <alignment vertical="center"/>
    </xf>
    <xf numFmtId="166" fontId="89" fillId="0" borderId="6" xfId="0" applyNumberFormat="1" applyFont="1" applyBorder="1" applyAlignment="1">
      <alignment vertical="center"/>
    </xf>
    <xf numFmtId="166" fontId="89" fillId="0" borderId="5" xfId="0" applyNumberFormat="1" applyFont="1" applyBorder="1" applyAlignment="1">
      <alignment vertical="center"/>
    </xf>
    <xf numFmtId="166" fontId="89" fillId="0" borderId="4" xfId="0" applyNumberFormat="1" applyFont="1" applyBorder="1" applyAlignment="1">
      <alignment vertical="center"/>
    </xf>
    <xf numFmtId="174" fontId="31" fillId="0" borderId="39" xfId="0" applyNumberFormat="1" applyFont="1" applyBorder="1" applyAlignment="1">
      <alignment horizontal="right"/>
    </xf>
    <xf numFmtId="175" fontId="31" fillId="0" borderId="42" xfId="0" applyNumberFormat="1" applyFont="1" applyBorder="1" applyAlignment="1">
      <alignment horizontal="right"/>
    </xf>
    <xf numFmtId="190" fontId="14" fillId="0" borderId="39" xfId="0" applyNumberFormat="1" applyFont="1" applyBorder="1" applyAlignment="1">
      <alignment horizontal="center"/>
    </xf>
    <xf numFmtId="0" fontId="56" fillId="0" borderId="0" xfId="0" applyFont="1" applyAlignment="1">
      <alignment horizontal="center"/>
    </xf>
    <xf numFmtId="190" fontId="14" fillId="0" borderId="38" xfId="0" applyNumberFormat="1" applyFont="1" applyBorder="1" applyAlignment="1">
      <alignment horizontal="center"/>
    </xf>
    <xf numFmtId="168" fontId="51" fillId="0" borderId="43" xfId="0" applyNumberFormat="1" applyFont="1" applyBorder="1" applyAlignment="1">
      <alignment horizontal="centerContinuous"/>
    </xf>
    <xf numFmtId="174" fontId="51" fillId="0" borderId="43" xfId="0" applyNumberFormat="1" applyFont="1" applyBorder="1" applyAlignment="1">
      <alignment horizontal="centerContinuous"/>
    </xf>
    <xf numFmtId="168" fontId="51" fillId="0" borderId="24" xfId="0" applyNumberFormat="1" applyFont="1" applyBorder="1" applyAlignment="1">
      <alignment horizontal="center"/>
    </xf>
    <xf numFmtId="0" fontId="56" fillId="0" borderId="44" xfId="0" applyFont="1" applyBorder="1" applyAlignment="1">
      <alignment horizontal="center"/>
    </xf>
    <xf numFmtId="190" fontId="14" fillId="0" borderId="44" xfId="0" applyNumberFormat="1" applyFont="1" applyBorder="1" applyAlignment="1">
      <alignment horizontal="center"/>
    </xf>
    <xf numFmtId="190" fontId="14" fillId="0" borderId="30" xfId="0" applyNumberFormat="1" applyFont="1" applyBorder="1" applyAlignment="1">
      <alignment horizontal="center"/>
    </xf>
    <xf numFmtId="168" fontId="51" fillId="0" borderId="45" xfId="0" applyNumberFormat="1" applyFont="1" applyBorder="1" applyAlignment="1">
      <alignment horizontal="center"/>
    </xf>
    <xf numFmtId="168" fontId="51" fillId="0" borderId="46" xfId="0" applyNumberFormat="1" applyFont="1" applyBorder="1" applyAlignment="1">
      <alignment horizontal="centerContinuous"/>
    </xf>
    <xf numFmtId="174" fontId="51" fillId="0" borderId="46" xfId="0" applyNumberFormat="1" applyFont="1" applyBorder="1" applyAlignment="1">
      <alignment horizontal="centerContinuous"/>
    </xf>
    <xf numFmtId="168" fontId="51" fillId="0" borderId="47" xfId="0" applyNumberFormat="1" applyFont="1" applyBorder="1" applyAlignment="1">
      <alignment horizontal="center"/>
    </xf>
    <xf numFmtId="0" fontId="56" fillId="0" borderId="48" xfId="0" applyFont="1" applyBorder="1" applyAlignment="1">
      <alignment horizontal="center"/>
    </xf>
    <xf numFmtId="190" fontId="14" fillId="0" borderId="49" xfId="0" applyNumberFormat="1" applyFont="1" applyBorder="1" applyAlignment="1">
      <alignment horizontal="center"/>
    </xf>
    <xf numFmtId="190" fontId="14" fillId="0" borderId="50" xfId="0" applyNumberFormat="1" applyFont="1" applyBorder="1" applyAlignment="1">
      <alignment horizontal="center"/>
    </xf>
    <xf numFmtId="174" fontId="31" fillId="0" borderId="41" xfId="0" applyNumberFormat="1" applyFont="1" applyBorder="1" applyAlignment="1">
      <alignment horizontal="right"/>
    </xf>
    <xf numFmtId="175" fontId="18" fillId="0" borderId="41" xfId="0" applyNumberFormat="1" applyFont="1" applyBorder="1" applyAlignment="1">
      <alignment horizontal="right"/>
    </xf>
    <xf numFmtId="0" fontId="83" fillId="0" borderId="40" xfId="0" applyFont="1" applyBorder="1" applyAlignment="1">
      <alignment horizontal="right" vertical="center"/>
    </xf>
    <xf numFmtId="0" fontId="4" fillId="0" borderId="0" xfId="3"/>
    <xf numFmtId="9" fontId="4" fillId="0" borderId="0" xfId="15" applyFont="1"/>
    <xf numFmtId="44" fontId="4" fillId="0" borderId="0" xfId="16" applyFont="1"/>
    <xf numFmtId="44" fontId="4" fillId="0" borderId="0" xfId="3" applyNumberFormat="1"/>
    <xf numFmtId="0" fontId="4" fillId="0" borderId="0" xfId="15" applyNumberFormat="1" applyFont="1"/>
    <xf numFmtId="0" fontId="70" fillId="0" borderId="0" xfId="3" applyFont="1"/>
    <xf numFmtId="0" fontId="4" fillId="0" borderId="52" xfId="3" applyBorder="1"/>
    <xf numFmtId="3" fontId="4" fillId="0" borderId="53" xfId="3" applyNumberFormat="1" applyBorder="1"/>
    <xf numFmtId="173" fontId="0" fillId="0" borderId="0" xfId="18" applyNumberFormat="1" applyFont="1" applyBorder="1"/>
    <xf numFmtId="3" fontId="4" fillId="0" borderId="0" xfId="3" applyNumberFormat="1"/>
    <xf numFmtId="9" fontId="0" fillId="0" borderId="0" xfId="18" applyFont="1" applyBorder="1"/>
    <xf numFmtId="0" fontId="4" fillId="0" borderId="2" xfId="3" applyBorder="1"/>
    <xf numFmtId="3" fontId="4" fillId="0" borderId="52" xfId="3" applyNumberFormat="1" applyBorder="1"/>
    <xf numFmtId="2" fontId="4" fillId="0" borderId="0" xfId="3" applyNumberFormat="1"/>
    <xf numFmtId="206" fontId="4" fillId="0" borderId="0" xfId="3" applyNumberFormat="1"/>
    <xf numFmtId="1" fontId="4" fillId="0" borderId="0" xfId="3" applyNumberFormat="1"/>
    <xf numFmtId="1" fontId="91" fillId="0" borderId="0" xfId="19" applyNumberFormat="1" applyFont="1" applyFill="1" applyBorder="1" applyAlignment="1">
      <alignment horizontal="right"/>
    </xf>
    <xf numFmtId="207" fontId="91" fillId="0" borderId="0" xfId="19" applyNumberFormat="1" applyFont="1" applyFill="1" applyBorder="1" applyAlignment="1">
      <alignment horizontal="right"/>
    </xf>
    <xf numFmtId="10" fontId="0" fillId="0" borderId="2" xfId="18" applyNumberFormat="1" applyFont="1" applyBorder="1"/>
    <xf numFmtId="206" fontId="4" fillId="0" borderId="2" xfId="3" applyNumberFormat="1" applyBorder="1"/>
    <xf numFmtId="2" fontId="4" fillId="0" borderId="2" xfId="3" applyNumberFormat="1" applyBorder="1"/>
    <xf numFmtId="10" fontId="0" fillId="0" borderId="0" xfId="18" applyNumberFormat="1" applyFont="1" applyBorder="1"/>
    <xf numFmtId="10" fontId="4" fillId="0" borderId="0" xfId="15" applyNumberFormat="1" applyFont="1"/>
    <xf numFmtId="208" fontId="80" fillId="0" borderId="0" xfId="21" applyNumberFormat="1" applyFont="1"/>
    <xf numFmtId="0" fontId="4" fillId="0" borderId="0" xfId="21"/>
    <xf numFmtId="208" fontId="93" fillId="0" borderId="0" xfId="21" applyNumberFormat="1" applyFont="1"/>
    <xf numFmtId="208" fontId="93" fillId="0" borderId="0" xfId="21" applyNumberFormat="1" applyFont="1" applyAlignment="1">
      <alignment horizontal="center"/>
    </xf>
    <xf numFmtId="208" fontId="93" fillId="0" borderId="0" xfId="21" applyNumberFormat="1" applyFont="1" applyAlignment="1">
      <alignment horizontal="right"/>
    </xf>
    <xf numFmtId="208" fontId="80" fillId="0" borderId="0" xfId="21" applyNumberFormat="1" applyFont="1" applyAlignment="1">
      <alignment horizontal="center"/>
    </xf>
    <xf numFmtId="208" fontId="94" fillId="0" borderId="0" xfId="21" applyNumberFormat="1" applyFont="1"/>
    <xf numFmtId="208" fontId="95" fillId="0" borderId="0" xfId="21" applyNumberFormat="1" applyFont="1"/>
    <xf numFmtId="208" fontId="80" fillId="0" borderId="36" xfId="20" applyNumberFormat="1" applyFont="1" applyBorder="1"/>
    <xf numFmtId="208" fontId="95" fillId="0" borderId="36" xfId="21" applyNumberFormat="1" applyFont="1" applyBorder="1"/>
    <xf numFmtId="208" fontId="95" fillId="0" borderId="36" xfId="21" applyNumberFormat="1" applyFont="1" applyBorder="1" applyAlignment="1">
      <alignment horizontal="center"/>
    </xf>
    <xf numFmtId="173" fontId="80" fillId="0" borderId="36" xfId="21" applyNumberFormat="1" applyFont="1" applyBorder="1"/>
    <xf numFmtId="208" fontId="80" fillId="0" borderId="0" xfId="20" applyNumberFormat="1" applyFont="1"/>
    <xf numFmtId="173" fontId="80" fillId="0" borderId="0" xfId="21" applyNumberFormat="1" applyFont="1"/>
    <xf numFmtId="208" fontId="82" fillId="0" borderId="0" xfId="21" applyNumberFormat="1" applyFont="1"/>
    <xf numFmtId="208" fontId="82" fillId="0" borderId="0" xfId="21" applyNumberFormat="1" applyFont="1" applyAlignment="1">
      <alignment horizontal="center"/>
    </xf>
    <xf numFmtId="9" fontId="94" fillId="0" borderId="0" xfId="21" applyNumberFormat="1" applyFont="1" applyAlignment="1">
      <alignment horizontal="center"/>
    </xf>
    <xf numFmtId="1" fontId="94" fillId="0" borderId="0" xfId="21" applyNumberFormat="1" applyFont="1"/>
    <xf numFmtId="208" fontId="95" fillId="0" borderId="0" xfId="21" applyNumberFormat="1" applyFont="1" applyAlignment="1">
      <alignment horizontal="center"/>
    </xf>
    <xf numFmtId="208" fontId="96" fillId="0" borderId="0" xfId="21" applyNumberFormat="1" applyFont="1"/>
    <xf numFmtId="209" fontId="80" fillId="0" borderId="0" xfId="21" applyNumberFormat="1" applyFont="1"/>
    <xf numFmtId="9" fontId="96" fillId="0" borderId="0" xfId="21" applyNumberFormat="1" applyFont="1"/>
    <xf numFmtId="207" fontId="91" fillId="0" borderId="0" xfId="22" applyNumberFormat="1" applyFont="1" applyFill="1" applyBorder="1" applyAlignment="1">
      <alignment horizontal="right"/>
    </xf>
    <xf numFmtId="208" fontId="80" fillId="0" borderId="1" xfId="21" applyNumberFormat="1" applyFont="1" applyBorder="1"/>
    <xf numFmtId="208" fontId="80" fillId="0" borderId="1" xfId="21" applyNumberFormat="1" applyFont="1" applyBorder="1" applyAlignment="1">
      <alignment horizontal="center"/>
    </xf>
    <xf numFmtId="208" fontId="95" fillId="0" borderId="54" xfId="21" applyNumberFormat="1" applyFont="1" applyBorder="1"/>
    <xf numFmtId="208" fontId="95" fillId="0" borderId="54" xfId="21" applyNumberFormat="1" applyFont="1" applyBorder="1" applyAlignment="1">
      <alignment horizontal="center"/>
    </xf>
    <xf numFmtId="208" fontId="92" fillId="0" borderId="0" xfId="21" applyNumberFormat="1" applyFont="1"/>
    <xf numFmtId="208" fontId="81" fillId="0" borderId="0" xfId="21" applyNumberFormat="1" applyFont="1"/>
    <xf numFmtId="0" fontId="90" fillId="0" borderId="0" xfId="21" applyFont="1"/>
    <xf numFmtId="210" fontId="80" fillId="0" borderId="0" xfId="21" applyNumberFormat="1" applyFont="1"/>
    <xf numFmtId="208" fontId="92" fillId="0" borderId="54" xfId="21" applyNumberFormat="1" applyFont="1" applyBorder="1"/>
    <xf numFmtId="208" fontId="92" fillId="0" borderId="36" xfId="21" applyNumberFormat="1" applyFont="1" applyBorder="1"/>
    <xf numFmtId="208" fontId="95" fillId="0" borderId="14" xfId="21" applyNumberFormat="1" applyFont="1" applyBorder="1"/>
    <xf numFmtId="208" fontId="95" fillId="0" borderId="14" xfId="21" applyNumberFormat="1" applyFont="1" applyBorder="1" applyAlignment="1">
      <alignment horizontal="center"/>
    </xf>
    <xf numFmtId="211" fontId="82" fillId="0" borderId="0" xfId="21" applyNumberFormat="1" applyFont="1"/>
    <xf numFmtId="211" fontId="82" fillId="0" borderId="0" xfId="21" applyNumberFormat="1" applyFont="1" applyAlignment="1">
      <alignment horizontal="center"/>
    </xf>
    <xf numFmtId="202" fontId="82" fillId="0" borderId="0" xfId="16" applyNumberFormat="1" applyFont="1"/>
    <xf numFmtId="44" fontId="82" fillId="0" borderId="0" xfId="16" applyFont="1"/>
    <xf numFmtId="208" fontId="80" fillId="0" borderId="36" xfId="21" applyNumberFormat="1" applyFont="1" applyBorder="1"/>
    <xf numFmtId="208" fontId="80" fillId="0" borderId="36" xfId="21" applyNumberFormat="1" applyFont="1" applyBorder="1" applyAlignment="1">
      <alignment horizontal="center"/>
    </xf>
    <xf numFmtId="208" fontId="81" fillId="0" borderId="36" xfId="21" applyNumberFormat="1" applyFont="1" applyBorder="1"/>
    <xf numFmtId="0" fontId="100" fillId="0" borderId="0" xfId="22" applyNumberFormat="1" applyFont="1" applyFill="1" applyBorder="1" applyAlignment="1">
      <alignment horizontal="center"/>
    </xf>
    <xf numFmtId="0" fontId="91" fillId="0" borderId="0" xfId="22" applyNumberFormat="1" applyFont="1" applyFill="1" applyBorder="1" applyAlignment="1"/>
    <xf numFmtId="0" fontId="91" fillId="2" borderId="0" xfId="22" applyNumberFormat="1" applyFont="1" applyFill="1" applyBorder="1" applyAlignment="1"/>
    <xf numFmtId="207" fontId="91" fillId="2" borderId="0" xfId="22" applyNumberFormat="1" applyFont="1" applyFill="1" applyBorder="1" applyAlignment="1">
      <alignment horizontal="right"/>
    </xf>
    <xf numFmtId="44" fontId="91" fillId="2" borderId="0" xfId="16" applyFont="1" applyFill="1" applyBorder="1" applyAlignment="1">
      <alignment horizontal="right"/>
    </xf>
    <xf numFmtId="44" fontId="91" fillId="0" borderId="0" xfId="16" applyFont="1" applyFill="1" applyBorder="1" applyAlignment="1">
      <alignment horizontal="right"/>
    </xf>
    <xf numFmtId="0" fontId="102" fillId="7" borderId="0" xfId="14" applyFont="1" applyFill="1"/>
    <xf numFmtId="37" fontId="103" fillId="10" borderId="0" xfId="3" applyNumberFormat="1" applyFont="1" applyFill="1" applyAlignment="1">
      <alignment horizontal="right" vertical="center"/>
    </xf>
    <xf numFmtId="37" fontId="103" fillId="10" borderId="0" xfId="3" applyNumberFormat="1" applyFont="1" applyFill="1" applyAlignment="1">
      <alignment horizontal="left" vertical="center"/>
    </xf>
    <xf numFmtId="1" fontId="36" fillId="10" borderId="0" xfId="3" applyNumberFormat="1" applyFont="1" applyFill="1" applyAlignment="1">
      <alignment horizontal="right" vertical="center"/>
    </xf>
    <xf numFmtId="173" fontId="104" fillId="0" borderId="36" xfId="21" applyNumberFormat="1" applyFont="1" applyBorder="1"/>
    <xf numFmtId="173" fontId="104" fillId="0" borderId="0" xfId="21" applyNumberFormat="1" applyFont="1"/>
    <xf numFmtId="208" fontId="104" fillId="0" borderId="0" xfId="21" applyNumberFormat="1" applyFont="1"/>
    <xf numFmtId="208" fontId="104" fillId="0" borderId="1" xfId="21" applyNumberFormat="1" applyFont="1" applyBorder="1"/>
    <xf numFmtId="208" fontId="105" fillId="0" borderId="0" xfId="21" applyNumberFormat="1" applyFont="1"/>
    <xf numFmtId="171" fontId="106" fillId="0" borderId="0" xfId="0" applyNumberFormat="1" applyFont="1"/>
    <xf numFmtId="0" fontId="83" fillId="0" borderId="0" xfId="0" applyFont="1" applyAlignment="1">
      <alignment vertical="center"/>
    </xf>
    <xf numFmtId="205" fontId="83" fillId="0" borderId="0" xfId="0" applyNumberFormat="1" applyFont="1" applyAlignment="1">
      <alignment vertical="center"/>
    </xf>
    <xf numFmtId="0" fontId="83" fillId="0" borderId="56" xfId="0" applyFont="1" applyBorder="1" applyAlignment="1">
      <alignment vertical="center"/>
    </xf>
    <xf numFmtId="0" fontId="83" fillId="0" borderId="51" xfId="0" applyFont="1" applyBorder="1" applyAlignment="1">
      <alignment vertical="center"/>
    </xf>
    <xf numFmtId="205" fontId="83" fillId="0" borderId="51" xfId="0" applyNumberFormat="1" applyFont="1" applyBorder="1" applyAlignment="1">
      <alignment vertical="center"/>
    </xf>
    <xf numFmtId="205" fontId="83" fillId="0" borderId="57" xfId="0" applyNumberFormat="1" applyFont="1" applyBorder="1" applyAlignment="1">
      <alignment vertical="center"/>
    </xf>
    <xf numFmtId="0" fontId="83" fillId="0" borderId="58" xfId="0" applyFont="1" applyBorder="1" applyAlignment="1">
      <alignment vertical="center"/>
    </xf>
    <xf numFmtId="205" fontId="83" fillId="0" borderId="55" xfId="0" applyNumberFormat="1" applyFont="1" applyBorder="1" applyAlignment="1">
      <alignment vertical="center"/>
    </xf>
    <xf numFmtId="0" fontId="79" fillId="0" borderId="2" xfId="0" applyFont="1" applyBorder="1"/>
    <xf numFmtId="205" fontId="83" fillId="0" borderId="2" xfId="0" applyNumberFormat="1" applyFont="1" applyBorder="1" applyAlignment="1">
      <alignment vertical="center"/>
    </xf>
    <xf numFmtId="205" fontId="83" fillId="0" borderId="27" xfId="0" applyNumberFormat="1" applyFont="1" applyBorder="1" applyAlignment="1">
      <alignment vertical="center"/>
    </xf>
    <xf numFmtId="0" fontId="83" fillId="0" borderId="31" xfId="0" applyFont="1" applyBorder="1"/>
    <xf numFmtId="168" fontId="106" fillId="0" borderId="13" xfId="0" applyNumberFormat="1" applyFont="1" applyBorder="1"/>
    <xf numFmtId="168" fontId="106" fillId="0" borderId="12" xfId="0" applyNumberFormat="1" applyFont="1" applyBorder="1"/>
    <xf numFmtId="168" fontId="106" fillId="0" borderId="0" xfId="0" applyNumberFormat="1" applyFont="1"/>
    <xf numFmtId="10" fontId="106" fillId="0" borderId="0" xfId="2" applyNumberFormat="1" applyFont="1"/>
    <xf numFmtId="168" fontId="106" fillId="0" borderId="0" xfId="0" applyNumberFormat="1" applyFont="1" applyAlignment="1">
      <alignment horizontal="right"/>
    </xf>
    <xf numFmtId="168" fontId="106" fillId="0" borderId="3" xfId="0" applyNumberFormat="1" applyFont="1" applyBorder="1" applyAlignment="1">
      <alignment horizontal="right"/>
    </xf>
    <xf numFmtId="168" fontId="106" fillId="0" borderId="3" xfId="0" applyNumberFormat="1" applyFont="1" applyBorder="1"/>
    <xf numFmtId="0" fontId="4" fillId="0" borderId="0" xfId="3" applyAlignment="1">
      <alignment horizontal="center"/>
    </xf>
    <xf numFmtId="0" fontId="1" fillId="0" borderId="0" xfId="25"/>
    <xf numFmtId="0" fontId="1" fillId="0" borderId="27" xfId="25" applyBorder="1"/>
    <xf numFmtId="0" fontId="1" fillId="0" borderId="2" xfId="25" applyBorder="1"/>
    <xf numFmtId="0" fontId="74" fillId="0" borderId="31" xfId="7" applyBorder="1" applyAlignment="1">
      <alignment vertical="center"/>
    </xf>
    <xf numFmtId="0" fontId="1" fillId="0" borderId="55" xfId="25" applyBorder="1"/>
    <xf numFmtId="0" fontId="1" fillId="0" borderId="58" xfId="25" applyBorder="1"/>
    <xf numFmtId="165" fontId="107" fillId="0" borderId="0" xfId="4" applyNumberFormat="1" applyFont="1" applyFill="1" applyBorder="1" applyAlignment="1" applyProtection="1">
      <alignment horizontal="center"/>
      <protection locked="0"/>
    </xf>
    <xf numFmtId="164" fontId="107" fillId="0" borderId="0" xfId="4" applyNumberFormat="1" applyFont="1" applyFill="1" applyBorder="1" applyAlignment="1" applyProtection="1">
      <alignment horizontal="left"/>
      <protection locked="0"/>
    </xf>
    <xf numFmtId="0" fontId="9" fillId="0" borderId="0" xfId="26" applyFont="1"/>
    <xf numFmtId="10" fontId="3" fillId="0" borderId="0" xfId="2" applyNumberFormat="1" applyFont="1" applyAlignment="1">
      <alignment vertical="center"/>
    </xf>
    <xf numFmtId="212" fontId="3" fillId="0" borderId="0" xfId="9" applyNumberFormat="1" applyFont="1"/>
    <xf numFmtId="0" fontId="74" fillId="0" borderId="0" xfId="7" applyBorder="1" applyAlignment="1">
      <alignment vertical="center"/>
    </xf>
    <xf numFmtId="165" fontId="107" fillId="0" borderId="55" xfId="4" applyNumberFormat="1" applyFont="1" applyFill="1" applyBorder="1" applyAlignment="1" applyProtection="1">
      <alignment horizontal="left" vertical="center"/>
      <protection locked="0"/>
    </xf>
    <xf numFmtId="0" fontId="1" fillId="0" borderId="0" xfId="25"/>
    <xf numFmtId="0" fontId="74" fillId="0" borderId="2" xfId="7" applyBorder="1" applyAlignment="1">
      <alignment vertical="center"/>
    </xf>
    <xf numFmtId="0" fontId="13" fillId="0" borderId="0" xfId="24" applyBorder="1" applyAlignment="1">
      <alignment vertical="center"/>
    </xf>
    <xf numFmtId="0" fontId="1" fillId="0" borderId="0" xfId="25" applyAlignment="1">
      <alignment horizontal="left" vertical="center"/>
    </xf>
    <xf numFmtId="0" fontId="109" fillId="12" borderId="24" xfId="25" applyFont="1" applyFill="1" applyBorder="1" applyAlignment="1">
      <alignment horizontal="center" vertical="center"/>
    </xf>
    <xf numFmtId="0" fontId="1" fillId="0" borderId="24" xfId="25" applyBorder="1" applyAlignment="1">
      <alignment horizontal="center" vertical="center"/>
    </xf>
    <xf numFmtId="0" fontId="108" fillId="0" borderId="58" xfId="25" applyFont="1" applyBorder="1" applyAlignment="1">
      <alignment horizontal="center" vertical="center"/>
    </xf>
    <xf numFmtId="0" fontId="108" fillId="0" borderId="0" xfId="25" applyFont="1" applyAlignment="1">
      <alignment horizontal="center" vertical="center"/>
    </xf>
    <xf numFmtId="0" fontId="108" fillId="0" borderId="55" xfId="25" applyFont="1" applyBorder="1" applyAlignment="1">
      <alignment horizontal="center" vertical="center"/>
    </xf>
    <xf numFmtId="0" fontId="14" fillId="0" borderId="0" xfId="0" applyFont="1" applyAlignment="1">
      <alignment horizontal="center" vertical="center" textRotation="90"/>
    </xf>
    <xf numFmtId="0" fontId="3" fillId="0" borderId="0" xfId="0" applyFont="1" applyAlignment="1">
      <alignment horizontal="center" vertical="center" textRotation="90"/>
    </xf>
    <xf numFmtId="0" fontId="86" fillId="0" borderId="39" xfId="0" applyFont="1" applyBorder="1" applyAlignment="1">
      <alignment horizontal="center" vertical="center"/>
    </xf>
    <xf numFmtId="2" fontId="83" fillId="0" borderId="0" xfId="0" applyNumberFormat="1" applyFont="1" applyAlignment="1">
      <alignment horizontal="center"/>
    </xf>
    <xf numFmtId="2" fontId="70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83" fillId="0" borderId="40" xfId="0" applyNumberFormat="1" applyFont="1" applyBorder="1" applyAlignment="1">
      <alignment horizontal="center" vertical="center"/>
    </xf>
    <xf numFmtId="0" fontId="79" fillId="0" borderId="0" xfId="0" applyFont="1" applyAlignment="1">
      <alignment horizontal="center"/>
    </xf>
    <xf numFmtId="37" fontId="33" fillId="4" borderId="0" xfId="3" applyNumberFormat="1" applyFont="1" applyFill="1" applyAlignment="1">
      <alignment horizontal="center" vertical="center"/>
    </xf>
    <xf numFmtId="37" fontId="87" fillId="6" borderId="0" xfId="0" applyNumberFormat="1" applyFont="1" applyFill="1" applyAlignment="1">
      <alignment horizontal="center" vertical="center"/>
    </xf>
    <xf numFmtId="0" fontId="7" fillId="4" borderId="34" xfId="9" applyFont="1" applyFill="1" applyBorder="1" applyAlignment="1">
      <alignment horizontal="center"/>
    </xf>
    <xf numFmtId="0" fontId="7" fillId="4" borderId="0" xfId="9" applyFont="1" applyFill="1" applyAlignment="1">
      <alignment horizontal="center"/>
    </xf>
    <xf numFmtId="0" fontId="101" fillId="11" borderId="51" xfId="17" applyFont="1" applyFill="1" applyBorder="1" applyAlignment="1">
      <alignment horizontal="center" vertical="center"/>
    </xf>
    <xf numFmtId="0" fontId="101" fillId="11" borderId="51" xfId="17" applyFont="1" applyFill="1" applyBorder="1" applyAlignment="1">
      <alignment horizontal="center"/>
    </xf>
    <xf numFmtId="37" fontId="4" fillId="0" borderId="0" xfId="3" applyNumberFormat="1" applyAlignment="1">
      <alignment horizontal="center"/>
    </xf>
    <xf numFmtId="44" fontId="4" fillId="0" borderId="0" xfId="16" applyFont="1" applyAlignment="1">
      <alignment horizontal="center"/>
    </xf>
    <xf numFmtId="202" fontId="4" fillId="0" borderId="0" xfId="16" applyNumberFormat="1" applyFont="1" applyAlignment="1">
      <alignment horizontal="center"/>
    </xf>
    <xf numFmtId="1" fontId="36" fillId="10" borderId="0" xfId="3" applyNumberFormat="1" applyFont="1" applyFill="1" applyAlignment="1">
      <alignment horizontal="center" vertical="center"/>
    </xf>
  </cellXfs>
  <cellStyles count="27">
    <cellStyle name="20% - Accent3 2" xfId="14" xr:uid="{84AF3A5B-6C1F-D54C-BAB2-06C08DEEA07D}"/>
    <cellStyle name="40% - Accent3 2" xfId="17" xr:uid="{71728DC3-99AC-BD42-AC5B-B936214FE310}"/>
    <cellStyle name="Comma" xfId="1" builtinId="3"/>
    <cellStyle name="Comma 2" xfId="5" xr:uid="{5165D7A9-54EC-4856-98DB-B9A1949979F2}"/>
    <cellStyle name="Comma 3" xfId="10" xr:uid="{EBC3BF9A-9278-4753-B06D-CAD474E33DAB}"/>
    <cellStyle name="Comma 4" xfId="13" xr:uid="{EA4128A4-DFD1-43C3-A083-854F22BDCF2F}"/>
    <cellStyle name="Currency 2" xfId="16" xr:uid="{7BE3C7DC-CB68-B243-AE76-F219FCFDACC8}"/>
    <cellStyle name="Hyperlink" xfId="24" builtinId="8"/>
    <cellStyle name="Hyperlink 2" xfId="7" xr:uid="{49119F43-F465-4296-8DF4-D4D29AECD79C}"/>
    <cellStyle name="Hyperlink 2 2" xfId="4" xr:uid="{2FB86F81-F5AB-4521-94A9-2BCD4F44B15F}"/>
    <cellStyle name="Hyperlink 3" xfId="12" xr:uid="{FE8743D4-4173-4CE2-93D8-E5ED2DC32298}"/>
    <cellStyle name="Normal" xfId="0" builtinId="0"/>
    <cellStyle name="Normal 2" xfId="6" xr:uid="{6E3A1C49-D916-498F-AC44-60211AF682BC}"/>
    <cellStyle name="Normal 2 2" xfId="9" xr:uid="{C5BED732-A6DA-430A-8CEF-C839CBE396A0}"/>
    <cellStyle name="Normal 2 2 2" xfId="3" xr:uid="{3BED6B41-376D-40D8-AAEF-27AA4EF6C7FA}"/>
    <cellStyle name="Normal 2 2 2 3" xfId="26" xr:uid="{FE13BD6F-03BA-424A-A6AF-2828B42437D7}"/>
    <cellStyle name="Normal 3" xfId="19" xr:uid="{0D500409-2160-9A46-9A60-4F5D4AF5CE99}"/>
    <cellStyle name="Normal 4" xfId="20" xr:uid="{BBC06896-B04C-A043-B4E5-A6FE21BC6BC8}"/>
    <cellStyle name="Normal 5" xfId="21" xr:uid="{4FF53667-439A-E947-BD28-1FACB7AFC940}"/>
    <cellStyle name="Normal 6" xfId="22" xr:uid="{CB8A6FE5-05F4-8749-B2C2-F8B35C685E8F}"/>
    <cellStyle name="Normal 7" xfId="23" xr:uid="{FF741C63-EDFF-FF4D-9B15-9DA1813FD045}"/>
    <cellStyle name="Normal 8" xfId="25" xr:uid="{8E8E4954-23B7-3B40-A02A-E3F083EB1448}"/>
    <cellStyle name="Per cent 2" xfId="18" xr:uid="{0C43A9C4-C617-3141-A858-A91357982F64}"/>
    <cellStyle name="Percent" xfId="2" builtinId="5"/>
    <cellStyle name="Percent 2" xfId="8" xr:uid="{930ECEBE-6D4D-4AF7-AFF8-3DB6ABC52CFA}"/>
    <cellStyle name="Percent 3" xfId="11" xr:uid="{33CD11CF-4B1F-49AE-B499-63775483FA02}"/>
    <cellStyle name="Percent 4" xfId="15" xr:uid="{1A4E7F93-BC15-5741-8917-2E7282543433}"/>
  </cellStyles>
  <dxfs count="11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theme="0"/>
      </font>
      <fill>
        <patternFill>
          <fgColor auto="1"/>
          <bgColor rgb="FF947131"/>
        </patternFill>
      </fill>
    </dxf>
    <dxf>
      <font>
        <b/>
        <i val="0"/>
        <color theme="0"/>
      </font>
      <fill>
        <patternFill>
          <fgColor auto="1"/>
          <bgColor rgb="FFFA621C"/>
        </patternFill>
      </fill>
    </dxf>
  </dxfs>
  <tableStyles count="0" defaultTableStyle="TableStyleMedium2" defaultPivotStyle="PivotStyleLight16"/>
  <colors>
    <mruColors>
      <color rgb="FF008542"/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Chart'!$D$37:$D$39</c:f>
              <c:strCache>
                <c:ptCount val="3"/>
                <c:pt idx="0">
                  <c:v>DCF - Multiple Method</c:v>
                </c:pt>
                <c:pt idx="1">
                  <c:v>DCF - Perpetuity Method</c:v>
                </c:pt>
                <c:pt idx="2">
                  <c:v>Comparable Companies</c:v>
                </c:pt>
              </c:strCache>
            </c:strRef>
          </c:cat>
          <c:val>
            <c:numRef>
              <c:f>'Football Field Chart'!$E$37:$E$39</c:f>
              <c:numCache>
                <c:formatCode>_(#,##0.00_);\(#,##0.00\);_("–"_);_(@_)</c:formatCode>
                <c:ptCount val="3"/>
                <c:pt idx="0">
                  <c:v>18.049090764203367</c:v>
                </c:pt>
                <c:pt idx="1">
                  <c:v>20.178265891230762</c:v>
                </c:pt>
                <c:pt idx="2">
                  <c:v>5.8859725684442461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5-48A9-B70F-D0BAA999541C}"/>
            </c:ext>
          </c:extLst>
        </c:ser>
        <c:ser>
          <c:idx val="1"/>
          <c:order val="1"/>
          <c:spPr>
            <a:solidFill>
              <a:srgbClr val="008542"/>
            </a:solidFill>
            <a:ln>
              <a:solidFill>
                <a:srgbClr val="008542"/>
              </a:solidFill>
            </a:ln>
            <a:effectLst/>
          </c:spPr>
          <c:invertIfNegative val="0"/>
          <c:cat>
            <c:strRef>
              <c:f>'Football Field Chart'!$D$37:$D$39</c:f>
              <c:strCache>
                <c:ptCount val="3"/>
                <c:pt idx="0">
                  <c:v>DCF - Multiple Method</c:v>
                </c:pt>
                <c:pt idx="1">
                  <c:v>DCF - Perpetuity Method</c:v>
                </c:pt>
                <c:pt idx="2">
                  <c:v>Comparable Companies</c:v>
                </c:pt>
              </c:strCache>
            </c:strRef>
          </c:cat>
          <c:val>
            <c:numRef>
              <c:f>'Football Field Chart'!$F$37:$F$39</c:f>
              <c:numCache>
                <c:formatCode>_(#,##0.00_);\(#,##0.00\);_("–"_);_(@_)</c:formatCode>
                <c:ptCount val="3"/>
                <c:pt idx="0">
                  <c:v>27.352755652883062</c:v>
                </c:pt>
                <c:pt idx="1">
                  <c:v>40.431238661369392</c:v>
                </c:pt>
                <c:pt idx="2">
                  <c:v>6.8815494273132805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75-48A9-B70F-D0BAA999541C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Chart'!$D$37:$D$39</c:f>
              <c:strCache>
                <c:ptCount val="3"/>
                <c:pt idx="0">
                  <c:v>DCF - Multiple Method</c:v>
                </c:pt>
                <c:pt idx="1">
                  <c:v>DCF - Perpetuity Method</c:v>
                </c:pt>
                <c:pt idx="2">
                  <c:v>Comparable Companies</c:v>
                </c:pt>
              </c:strCache>
            </c:strRef>
          </c:cat>
          <c:val>
            <c:numRef>
              <c:f>'Football Field Chart'!$G$37:$G$39</c:f>
              <c:numCache>
                <c:formatCode>_(#,##0.00_);\(#,##0.00\);_("–"_);_(@_)</c:formatCode>
                <c:ptCount val="3"/>
                <c:pt idx="0">
                  <c:v>39.983755704422045</c:v>
                </c:pt>
                <c:pt idx="1">
                  <c:v>68.740942103942928</c:v>
                </c:pt>
                <c:pt idx="2">
                  <c:v>12.767521995757527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75-48A9-B70F-D0BAA9995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1352351"/>
        <c:axId val="981360255"/>
      </c:barChart>
      <c:catAx>
        <c:axId val="98135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981360255"/>
        <c:crosses val="autoZero"/>
        <c:auto val="1"/>
        <c:lblAlgn val="ctr"/>
        <c:lblOffset val="100"/>
        <c:noMultiLvlLbl val="0"/>
      </c:catAx>
      <c:valAx>
        <c:axId val="981360255"/>
        <c:scaling>
          <c:orientation val="minMax"/>
          <c:max val="70"/>
          <c:min val="0"/>
        </c:scaling>
        <c:delete val="0"/>
        <c:axPos val="l"/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98135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132E57"/>
              </a:solidFill>
              <a:ln w="9525">
                <a:noFill/>
              </a:ln>
              <a:effectLst/>
            </c:spPr>
          </c:marker>
          <c:trendline>
            <c:spPr>
              <a:ln w="28575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4044553805774279"/>
                  <c:y val="-0.185002916302128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latin typeface="Open Sans" panose="020B0606030504020204" pitchFamily="34" charset="0"/>
                      <a:ea typeface="Open Sans" panose="020B0606030504020204" pitchFamily="34" charset="0"/>
                      <a:cs typeface="Open Sans" panose="020B0606030504020204" pitchFamily="34" charset="0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2101428709585051E-2"/>
                  <c:y val="-0.115046251634617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latin typeface="Open Sans" panose="020B0606030504020204" pitchFamily="34" charset="0"/>
                      <a:ea typeface="Open Sans" panose="020B0606030504020204" pitchFamily="34" charset="0"/>
                      <a:cs typeface="Open Sans" panose="020B0606030504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'CAPM Beta '!$X$7:$X$317</c:f>
              <c:numCache>
                <c:formatCode>0.00%</c:formatCode>
                <c:ptCount val="311"/>
                <c:pt idx="0">
                  <c:v>5.2592876700869873E-3</c:v>
                </c:pt>
                <c:pt idx="1">
                  <c:v>9.1180912469334796E-2</c:v>
                </c:pt>
                <c:pt idx="2">
                  <c:v>4.3150497430750168E-2</c:v>
                </c:pt>
                <c:pt idx="3">
                  <c:v>-5.7124002497905946E-2</c:v>
                </c:pt>
                <c:pt idx="4">
                  <c:v>-6.9639499414394512E-3</c:v>
                </c:pt>
                <c:pt idx="5">
                  <c:v>3.5789919172766194E-3</c:v>
                </c:pt>
                <c:pt idx="6">
                  <c:v>-3.516165787403347E-2</c:v>
                </c:pt>
                <c:pt idx="7">
                  <c:v>6.7055132354413294E-2</c:v>
                </c:pt>
                <c:pt idx="8">
                  <c:v>-2.7320176153972087E-3</c:v>
                </c:pt>
                <c:pt idx="9">
                  <c:v>4.1093684776856154E-3</c:v>
                </c:pt>
                <c:pt idx="10">
                  <c:v>2.1828163944971335E-2</c:v>
                </c:pt>
                <c:pt idx="11">
                  <c:v>1.9114801607904353E-2</c:v>
                </c:pt>
                <c:pt idx="12">
                  <c:v>-2.3888438143956692E-2</c:v>
                </c:pt>
                <c:pt idx="13">
                  <c:v>-3.0591553025438034E-2</c:v>
                </c:pt>
                <c:pt idx="14">
                  <c:v>-1.8934133738516712E-2</c:v>
                </c:pt>
                <c:pt idx="15">
                  <c:v>-5.289505210056189E-2</c:v>
                </c:pt>
                <c:pt idx="16">
                  <c:v>1.1320864943505038E-2</c:v>
                </c:pt>
                <c:pt idx="17">
                  <c:v>2.0895673872252329E-2</c:v>
                </c:pt>
                <c:pt idx="18">
                  <c:v>-3.3625952394091607E-2</c:v>
                </c:pt>
                <c:pt idx="19">
                  <c:v>-0.14825997643917799</c:v>
                </c:pt>
                <c:pt idx="20">
                  <c:v>-0.1216697249442501</c:v>
                </c:pt>
                <c:pt idx="21">
                  <c:v>-0.36198190488966575</c:v>
                </c:pt>
                <c:pt idx="22">
                  <c:v>-0.24564178285083516</c:v>
                </c:pt>
                <c:pt idx="23">
                  <c:v>0.10084046838073291</c:v>
                </c:pt>
                <c:pt idx="24">
                  <c:v>0.1049615599998126</c:v>
                </c:pt>
                <c:pt idx="25">
                  <c:v>0.1329881732402558</c:v>
                </c:pt>
                <c:pt idx="26">
                  <c:v>-6.2500011894940033E-2</c:v>
                </c:pt>
                <c:pt idx="27">
                  <c:v>-8.4552745510382166E-2</c:v>
                </c:pt>
                <c:pt idx="28">
                  <c:v>0.12255741884131544</c:v>
                </c:pt>
                <c:pt idx="29">
                  <c:v>3.0063464409089136E-2</c:v>
                </c:pt>
                <c:pt idx="30">
                  <c:v>-9.2165882709427716E-2</c:v>
                </c:pt>
                <c:pt idx="31">
                  <c:v>0.14382391757496338</c:v>
                </c:pt>
                <c:pt idx="32">
                  <c:v>0.11538457986763162</c:v>
                </c:pt>
                <c:pt idx="33">
                  <c:v>0.18567641775438815</c:v>
                </c:pt>
                <c:pt idx="34">
                  <c:v>-8.1655354661864576E-2</c:v>
                </c:pt>
                <c:pt idx="35">
                  <c:v>-2.9232677199560464E-2</c:v>
                </c:pt>
                <c:pt idx="36">
                  <c:v>-4.1405162839295073E-2</c:v>
                </c:pt>
                <c:pt idx="37">
                  <c:v>8.3769506882398037E-2</c:v>
                </c:pt>
                <c:pt idx="38">
                  <c:v>2.5362399695858295E-2</c:v>
                </c:pt>
                <c:pt idx="39">
                  <c:v>-8.2450524244438439E-3</c:v>
                </c:pt>
                <c:pt idx="40">
                  <c:v>4.3943193277078629E-2</c:v>
                </c:pt>
                <c:pt idx="41">
                  <c:v>-2.9579096530686688E-2</c:v>
                </c:pt>
                <c:pt idx="42">
                  <c:v>-1.6412678011443194E-2</c:v>
                </c:pt>
                <c:pt idx="43">
                  <c:v>-3.5758378715408101E-3</c:v>
                </c:pt>
                <c:pt idx="44">
                  <c:v>-3.5885110776365692E-2</c:v>
                </c:pt>
                <c:pt idx="45">
                  <c:v>2.9776605495682062E-2</c:v>
                </c:pt>
                <c:pt idx="46">
                  <c:v>4.6988158771795518E-2</c:v>
                </c:pt>
                <c:pt idx="47">
                  <c:v>-4.833146402645816E-2</c:v>
                </c:pt>
                <c:pt idx="48">
                  <c:v>-2.5393063855496667E-2</c:v>
                </c:pt>
                <c:pt idx="49">
                  <c:v>-9.5533555645604062E-2</c:v>
                </c:pt>
                <c:pt idx="50">
                  <c:v>-7.5445792459033933E-2</c:v>
                </c:pt>
                <c:pt idx="51">
                  <c:v>6.5281790459797984E-2</c:v>
                </c:pt>
                <c:pt idx="52">
                  <c:v>-4.5960887508114667E-2</c:v>
                </c:pt>
                <c:pt idx="53">
                  <c:v>7.1532747025700782E-2</c:v>
                </c:pt>
                <c:pt idx="54">
                  <c:v>-9.9455164928074602E-2</c:v>
                </c:pt>
                <c:pt idx="55">
                  <c:v>0.11043888216862774</c:v>
                </c:pt>
                <c:pt idx="56">
                  <c:v>0.13896463759912003</c:v>
                </c:pt>
                <c:pt idx="57">
                  <c:v>4.9043071013758377E-2</c:v>
                </c:pt>
                <c:pt idx="58">
                  <c:v>0.10604340788162991</c:v>
                </c:pt>
                <c:pt idx="59">
                  <c:v>0.10309255527605332</c:v>
                </c:pt>
                <c:pt idx="60">
                  <c:v>2.2430013990900832E-2</c:v>
                </c:pt>
                <c:pt idx="61">
                  <c:v>1.3710902143033055E-2</c:v>
                </c:pt>
                <c:pt idx="62">
                  <c:v>-2.5247557782871244E-2</c:v>
                </c:pt>
                <c:pt idx="63">
                  <c:v>2.3126643049891982E-2</c:v>
                </c:pt>
                <c:pt idx="64">
                  <c:v>4.0687018730101165E-2</c:v>
                </c:pt>
                <c:pt idx="65">
                  <c:v>-7.8192902398726116E-2</c:v>
                </c:pt>
                <c:pt idx="66">
                  <c:v>-6.786043989629853E-2</c:v>
                </c:pt>
                <c:pt idx="67">
                  <c:v>-1.1122485614348698E-2</c:v>
                </c:pt>
                <c:pt idx="68">
                  <c:v>0.10531732958643536</c:v>
                </c:pt>
                <c:pt idx="69">
                  <c:v>-2.3126874038365774E-2</c:v>
                </c:pt>
                <c:pt idx="70">
                  <c:v>-3.8825842888363327E-2</c:v>
                </c:pt>
                <c:pt idx="71">
                  <c:v>-0.22167478959305431</c:v>
                </c:pt>
                <c:pt idx="72">
                  <c:v>-3.797525434486082E-3</c:v>
                </c:pt>
                <c:pt idx="73">
                  <c:v>5.4637878884024049E-2</c:v>
                </c:pt>
                <c:pt idx="74">
                  <c:v>4.5783087343460593E-2</c:v>
                </c:pt>
                <c:pt idx="75">
                  <c:v>-5.8755593886143376E-2</c:v>
                </c:pt>
                <c:pt idx="76">
                  <c:v>2.3255686015944077E-2</c:v>
                </c:pt>
                <c:pt idx="77">
                  <c:v>-1.1962234583251519E-3</c:v>
                </c:pt>
                <c:pt idx="78">
                  <c:v>-2.1556713727292398E-2</c:v>
                </c:pt>
                <c:pt idx="79">
                  <c:v>8.7404170159322225E-2</c:v>
                </c:pt>
                <c:pt idx="80">
                  <c:v>8.1584960380955973E-3</c:v>
                </c:pt>
                <c:pt idx="81">
                  <c:v>7.167631443686262E-2</c:v>
                </c:pt>
                <c:pt idx="82">
                  <c:v>7.119757769618551E-2</c:v>
                </c:pt>
                <c:pt idx="83">
                  <c:v>-2.5176261678732326E-2</c:v>
                </c:pt>
                <c:pt idx="84">
                  <c:v>6.5082622666791323E-2</c:v>
                </c:pt>
                <c:pt idx="85">
                  <c:v>9.9902970188184614E-2</c:v>
                </c:pt>
                <c:pt idx="86">
                  <c:v>-1.7636747937557873E-2</c:v>
                </c:pt>
                <c:pt idx="87">
                  <c:v>-1.7952882198858378E-3</c:v>
                </c:pt>
                <c:pt idx="88">
                  <c:v>5.8453106161157065E-2</c:v>
                </c:pt>
                <c:pt idx="89">
                  <c:v>-2.2939732501256582E-2</c:v>
                </c:pt>
                <c:pt idx="90">
                  <c:v>-8.782590777185062E-2</c:v>
                </c:pt>
                <c:pt idx="91">
                  <c:v>-1.0486226693272149E-2</c:v>
                </c:pt>
                <c:pt idx="92">
                  <c:v>-1.6377635747317765E-2</c:v>
                </c:pt>
                <c:pt idx="93">
                  <c:v>4.8971184700201675E-3</c:v>
                </c:pt>
                <c:pt idx="94">
                  <c:v>5.4580737701578563E-2</c:v>
                </c:pt>
                <c:pt idx="95">
                  <c:v>3.2347684583385883E-2</c:v>
                </c:pt>
                <c:pt idx="96">
                  <c:v>-0.11817352268523906</c:v>
                </c:pt>
                <c:pt idx="97">
                  <c:v>0.17534064399476978</c:v>
                </c:pt>
                <c:pt idx="98">
                  <c:v>-7.7838680197307775E-2</c:v>
                </c:pt>
                <c:pt idx="99">
                  <c:v>-4.5680291419011199E-2</c:v>
                </c:pt>
                <c:pt idx="100">
                  <c:v>-2.4973943806989252E-2</c:v>
                </c:pt>
                <c:pt idx="101">
                  <c:v>6.9370384213558012E-2</c:v>
                </c:pt>
                <c:pt idx="102">
                  <c:v>3.6926054363147998E-2</c:v>
                </c:pt>
                <c:pt idx="103">
                  <c:v>1.4437071343002428E-2</c:v>
                </c:pt>
                <c:pt idx="104">
                  <c:v>2.561653578612777E-2</c:v>
                </c:pt>
                <c:pt idx="105">
                  <c:v>-0.11008355990311436</c:v>
                </c:pt>
                <c:pt idx="106">
                  <c:v>-1.0391154781704826E-3</c:v>
                </c:pt>
                <c:pt idx="107">
                  <c:v>-2.7055125515502376E-2</c:v>
                </c:pt>
                <c:pt idx="108">
                  <c:v>5.8823500790934125E-2</c:v>
                </c:pt>
                <c:pt idx="109">
                  <c:v>-6.1616183431916327E-2</c:v>
                </c:pt>
                <c:pt idx="110">
                  <c:v>9.7954741425922975E-2</c:v>
                </c:pt>
                <c:pt idx="111">
                  <c:v>-4.9019250745240273E-3</c:v>
                </c:pt>
                <c:pt idx="112">
                  <c:v>0.16852562201523424</c:v>
                </c:pt>
                <c:pt idx="113">
                  <c:v>-3.9772451585678437E-2</c:v>
                </c:pt>
                <c:pt idx="114">
                  <c:v>-1.7751703045959299E-2</c:v>
                </c:pt>
                <c:pt idx="115">
                  <c:v>1.5060309967245278E-2</c:v>
                </c:pt>
                <c:pt idx="116">
                  <c:v>-1.3847488789672124E-2</c:v>
                </c:pt>
                <c:pt idx="117">
                  <c:v>0.14643900778961672</c:v>
                </c:pt>
                <c:pt idx="118">
                  <c:v>1.6622994579448047E-2</c:v>
                </c:pt>
                <c:pt idx="119">
                  <c:v>3.9587082693262499E-2</c:v>
                </c:pt>
                <c:pt idx="120">
                  <c:v>1.6556177403054928E-2</c:v>
                </c:pt>
                <c:pt idx="121">
                  <c:v>4.8859933779021203E-2</c:v>
                </c:pt>
                <c:pt idx="122">
                  <c:v>-2.3290038125932666E-3</c:v>
                </c:pt>
                <c:pt idx="123">
                  <c:v>2.3346088456370317E-2</c:v>
                </c:pt>
                <c:pt idx="124">
                  <c:v>2.0532606875442116E-2</c:v>
                </c:pt>
                <c:pt idx="125">
                  <c:v>-4.9180555471716292E-2</c:v>
                </c:pt>
                <c:pt idx="126">
                  <c:v>-4.3887187802288508E-2</c:v>
                </c:pt>
                <c:pt idx="127">
                  <c:v>0.1098363533100517</c:v>
                </c:pt>
                <c:pt idx="128">
                  <c:v>4.4313035029329706E-2</c:v>
                </c:pt>
                <c:pt idx="129">
                  <c:v>2.6874035489959258E-2</c:v>
                </c:pt>
                <c:pt idx="130">
                  <c:v>-8.4710756097234441E-2</c:v>
                </c:pt>
                <c:pt idx="131">
                  <c:v>3.1519381772831423E-2</c:v>
                </c:pt>
                <c:pt idx="132">
                  <c:v>-2.773363100030557E-2</c:v>
                </c:pt>
                <c:pt idx="133">
                  <c:v>5.5419593453506E-2</c:v>
                </c:pt>
                <c:pt idx="134">
                  <c:v>4.9420892480912082E-2</c:v>
                </c:pt>
                <c:pt idx="135">
                  <c:v>4.4886075701621841E-2</c:v>
                </c:pt>
                <c:pt idx="136">
                  <c:v>-9.154941782147441E-2</c:v>
                </c:pt>
                <c:pt idx="137">
                  <c:v>8.0642491483689627E-2</c:v>
                </c:pt>
                <c:pt idx="138">
                  <c:v>-6.566434457402337E-2</c:v>
                </c:pt>
                <c:pt idx="139">
                  <c:v>-0.11685033644562837</c:v>
                </c:pt>
                <c:pt idx="140">
                  <c:v>-4.6979848367613042E-2</c:v>
                </c:pt>
                <c:pt idx="141">
                  <c:v>7.7464969178319354E-2</c:v>
                </c:pt>
                <c:pt idx="142">
                  <c:v>1.5873054288924493E-2</c:v>
                </c:pt>
                <c:pt idx="143">
                  <c:v>-4.7794194952758828E-2</c:v>
                </c:pt>
                <c:pt idx="144">
                  <c:v>2.9922968819738882E-2</c:v>
                </c:pt>
                <c:pt idx="145">
                  <c:v>0.23055286281589282</c:v>
                </c:pt>
                <c:pt idx="146">
                  <c:v>2.5133200322556171E-2</c:v>
                </c:pt>
                <c:pt idx="147">
                  <c:v>-8.023767564359674E-2</c:v>
                </c:pt>
                <c:pt idx="148">
                  <c:v>0.2132718748022906</c:v>
                </c:pt>
                <c:pt idx="149">
                  <c:v>7.6797776953449137E-2</c:v>
                </c:pt>
                <c:pt idx="150">
                  <c:v>-2.2003085653717003E-2</c:v>
                </c:pt>
                <c:pt idx="151">
                  <c:v>-4.1117288727203882E-2</c:v>
                </c:pt>
                <c:pt idx="152">
                  <c:v>-5.2588941638800568E-2</c:v>
                </c:pt>
                <c:pt idx="153">
                  <c:v>-2.8181132526494013E-2</c:v>
                </c:pt>
                <c:pt idx="154">
                  <c:v>-2.6361949880128188E-2</c:v>
                </c:pt>
                <c:pt idx="155">
                  <c:v>0.16335750978913555</c:v>
                </c:pt>
                <c:pt idx="156">
                  <c:v>-2.7928798353410444E-2</c:v>
                </c:pt>
                <c:pt idx="157">
                  <c:v>0.17158824421004248</c:v>
                </c:pt>
                <c:pt idx="158">
                  <c:v>-0.16553129385581189</c:v>
                </c:pt>
                <c:pt idx="159">
                  <c:v>-8.326536175225141E-2</c:v>
                </c:pt>
                <c:pt idx="160">
                  <c:v>-9.795179829246059E-2</c:v>
                </c:pt>
                <c:pt idx="161">
                  <c:v>-1.9743236479418225E-2</c:v>
                </c:pt>
                <c:pt idx="162">
                  <c:v>-0.10271926933220277</c:v>
                </c:pt>
                <c:pt idx="163">
                  <c:v>0.27646726509230612</c:v>
                </c:pt>
                <c:pt idx="164">
                  <c:v>-5.0352696502394712E-2</c:v>
                </c:pt>
                <c:pt idx="165">
                  <c:v>-0.12089073805776673</c:v>
                </c:pt>
                <c:pt idx="166">
                  <c:v>0.1833532144490011</c:v>
                </c:pt>
                <c:pt idx="167">
                  <c:v>-5.300704442583426E-2</c:v>
                </c:pt>
                <c:pt idx="168">
                  <c:v>-2.1528439729068816E-2</c:v>
                </c:pt>
                <c:pt idx="169">
                  <c:v>5.9405990375493323E-2</c:v>
                </c:pt>
                <c:pt idx="170">
                  <c:v>5.3997734583209223E-2</c:v>
                </c:pt>
                <c:pt idx="171">
                  <c:v>-1.1822566235813237E-2</c:v>
                </c:pt>
                <c:pt idx="172">
                  <c:v>-3.1904270640014443E-2</c:v>
                </c:pt>
                <c:pt idx="173">
                  <c:v>5.7672533700459327E-2</c:v>
                </c:pt>
                <c:pt idx="174">
                  <c:v>-1.9475600808036564E-3</c:v>
                </c:pt>
                <c:pt idx="175">
                  <c:v>-1.7560992628793515E-2</c:v>
                </c:pt>
                <c:pt idx="176">
                  <c:v>-2.2840057648360945E-2</c:v>
                </c:pt>
                <c:pt idx="177">
                  <c:v>-2.0324959456664682E-2</c:v>
                </c:pt>
                <c:pt idx="178">
                  <c:v>-8.4025160894563355E-2</c:v>
                </c:pt>
                <c:pt idx="179">
                  <c:v>-1.4722465230627702E-2</c:v>
                </c:pt>
                <c:pt idx="180">
                  <c:v>6.6666685099350254E-2</c:v>
                </c:pt>
                <c:pt idx="181">
                  <c:v>2.4784499610969624E-2</c:v>
                </c:pt>
                <c:pt idx="182">
                  <c:v>0.12723451944489317</c:v>
                </c:pt>
                <c:pt idx="183">
                  <c:v>-2.7985147749109984E-2</c:v>
                </c:pt>
                <c:pt idx="184">
                  <c:v>-8.9251456302984589E-2</c:v>
                </c:pt>
                <c:pt idx="185">
                  <c:v>0.15596793659237429</c:v>
                </c:pt>
                <c:pt idx="186">
                  <c:v>9.7736478579782737E-2</c:v>
                </c:pt>
                <c:pt idx="187">
                  <c:v>-2.717905554656308E-2</c:v>
                </c:pt>
                <c:pt idx="188">
                  <c:v>3.0828712741785891E-2</c:v>
                </c:pt>
                <c:pt idx="189">
                  <c:v>2.3364366839064177E-2</c:v>
                </c:pt>
                <c:pt idx="190">
                  <c:v>0.13607306647098527</c:v>
                </c:pt>
                <c:pt idx="191">
                  <c:v>-5.6271574710892169E-3</c:v>
                </c:pt>
                <c:pt idx="192">
                  <c:v>8.4447268112572527E-2</c:v>
                </c:pt>
                <c:pt idx="193">
                  <c:v>-1.8253979602699144E-2</c:v>
                </c:pt>
                <c:pt idx="194">
                  <c:v>-1.9401701655694215E-2</c:v>
                </c:pt>
                <c:pt idx="195">
                  <c:v>-5.7708432791900854E-3</c:v>
                </c:pt>
                <c:pt idx="196">
                  <c:v>3.1509206766498377E-2</c:v>
                </c:pt>
                <c:pt idx="197">
                  <c:v>1.4469367307683889E-2</c:v>
                </c:pt>
                <c:pt idx="198">
                  <c:v>-2.7733675580251638E-2</c:v>
                </c:pt>
                <c:pt idx="199">
                  <c:v>1.3854932941528508E-2</c:v>
                </c:pt>
                <c:pt idx="200">
                  <c:v>2.2507928541688038E-2</c:v>
                </c:pt>
                <c:pt idx="201">
                  <c:v>2.9874085983135457E-2</c:v>
                </c:pt>
                <c:pt idx="202">
                  <c:v>4.9053674280570947E-2</c:v>
                </c:pt>
                <c:pt idx="203">
                  <c:v>9.0703331020056677E-3</c:v>
                </c:pt>
                <c:pt idx="204">
                  <c:v>3.8202262762736083E-2</c:v>
                </c:pt>
                <c:pt idx="205">
                  <c:v>-5.7719989498887792E-3</c:v>
                </c:pt>
                <c:pt idx="206">
                  <c:v>-5.0797382118066281E-3</c:v>
                </c:pt>
                <c:pt idx="207">
                  <c:v>-5.1787149794980114E-2</c:v>
                </c:pt>
                <c:pt idx="208">
                  <c:v>9.3846220140314962E-2</c:v>
                </c:pt>
                <c:pt idx="209">
                  <c:v>5.6962126535459845E-2</c:v>
                </c:pt>
                <c:pt idx="210">
                  <c:v>-6.1876370527332525E-2</c:v>
                </c:pt>
                <c:pt idx="211">
                  <c:v>2.765964484579686E-2</c:v>
                </c:pt>
                <c:pt idx="212">
                  <c:v>-2.2774376689275067E-2</c:v>
                </c:pt>
                <c:pt idx="213">
                  <c:v>5.6497380708213196E-2</c:v>
                </c:pt>
                <c:pt idx="214">
                  <c:v>-3.8770150497643874E-2</c:v>
                </c:pt>
                <c:pt idx="215">
                  <c:v>4.9131408912748809E-2</c:v>
                </c:pt>
                <c:pt idx="216">
                  <c:v>-3.578792226287264E-2</c:v>
                </c:pt>
                <c:pt idx="217">
                  <c:v>1.8558161764050007E-2</c:v>
                </c:pt>
                <c:pt idx="218">
                  <c:v>5.5360844847819557E-2</c:v>
                </c:pt>
                <c:pt idx="219">
                  <c:v>1.4608301822299552E-2</c:v>
                </c:pt>
                <c:pt idx="220">
                  <c:v>3.8612573501019209E-2</c:v>
                </c:pt>
                <c:pt idx="221">
                  <c:v>-8.191629406527956E-3</c:v>
                </c:pt>
                <c:pt idx="222">
                  <c:v>-3.6213437502161994E-2</c:v>
                </c:pt>
                <c:pt idx="223">
                  <c:v>7.3830061486712228E-2</c:v>
                </c:pt>
                <c:pt idx="224">
                  <c:v>1.1663484077508279E-2</c:v>
                </c:pt>
                <c:pt idx="225">
                  <c:v>1.0922312236576248E-2</c:v>
                </c:pt>
                <c:pt idx="226">
                  <c:v>3.1212467517342191E-2</c:v>
                </c:pt>
                <c:pt idx="227">
                  <c:v>-2.2700802575016832E-2</c:v>
                </c:pt>
                <c:pt idx="228">
                  <c:v>-3.2757671983876802E-2</c:v>
                </c:pt>
                <c:pt idx="229">
                  <c:v>-0.10837428589389186</c:v>
                </c:pt>
                <c:pt idx="230">
                  <c:v>-2.7623504385581032E-3</c:v>
                </c:pt>
                <c:pt idx="231">
                  <c:v>-6.9258623371359906E-4</c:v>
                </c:pt>
                <c:pt idx="232">
                  <c:v>3.2571111966558375E-2</c:v>
                </c:pt>
                <c:pt idx="233">
                  <c:v>1.2080349856764538E-2</c:v>
                </c:pt>
                <c:pt idx="234">
                  <c:v>5.9682425687042073E-3</c:v>
                </c:pt>
                <c:pt idx="235">
                  <c:v>2.7686232271934896E-2</c:v>
                </c:pt>
                <c:pt idx="236">
                  <c:v>3.6561786083996406E-2</c:v>
                </c:pt>
                <c:pt idx="237">
                  <c:v>-4.2229756246041639E-3</c:v>
                </c:pt>
                <c:pt idx="238">
                  <c:v>7.0106441601688774E-2</c:v>
                </c:pt>
                <c:pt idx="239">
                  <c:v>-0.11014308269327566</c:v>
                </c:pt>
                <c:pt idx="240">
                  <c:v>-1.1888085910844448E-2</c:v>
                </c:pt>
                <c:pt idx="241">
                  <c:v>4.8124614708293434E-2</c:v>
                </c:pt>
                <c:pt idx="242">
                  <c:v>-6.4821140135387645E-2</c:v>
                </c:pt>
                <c:pt idx="243">
                  <c:v>-6.7870118155887837E-2</c:v>
                </c:pt>
                <c:pt idx="244">
                  <c:v>7.1901354276615592E-2</c:v>
                </c:pt>
                <c:pt idx="245">
                  <c:v>1.4126427183892343E-2</c:v>
                </c:pt>
                <c:pt idx="246">
                  <c:v>1.0263819097545257E-2</c:v>
                </c:pt>
                <c:pt idx="247">
                  <c:v>1.8868107410266122E-2</c:v>
                </c:pt>
                <c:pt idx="248">
                  <c:v>-1.9943123573162636E-2</c:v>
                </c:pt>
                <c:pt idx="249">
                  <c:v>-3.2703376272604334E-2</c:v>
                </c:pt>
                <c:pt idx="250">
                  <c:v>-6.235924105975521E-2</c:v>
                </c:pt>
                <c:pt idx="251">
                  <c:v>5.6891102677697258E-2</c:v>
                </c:pt>
                <c:pt idx="252">
                  <c:v>6.6717218781593646E-2</c:v>
                </c:pt>
                <c:pt idx="253">
                  <c:v>-4.3354682396161137E-2</c:v>
                </c:pt>
                <c:pt idx="254">
                  <c:v>6.5960208550212229E-2</c:v>
                </c:pt>
                <c:pt idx="255">
                  <c:v>-3.6585258051492597E-2</c:v>
                </c:pt>
                <c:pt idx="256">
                  <c:v>-1.7126044815403585E-2</c:v>
                </c:pt>
                <c:pt idx="257">
                  <c:v>-9.8483725690317048E-3</c:v>
                </c:pt>
                <c:pt idx="258">
                  <c:v>1.5302209501483865E-2</c:v>
                </c:pt>
                <c:pt idx="259">
                  <c:v>4.7475373354490813E-2</c:v>
                </c:pt>
                <c:pt idx="260">
                  <c:v>-4.0287703747986181E-2</c:v>
                </c:pt>
                <c:pt idx="261">
                  <c:v>-3.5232307576604338E-2</c:v>
                </c:pt>
                <c:pt idx="262">
                  <c:v>-1.9425049775773751E-2</c:v>
                </c:pt>
                <c:pt idx="263">
                  <c:v>-4.7543467269834716E-2</c:v>
                </c:pt>
                <c:pt idx="264">
                  <c:v>5.4076364748801398E-2</c:v>
                </c:pt>
                <c:pt idx="265">
                  <c:v>2.3678052709454223E-2</c:v>
                </c:pt>
                <c:pt idx="266">
                  <c:v>4.780257527834042E-2</c:v>
                </c:pt>
                <c:pt idx="267">
                  <c:v>-4.0470871331990455E-2</c:v>
                </c:pt>
                <c:pt idx="268">
                  <c:v>-1.5337497192213001E-2</c:v>
                </c:pt>
                <c:pt idx="269">
                  <c:v>-1.8691544335748267E-2</c:v>
                </c:pt>
                <c:pt idx="270">
                  <c:v>-1.3830309373996652E-4</c:v>
                </c:pt>
                <c:pt idx="271">
                  <c:v>-4.7029642764245816E-2</c:v>
                </c:pt>
                <c:pt idx="272">
                  <c:v>6.435973794790506E-2</c:v>
                </c:pt>
                <c:pt idx="273">
                  <c:v>2.45554330751796E-2</c:v>
                </c:pt>
                <c:pt idx="274">
                  <c:v>1.2396677349632901E-2</c:v>
                </c:pt>
                <c:pt idx="275">
                  <c:v>9.7960039320263981E-3</c:v>
                </c:pt>
                <c:pt idx="276">
                  <c:v>4.2845489519224067E-2</c:v>
                </c:pt>
                <c:pt idx="277">
                  <c:v>-2.4806158186232663E-2</c:v>
                </c:pt>
                <c:pt idx="278">
                  <c:v>4.5309969726750277E-2</c:v>
                </c:pt>
                <c:pt idx="279">
                  <c:v>2.1292834240337566E-2</c:v>
                </c:pt>
                <c:pt idx="280">
                  <c:v>-9.0841414044235069E-2</c:v>
                </c:pt>
                <c:pt idx="281">
                  <c:v>-1.6380048964660054E-2</c:v>
                </c:pt>
                <c:pt idx="282">
                  <c:v>3.6636093161553029E-2</c:v>
                </c:pt>
                <c:pt idx="283">
                  <c:v>4.0160725473000758E-2</c:v>
                </c:pt>
                <c:pt idx="284">
                  <c:v>7.722023046916382E-3</c:v>
                </c:pt>
                <c:pt idx="285">
                  <c:v>-9.0421494997611096E-2</c:v>
                </c:pt>
                <c:pt idx="286">
                  <c:v>-8.5088451216637218E-2</c:v>
                </c:pt>
                <c:pt idx="287">
                  <c:v>-2.7624086354643973E-3</c:v>
                </c:pt>
                <c:pt idx="288">
                  <c:v>-6.463567969551165E-3</c:v>
                </c:pt>
                <c:pt idx="289">
                  <c:v>3.9010662824585207E-2</c:v>
                </c:pt>
                <c:pt idx="290">
                  <c:v>6.4220949346425193E-3</c:v>
                </c:pt>
                <c:pt idx="291">
                  <c:v>2.9170413870445833E-2</c:v>
                </c:pt>
                <c:pt idx="292">
                  <c:v>-1.8600491664805818E-2</c:v>
                </c:pt>
                <c:pt idx="293">
                  <c:v>-2.3465779529726727E-2</c:v>
                </c:pt>
                <c:pt idx="294">
                  <c:v>-1.7559985135172651E-2</c:v>
                </c:pt>
                <c:pt idx="295">
                  <c:v>0.14280443906199269</c:v>
                </c:pt>
                <c:pt idx="296">
                  <c:v>1.5267201506206751E-2</c:v>
                </c:pt>
                <c:pt idx="297">
                  <c:v>-4.8454462052407887E-2</c:v>
                </c:pt>
                <c:pt idx="298">
                  <c:v>4.5654037613282572E-2</c:v>
                </c:pt>
                <c:pt idx="299">
                  <c:v>-1.4273726152136623E-2</c:v>
                </c:pt>
                <c:pt idx="300">
                  <c:v>-5.3662702446620858E-2</c:v>
                </c:pt>
                <c:pt idx="301">
                  <c:v>3.7803788413397044E-2</c:v>
                </c:pt>
                <c:pt idx="302">
                  <c:v>6.0711752055264689E-3</c:v>
                </c:pt>
                <c:pt idx="303">
                  <c:v>-3.2758629477973589E-2</c:v>
                </c:pt>
                <c:pt idx="304">
                  <c:v>-8.021403783061043E-3</c:v>
                </c:pt>
                <c:pt idx="305">
                  <c:v>2.6055701605677717E-2</c:v>
                </c:pt>
                <c:pt idx="306">
                  <c:v>4.3783003853610225E-3</c:v>
                </c:pt>
                <c:pt idx="307">
                  <c:v>-1.482127919234888E-2</c:v>
                </c:pt>
                <c:pt idx="308">
                  <c:v>3.274335215166313E-2</c:v>
                </c:pt>
                <c:pt idx="309">
                  <c:v>8.5691763637107954E-4</c:v>
                </c:pt>
                <c:pt idx="310">
                  <c:v>3.4246541787590346E-2</c:v>
                </c:pt>
              </c:numCache>
            </c:numRef>
          </c:xVal>
          <c:yVal>
            <c:numRef>
              <c:f>'CAPM Beta '!$Y$7:$Y$317</c:f>
              <c:numCache>
                <c:formatCode>0.00%</c:formatCode>
                <c:ptCount val="311"/>
                <c:pt idx="0">
                  <c:v>5.3631257548560907E-3</c:v>
                </c:pt>
                <c:pt idx="1">
                  <c:v>1.2172693808391921E-2</c:v>
                </c:pt>
                <c:pt idx="2">
                  <c:v>1.4676303970036386E-2</c:v>
                </c:pt>
                <c:pt idx="3">
                  <c:v>8.5330729514729864E-3</c:v>
                </c:pt>
                <c:pt idx="4">
                  <c:v>8.8519799426265422E-3</c:v>
                </c:pt>
                <c:pt idx="5">
                  <c:v>-3.2591098755661019E-3</c:v>
                </c:pt>
                <c:pt idx="6">
                  <c:v>9.8672281429743602E-3</c:v>
                </c:pt>
                <c:pt idx="7">
                  <c:v>1.5695520733274293E-3</c:v>
                </c:pt>
                <c:pt idx="8">
                  <c:v>7.2761577280520129E-3</c:v>
                </c:pt>
                <c:pt idx="9">
                  <c:v>1.6542514853338908E-2</c:v>
                </c:pt>
                <c:pt idx="10">
                  <c:v>5.8363132599172918E-3</c:v>
                </c:pt>
                <c:pt idx="11">
                  <c:v>-1.5956450404117639E-3</c:v>
                </c:pt>
                <c:pt idx="12">
                  <c:v>9.4285667277436147E-3</c:v>
                </c:pt>
                <c:pt idx="13">
                  <c:v>1.9682428410166652E-2</c:v>
                </c:pt>
                <c:pt idx="14">
                  <c:v>-1.0256469291524239E-2</c:v>
                </c:pt>
                <c:pt idx="15">
                  <c:v>-2.1226092725387669E-2</c:v>
                </c:pt>
                <c:pt idx="16">
                  <c:v>3.1681694978628938E-2</c:v>
                </c:pt>
                <c:pt idx="17">
                  <c:v>1.576157531382294E-2</c:v>
                </c:pt>
                <c:pt idx="18">
                  <c:v>-1.254671767375326E-2</c:v>
                </c:pt>
                <c:pt idx="19">
                  <c:v>-0.11490675733559286</c:v>
                </c:pt>
                <c:pt idx="20">
                  <c:v>6.1438033268914616E-3</c:v>
                </c:pt>
                <c:pt idx="21">
                  <c:v>-8.7926498838422962E-2</c:v>
                </c:pt>
                <c:pt idx="22">
                  <c:v>-0.14979605267779128</c:v>
                </c:pt>
                <c:pt idx="23">
                  <c:v>0.10262831544954354</c:v>
                </c:pt>
                <c:pt idx="24">
                  <c:v>-2.0783274627778403E-2</c:v>
                </c:pt>
                <c:pt idx="25">
                  <c:v>0.12101749054054989</c:v>
                </c:pt>
                <c:pt idx="26">
                  <c:v>3.037471527122837E-2</c:v>
                </c:pt>
                <c:pt idx="27">
                  <c:v>-1.3156819683175058E-2</c:v>
                </c:pt>
                <c:pt idx="28">
                  <c:v>-2.1256898121201351E-3</c:v>
                </c:pt>
                <c:pt idx="29">
                  <c:v>3.5005383546185431E-2</c:v>
                </c:pt>
                <c:pt idx="30">
                  <c:v>-2.2561299936727397E-2</c:v>
                </c:pt>
                <c:pt idx="31">
                  <c:v>3.2038971108846237E-2</c:v>
                </c:pt>
                <c:pt idx="32">
                  <c:v>3.0066524180739629E-2</c:v>
                </c:pt>
                <c:pt idx="33">
                  <c:v>4.914738320576606E-2</c:v>
                </c:pt>
                <c:pt idx="34">
                  <c:v>-4.7784352291184717E-2</c:v>
                </c:pt>
                <c:pt idx="35">
                  <c:v>1.8554481638980658E-2</c:v>
                </c:pt>
                <c:pt idx="36">
                  <c:v>-2.8630531189139496E-2</c:v>
                </c:pt>
                <c:pt idx="37">
                  <c:v>4.019872018566395E-2</c:v>
                </c:pt>
                <c:pt idx="38">
                  <c:v>1.7581422783052192E-2</c:v>
                </c:pt>
                <c:pt idx="39">
                  <c:v>1.2461363411284676E-2</c:v>
                </c:pt>
                <c:pt idx="40">
                  <c:v>-2.8219719825742784E-3</c:v>
                </c:pt>
                <c:pt idx="41">
                  <c:v>1.7256412086351869E-2</c:v>
                </c:pt>
                <c:pt idx="42">
                  <c:v>2.4505340445369006E-2</c:v>
                </c:pt>
                <c:pt idx="43">
                  <c:v>6.436367051040115E-3</c:v>
                </c:pt>
                <c:pt idx="44">
                  <c:v>7.207499221509206E-3</c:v>
                </c:pt>
                <c:pt idx="45">
                  <c:v>3.2630226578713062E-2</c:v>
                </c:pt>
                <c:pt idx="46">
                  <c:v>-2.3104280946319222E-2</c:v>
                </c:pt>
                <c:pt idx="47">
                  <c:v>-2.5092207441738235E-2</c:v>
                </c:pt>
                <c:pt idx="48">
                  <c:v>-6.4352568830408075E-3</c:v>
                </c:pt>
                <c:pt idx="49">
                  <c:v>-6.3293266548739568E-3</c:v>
                </c:pt>
                <c:pt idx="50">
                  <c:v>1.5146450625188157E-2</c:v>
                </c:pt>
                <c:pt idx="51">
                  <c:v>3.8442003603611941E-2</c:v>
                </c:pt>
                <c:pt idx="52">
                  <c:v>1.9182909579975593E-3</c:v>
                </c:pt>
                <c:pt idx="53">
                  <c:v>-5.2873623147698945E-3</c:v>
                </c:pt>
                <c:pt idx="54">
                  <c:v>-5.6394788955545838E-2</c:v>
                </c:pt>
                <c:pt idx="55">
                  <c:v>7.3236364765790762E-2</c:v>
                </c:pt>
                <c:pt idx="56">
                  <c:v>2.1573231684131056E-2</c:v>
                </c:pt>
                <c:pt idx="57">
                  <c:v>-7.7011740187489242E-3</c:v>
                </c:pt>
                <c:pt idx="58">
                  <c:v>2.2715150836375431E-2</c:v>
                </c:pt>
                <c:pt idx="59">
                  <c:v>1.6702631110292687E-2</c:v>
                </c:pt>
                <c:pt idx="60">
                  <c:v>-9.6401725600392396E-3</c:v>
                </c:pt>
                <c:pt idx="61">
                  <c:v>1.2542774224865827E-2</c:v>
                </c:pt>
                <c:pt idx="62">
                  <c:v>-1.711823084015518E-3</c:v>
                </c:pt>
                <c:pt idx="63">
                  <c:v>1.4315190390337795E-2</c:v>
                </c:pt>
                <c:pt idx="64">
                  <c:v>1.8266396002356355E-2</c:v>
                </c:pt>
                <c:pt idx="65">
                  <c:v>-1.4754157903199783E-2</c:v>
                </c:pt>
                <c:pt idx="66">
                  <c:v>1.9430762476779773E-2</c:v>
                </c:pt>
                <c:pt idx="67">
                  <c:v>-3.3120128867091592E-2</c:v>
                </c:pt>
                <c:pt idx="68">
                  <c:v>4.6467134149760225E-2</c:v>
                </c:pt>
                <c:pt idx="69">
                  <c:v>1.2349395017328568E-2</c:v>
                </c:pt>
                <c:pt idx="70">
                  <c:v>-7.1464629041616545E-3</c:v>
                </c:pt>
                <c:pt idx="71">
                  <c:v>-2.446049477674006E-2</c:v>
                </c:pt>
                <c:pt idx="72">
                  <c:v>8.0789367648763655E-3</c:v>
                </c:pt>
                <c:pt idx="73">
                  <c:v>2.6392954609087305E-2</c:v>
                </c:pt>
                <c:pt idx="74">
                  <c:v>-7.6686234411373899E-3</c:v>
                </c:pt>
                <c:pt idx="75">
                  <c:v>1.57010911739901E-2</c:v>
                </c:pt>
                <c:pt idx="76">
                  <c:v>1.1405112963887021E-2</c:v>
                </c:pt>
                <c:pt idx="77">
                  <c:v>2.7097812696548651E-2</c:v>
                </c:pt>
                <c:pt idx="78">
                  <c:v>1.3725637676089475E-2</c:v>
                </c:pt>
                <c:pt idx="79">
                  <c:v>-1.2663554383812725E-3</c:v>
                </c:pt>
                <c:pt idx="80">
                  <c:v>2.3922472499671166E-4</c:v>
                </c:pt>
                <c:pt idx="81">
                  <c:v>1.23004270915128E-2</c:v>
                </c:pt>
                <c:pt idx="82">
                  <c:v>-1.3880356906983082E-2</c:v>
                </c:pt>
                <c:pt idx="83">
                  <c:v>-4.3102253205264951E-3</c:v>
                </c:pt>
                <c:pt idx="84">
                  <c:v>1.1610112368395376E-2</c:v>
                </c:pt>
                <c:pt idx="85">
                  <c:v>6.1321597855148458E-3</c:v>
                </c:pt>
                <c:pt idx="86">
                  <c:v>4.1489977565030145E-3</c:v>
                </c:pt>
                <c:pt idx="87">
                  <c:v>-1.9067896712139487E-2</c:v>
                </c:pt>
                <c:pt idx="88">
                  <c:v>2.7421424628701452E-2</c:v>
                </c:pt>
                <c:pt idx="89">
                  <c:v>1.6735497738418426E-2</c:v>
                </c:pt>
                <c:pt idx="90">
                  <c:v>3.9541859219043296E-3</c:v>
                </c:pt>
                <c:pt idx="91">
                  <c:v>-9.7011477914785704E-3</c:v>
                </c:pt>
                <c:pt idx="92">
                  <c:v>1.9557834643643579E-2</c:v>
                </c:pt>
                <c:pt idx="93">
                  <c:v>-3.746840464106227E-3</c:v>
                </c:pt>
                <c:pt idx="94">
                  <c:v>9.3874437704326574E-3</c:v>
                </c:pt>
                <c:pt idx="95">
                  <c:v>7.0956471130894094E-3</c:v>
                </c:pt>
                <c:pt idx="96">
                  <c:v>-5.8930344952998759E-3</c:v>
                </c:pt>
                <c:pt idx="97">
                  <c:v>1.5242059068612868E-2</c:v>
                </c:pt>
                <c:pt idx="98">
                  <c:v>5.7790906305121847E-3</c:v>
                </c:pt>
                <c:pt idx="99">
                  <c:v>-1.6944389986780495E-2</c:v>
                </c:pt>
                <c:pt idx="100">
                  <c:v>-5.7394603890935647E-3</c:v>
                </c:pt>
                <c:pt idx="101">
                  <c:v>5.0732676826934497E-3</c:v>
                </c:pt>
                <c:pt idx="102">
                  <c:v>-2.2094127195672719E-2</c:v>
                </c:pt>
                <c:pt idx="103">
                  <c:v>7.8722720883879216E-3</c:v>
                </c:pt>
                <c:pt idx="104">
                  <c:v>1.822456841991027E-2</c:v>
                </c:pt>
                <c:pt idx="105">
                  <c:v>1.6444575874765777E-2</c:v>
                </c:pt>
                <c:pt idx="106">
                  <c:v>1.3307219469797626E-2</c:v>
                </c:pt>
                <c:pt idx="107">
                  <c:v>2.0009185927887918E-2</c:v>
                </c:pt>
                <c:pt idx="108">
                  <c:v>-3.1249801856256809E-3</c:v>
                </c:pt>
                <c:pt idx="109">
                  <c:v>3.2266382579302366E-3</c:v>
                </c:pt>
                <c:pt idx="110">
                  <c:v>-2.1996748505574315E-2</c:v>
                </c:pt>
                <c:pt idx="111">
                  <c:v>-1.2229507548633944E-2</c:v>
                </c:pt>
                <c:pt idx="112">
                  <c:v>3.824887395565546E-2</c:v>
                </c:pt>
                <c:pt idx="113">
                  <c:v>-1.9392931785886303E-2</c:v>
                </c:pt>
                <c:pt idx="114">
                  <c:v>2.2756566023862668E-2</c:v>
                </c:pt>
                <c:pt idx="115">
                  <c:v>8.5467480325813749E-3</c:v>
                </c:pt>
                <c:pt idx="116">
                  <c:v>-1.8704788181950538E-2</c:v>
                </c:pt>
                <c:pt idx="117">
                  <c:v>-3.031771904682512E-3</c:v>
                </c:pt>
                <c:pt idx="118">
                  <c:v>-5.6812925721793084E-2</c:v>
                </c:pt>
                <c:pt idx="119">
                  <c:v>7.7104636947717964E-3</c:v>
                </c:pt>
                <c:pt idx="120">
                  <c:v>1.5496843527338822E-2</c:v>
                </c:pt>
                <c:pt idx="121">
                  <c:v>-1.8195557489162795E-2</c:v>
                </c:pt>
                <c:pt idx="122">
                  <c:v>-1.5789930243801376E-2</c:v>
                </c:pt>
                <c:pt idx="123">
                  <c:v>8.2273749714534272E-3</c:v>
                </c:pt>
                <c:pt idx="124">
                  <c:v>-1.2721605236129307E-2</c:v>
                </c:pt>
                <c:pt idx="125">
                  <c:v>-2.8774265621690165E-2</c:v>
                </c:pt>
                <c:pt idx="126">
                  <c:v>6.155827115194179E-2</c:v>
                </c:pt>
                <c:pt idx="127">
                  <c:v>1.791122338348039E-2</c:v>
                </c:pt>
                <c:pt idx="128">
                  <c:v>6.1628168049510101E-4</c:v>
                </c:pt>
                <c:pt idx="129">
                  <c:v>-1.2666487717779784E-2</c:v>
                </c:pt>
                <c:pt idx="130">
                  <c:v>-2.1319959090500107E-2</c:v>
                </c:pt>
                <c:pt idx="131">
                  <c:v>-2.7503150280612898E-2</c:v>
                </c:pt>
                <c:pt idx="132">
                  <c:v>-3.2738019375660454E-2</c:v>
                </c:pt>
                <c:pt idx="133">
                  <c:v>-2.0790119062517043E-3</c:v>
                </c:pt>
                <c:pt idx="134">
                  <c:v>-2.4118785969732159E-2</c:v>
                </c:pt>
                <c:pt idx="135">
                  <c:v>-3.045058101173459E-2</c:v>
                </c:pt>
                <c:pt idx="136">
                  <c:v>6.5843736512412931E-2</c:v>
                </c:pt>
                <c:pt idx="137">
                  <c:v>-1.1952218369117418E-2</c:v>
                </c:pt>
                <c:pt idx="138">
                  <c:v>-5.0548352861619961E-2</c:v>
                </c:pt>
                <c:pt idx="139">
                  <c:v>-5.794107281653571E-2</c:v>
                </c:pt>
                <c:pt idx="140">
                  <c:v>6.4465363574427448E-2</c:v>
                </c:pt>
                <c:pt idx="141">
                  <c:v>-2.2089891538061512E-2</c:v>
                </c:pt>
                <c:pt idx="142">
                  <c:v>1.935775558583841E-2</c:v>
                </c:pt>
                <c:pt idx="143">
                  <c:v>-9.2886489112726789E-3</c:v>
                </c:pt>
                <c:pt idx="144">
                  <c:v>2.5489488642306268E-2</c:v>
                </c:pt>
                <c:pt idx="145">
                  <c:v>4.2573425897691974E-2</c:v>
                </c:pt>
                <c:pt idx="146">
                  <c:v>3.6074711952025496E-3</c:v>
                </c:pt>
                <c:pt idx="147">
                  <c:v>3.2558209115916892E-2</c:v>
                </c:pt>
                <c:pt idx="148">
                  <c:v>-1.207198884476135E-2</c:v>
                </c:pt>
                <c:pt idx="149">
                  <c:v>-4.0397511433987843E-2</c:v>
                </c:pt>
                <c:pt idx="150">
                  <c:v>-3.2876067791103303E-2</c:v>
                </c:pt>
                <c:pt idx="151">
                  <c:v>3.646549853988823E-2</c:v>
                </c:pt>
                <c:pt idx="152">
                  <c:v>-4.7704167856399193E-2</c:v>
                </c:pt>
                <c:pt idx="153">
                  <c:v>-4.6497482534055723E-2</c:v>
                </c:pt>
                <c:pt idx="154">
                  <c:v>-2.9137059931369835E-2</c:v>
                </c:pt>
                <c:pt idx="155">
                  <c:v>1.5071254944950097E-2</c:v>
                </c:pt>
                <c:pt idx="156">
                  <c:v>-1.554811304257353E-2</c:v>
                </c:pt>
                <c:pt idx="157">
                  <c:v>4.735601827577951E-2</c:v>
                </c:pt>
                <c:pt idx="158">
                  <c:v>3.9520367355605934E-2</c:v>
                </c:pt>
                <c:pt idx="159">
                  <c:v>-3.3455011664873191E-2</c:v>
                </c:pt>
                <c:pt idx="160">
                  <c:v>5.8978101320154908E-2</c:v>
                </c:pt>
                <c:pt idx="161">
                  <c:v>-6.9096739042109334E-3</c:v>
                </c:pt>
                <c:pt idx="162">
                  <c:v>1.5327822569994876E-2</c:v>
                </c:pt>
                <c:pt idx="163">
                  <c:v>1.1321031826595274E-2</c:v>
                </c:pt>
                <c:pt idx="164">
                  <c:v>-3.3725488126857939E-2</c:v>
                </c:pt>
                <c:pt idx="165">
                  <c:v>-2.0846938484240352E-2</c:v>
                </c:pt>
                <c:pt idx="166">
                  <c:v>-1.9572518799511052E-3</c:v>
                </c:pt>
                <c:pt idx="167">
                  <c:v>-1.3836976151774261E-3</c:v>
                </c:pt>
                <c:pt idx="168">
                  <c:v>1.4475863556452584E-2</c:v>
                </c:pt>
                <c:pt idx="169">
                  <c:v>2.67029194983055E-2</c:v>
                </c:pt>
                <c:pt idx="170">
                  <c:v>-6.6215013632556774E-3</c:v>
                </c:pt>
                <c:pt idx="171">
                  <c:v>2.4656321290850824E-2</c:v>
                </c:pt>
                <c:pt idx="172">
                  <c:v>1.6194312558005519E-2</c:v>
                </c:pt>
                <c:pt idx="173">
                  <c:v>-1.1125406081630485E-2</c:v>
                </c:pt>
                <c:pt idx="174">
                  <c:v>-2.7796074660193515E-3</c:v>
                </c:pt>
                <c:pt idx="175">
                  <c:v>-2.6733915279747333E-2</c:v>
                </c:pt>
                <c:pt idx="176">
                  <c:v>1.9042592208585729E-2</c:v>
                </c:pt>
                <c:pt idx="177">
                  <c:v>-4.5493373007604143E-2</c:v>
                </c:pt>
                <c:pt idx="178">
                  <c:v>1.4255734926430508E-2</c:v>
                </c:pt>
                <c:pt idx="179">
                  <c:v>1.3876715538551521E-2</c:v>
                </c:pt>
                <c:pt idx="180">
                  <c:v>3.4832640903033729E-2</c:v>
                </c:pt>
                <c:pt idx="181">
                  <c:v>-1.043980376591036E-3</c:v>
                </c:pt>
                <c:pt idx="182">
                  <c:v>7.9463966149486698E-3</c:v>
                </c:pt>
                <c:pt idx="183">
                  <c:v>-9.9576498954967452E-4</c:v>
                </c:pt>
                <c:pt idx="184">
                  <c:v>8.6995976232329131E-3</c:v>
                </c:pt>
                <c:pt idx="185">
                  <c:v>-7.9698141313570003E-3</c:v>
                </c:pt>
                <c:pt idx="186">
                  <c:v>-2.9422597461469246E-3</c:v>
                </c:pt>
                <c:pt idx="187">
                  <c:v>1.6464254102122267E-2</c:v>
                </c:pt>
                <c:pt idx="188">
                  <c:v>3.2133299554173433E-3</c:v>
                </c:pt>
                <c:pt idx="189">
                  <c:v>1.8290532119661584E-2</c:v>
                </c:pt>
                <c:pt idx="190">
                  <c:v>3.850612077542559E-3</c:v>
                </c:pt>
                <c:pt idx="191">
                  <c:v>2.5757987929439397E-2</c:v>
                </c:pt>
                <c:pt idx="192">
                  <c:v>-1.3892395391790768E-2</c:v>
                </c:pt>
                <c:pt idx="193">
                  <c:v>2.3468734630077481E-2</c:v>
                </c:pt>
                <c:pt idx="194">
                  <c:v>-1.1556246624838229E-2</c:v>
                </c:pt>
                <c:pt idx="195">
                  <c:v>2.4203439874348476E-2</c:v>
                </c:pt>
                <c:pt idx="196">
                  <c:v>6.8628279741196341E-3</c:v>
                </c:pt>
                <c:pt idx="197">
                  <c:v>1.0116115260186298E-2</c:v>
                </c:pt>
                <c:pt idx="198">
                  <c:v>-2.2740062318268972E-2</c:v>
                </c:pt>
                <c:pt idx="199">
                  <c:v>-3.1219043060166651E-3</c:v>
                </c:pt>
                <c:pt idx="200">
                  <c:v>-2.1133241759744292E-2</c:v>
                </c:pt>
                <c:pt idx="201">
                  <c:v>8.238533065539233E-3</c:v>
                </c:pt>
                <c:pt idx="202">
                  <c:v>2.498123107730188E-2</c:v>
                </c:pt>
                <c:pt idx="203">
                  <c:v>-1.2905835528422172E-2</c:v>
                </c:pt>
                <c:pt idx="204">
                  <c:v>-1.6086204970128248E-3</c:v>
                </c:pt>
                <c:pt idx="205">
                  <c:v>-2.9269753808731536E-2</c:v>
                </c:pt>
                <c:pt idx="206">
                  <c:v>-7.4096779841227312E-3</c:v>
                </c:pt>
                <c:pt idx="207">
                  <c:v>4.7691132901825917E-3</c:v>
                </c:pt>
                <c:pt idx="208">
                  <c:v>4.4748253815132255E-3</c:v>
                </c:pt>
                <c:pt idx="209">
                  <c:v>-2.3942906998561386E-2</c:v>
                </c:pt>
                <c:pt idx="210">
                  <c:v>-2.5280774192355193E-2</c:v>
                </c:pt>
                <c:pt idx="211">
                  <c:v>5.8525155549315144E-2</c:v>
                </c:pt>
                <c:pt idx="212">
                  <c:v>1.3055519455784648E-2</c:v>
                </c:pt>
                <c:pt idx="213">
                  <c:v>2.2372459914456355E-2</c:v>
                </c:pt>
                <c:pt idx="214">
                  <c:v>1.0039792473817144E-2</c:v>
                </c:pt>
                <c:pt idx="215">
                  <c:v>7.740164206200939E-3</c:v>
                </c:pt>
                <c:pt idx="216">
                  <c:v>2.1199170822086E-3</c:v>
                </c:pt>
                <c:pt idx="217">
                  <c:v>2.4937140433203497E-2</c:v>
                </c:pt>
                <c:pt idx="218">
                  <c:v>7.509751005209564E-3</c:v>
                </c:pt>
                <c:pt idx="219">
                  <c:v>3.1969250366779001E-3</c:v>
                </c:pt>
                <c:pt idx="220">
                  <c:v>-1.5218538723822839E-2</c:v>
                </c:pt>
                <c:pt idx="221">
                  <c:v>1.8434195278394405E-2</c:v>
                </c:pt>
                <c:pt idx="222">
                  <c:v>1.1701916571980497E-2</c:v>
                </c:pt>
                <c:pt idx="223">
                  <c:v>1.0570695054273438E-2</c:v>
                </c:pt>
                <c:pt idx="224">
                  <c:v>1.3829495062599007E-2</c:v>
                </c:pt>
                <c:pt idx="225">
                  <c:v>1.3713520900997533E-2</c:v>
                </c:pt>
                <c:pt idx="226">
                  <c:v>-4.1857314641016163E-3</c:v>
                </c:pt>
                <c:pt idx="227">
                  <c:v>1.6627473672638393E-2</c:v>
                </c:pt>
                <c:pt idx="228">
                  <c:v>9.4875560624387845E-3</c:v>
                </c:pt>
                <c:pt idx="229">
                  <c:v>-2.6065656978501162E-3</c:v>
                </c:pt>
                <c:pt idx="230">
                  <c:v>-1.2881532121825634E-3</c:v>
                </c:pt>
                <c:pt idx="231">
                  <c:v>2.2882211492585736E-2</c:v>
                </c:pt>
                <c:pt idx="232">
                  <c:v>3.8535016368612673E-3</c:v>
                </c:pt>
                <c:pt idx="233">
                  <c:v>-9.5178762314596099E-3</c:v>
                </c:pt>
                <c:pt idx="234">
                  <c:v>-1.5550423287055359E-2</c:v>
                </c:pt>
                <c:pt idx="235">
                  <c:v>-3.0483637073390857E-2</c:v>
                </c:pt>
                <c:pt idx="236">
                  <c:v>2.6721126460954592E-2</c:v>
                </c:pt>
                <c:pt idx="237">
                  <c:v>5.4569209049013523E-3</c:v>
                </c:pt>
                <c:pt idx="238">
                  <c:v>1.8505074504980845E-2</c:v>
                </c:pt>
                <c:pt idx="239">
                  <c:v>1.5430744567456633E-2</c:v>
                </c:pt>
                <c:pt idx="240">
                  <c:v>2.7345304070114373E-4</c:v>
                </c:pt>
                <c:pt idx="241">
                  <c:v>-5.129478674975041E-3</c:v>
                </c:pt>
                <c:pt idx="242">
                  <c:v>1.3165388949644363E-2</c:v>
                </c:pt>
                <c:pt idx="243">
                  <c:v>1.5823829775731824E-2</c:v>
                </c:pt>
                <c:pt idx="244">
                  <c:v>6.0792434895009517E-3</c:v>
                </c:pt>
                <c:pt idx="245">
                  <c:v>-7.5762571413307001E-4</c:v>
                </c:pt>
                <c:pt idx="246">
                  <c:v>1.95422309612312E-2</c:v>
                </c:pt>
                <c:pt idx="247">
                  <c:v>8.6507118953866868E-3</c:v>
                </c:pt>
                <c:pt idx="248">
                  <c:v>-1.9651508051529709E-2</c:v>
                </c:pt>
                <c:pt idx="249">
                  <c:v>-8.3378569198455654E-3</c:v>
                </c:pt>
                <c:pt idx="250">
                  <c:v>-2.0615126495082348E-2</c:v>
                </c:pt>
                <c:pt idx="251">
                  <c:v>-4.4886849066483325E-4</c:v>
                </c:pt>
                <c:pt idx="252">
                  <c:v>3.9312041107955942E-2</c:v>
                </c:pt>
                <c:pt idx="253">
                  <c:v>1.4468175411846751E-2</c:v>
                </c:pt>
                <c:pt idx="254">
                  <c:v>2.4473813444236825E-3</c:v>
                </c:pt>
                <c:pt idx="255">
                  <c:v>-4.2486365097692991E-2</c:v>
                </c:pt>
                <c:pt idx="256">
                  <c:v>4.0233580380129252E-2</c:v>
                </c:pt>
                <c:pt idx="257">
                  <c:v>1.3602828445432147E-2</c:v>
                </c:pt>
                <c:pt idx="258">
                  <c:v>6.2463491608999444E-3</c:v>
                </c:pt>
                <c:pt idx="259">
                  <c:v>2.2480865013378981E-3</c:v>
                </c:pt>
                <c:pt idx="260">
                  <c:v>1.1121402259480995E-2</c:v>
                </c:pt>
                <c:pt idx="261">
                  <c:v>8.5365232084388953E-3</c:v>
                </c:pt>
                <c:pt idx="262">
                  <c:v>-9.6424531032124339E-3</c:v>
                </c:pt>
                <c:pt idx="263">
                  <c:v>-1.3656796157722972E-2</c:v>
                </c:pt>
                <c:pt idx="264">
                  <c:v>4.6561276963587472E-2</c:v>
                </c:pt>
                <c:pt idx="265">
                  <c:v>-2.0835474546265109E-2</c:v>
                </c:pt>
                <c:pt idx="266">
                  <c:v>1.6815894163118683E-2</c:v>
                </c:pt>
                <c:pt idx="267">
                  <c:v>1.0560638313883874E-2</c:v>
                </c:pt>
                <c:pt idx="268">
                  <c:v>9.596566834872311E-3</c:v>
                </c:pt>
                <c:pt idx="269">
                  <c:v>-6.4332411626415453E-3</c:v>
                </c:pt>
                <c:pt idx="270">
                  <c:v>-1.9870758689518042E-2</c:v>
                </c:pt>
                <c:pt idx="271">
                  <c:v>6.7426668075041274E-3</c:v>
                </c:pt>
                <c:pt idx="272">
                  <c:v>-4.7513632334228451E-3</c:v>
                </c:pt>
                <c:pt idx="273">
                  <c:v>-1.9424611585417084E-2</c:v>
                </c:pt>
                <c:pt idx="274">
                  <c:v>2.9109138782370536E-2</c:v>
                </c:pt>
                <c:pt idx="275">
                  <c:v>1.7439720677851378E-2</c:v>
                </c:pt>
                <c:pt idx="276">
                  <c:v>-9.9505095499602403E-3</c:v>
                </c:pt>
                <c:pt idx="277">
                  <c:v>-2.4069992696632569E-3</c:v>
                </c:pt>
                <c:pt idx="278">
                  <c:v>1.4709557266100237E-2</c:v>
                </c:pt>
                <c:pt idx="279">
                  <c:v>-1.6599532914543969E-2</c:v>
                </c:pt>
                <c:pt idx="280">
                  <c:v>-9.7503103966012361E-3</c:v>
                </c:pt>
                <c:pt idx="281">
                  <c:v>-3.0951348507431309E-2</c:v>
                </c:pt>
                <c:pt idx="282">
                  <c:v>-2.2747954917210822E-2</c:v>
                </c:pt>
                <c:pt idx="283">
                  <c:v>5.0754428110406646E-3</c:v>
                </c:pt>
                <c:pt idx="284">
                  <c:v>-1.5283493477260546E-2</c:v>
                </c:pt>
                <c:pt idx="285">
                  <c:v>-9.0819802506875713E-2</c:v>
                </c:pt>
                <c:pt idx="286">
                  <c:v>5.7011277059534793E-2</c:v>
                </c:pt>
                <c:pt idx="287">
                  <c:v>-1.5039018455756392E-2</c:v>
                </c:pt>
                <c:pt idx="288">
                  <c:v>4.5906403289777131E-2</c:v>
                </c:pt>
                <c:pt idx="289">
                  <c:v>2.9222411832129591E-2</c:v>
                </c:pt>
                <c:pt idx="290">
                  <c:v>-4.705700522912859E-3</c:v>
                </c:pt>
                <c:pt idx="291">
                  <c:v>5.2734004307985805E-2</c:v>
                </c:pt>
                <c:pt idx="292">
                  <c:v>-2.6107777894873285E-2</c:v>
                </c:pt>
                <c:pt idx="293">
                  <c:v>1.8761588414845765E-2</c:v>
                </c:pt>
                <c:pt idx="294">
                  <c:v>1.4999081946761805E-2</c:v>
                </c:pt>
                <c:pt idx="295">
                  <c:v>-3.8980409459491439E-3</c:v>
                </c:pt>
                <c:pt idx="296">
                  <c:v>-1.5275918677116751E-3</c:v>
                </c:pt>
                <c:pt idx="297">
                  <c:v>3.4389324419234146E-2</c:v>
                </c:pt>
                <c:pt idx="298">
                  <c:v>1.7216761913259271E-2</c:v>
                </c:pt>
                <c:pt idx="299">
                  <c:v>-3.1213576805608767E-3</c:v>
                </c:pt>
                <c:pt idx="300">
                  <c:v>5.9171754562881151E-3</c:v>
                </c:pt>
                <c:pt idx="301">
                  <c:v>1.458681281834906E-2</c:v>
                </c:pt>
                <c:pt idx="302">
                  <c:v>-2.3577845655760266E-2</c:v>
                </c:pt>
                <c:pt idx="303">
                  <c:v>2.4277042739179855E-2</c:v>
                </c:pt>
                <c:pt idx="304">
                  <c:v>9.4451959918671058E-3</c:v>
                </c:pt>
                <c:pt idx="305">
                  <c:v>2.6528500233549135E-3</c:v>
                </c:pt>
                <c:pt idx="306">
                  <c:v>-1.0283722000641315E-3</c:v>
                </c:pt>
                <c:pt idx="307">
                  <c:v>3.2878297693259562E-3</c:v>
                </c:pt>
                <c:pt idx="308">
                  <c:v>1.5858989286816394E-2</c:v>
                </c:pt>
                <c:pt idx="309">
                  <c:v>1.2160737717160197E-2</c:v>
                </c:pt>
                <c:pt idx="310">
                  <c:v>-3.1000228667991125E-3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4A-4104-B400-2F8439F5F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057896"/>
        <c:axId val="1291060520"/>
      </c:scatterChart>
      <c:valAx>
        <c:axId val="1291057896"/>
        <c:scaling>
          <c:orientation val="minMax"/>
        </c:scaling>
        <c:delete val="0"/>
        <c:axPos val="b"/>
        <c:numFmt formatCode="_(#,##0.0%_);\(#,##0.0%\);_(&quot;–&quot;_)_%;_(@_)_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291060520"/>
        <c:crosses val="autoZero"/>
        <c:crossBetween val="midCat"/>
      </c:valAx>
      <c:valAx>
        <c:axId val="1291060520"/>
        <c:scaling>
          <c:orientation val="minMax"/>
        </c:scaling>
        <c:delete val="0"/>
        <c:axPos val="l"/>
        <c:numFmt formatCode="_(#,##0.0%_);\(#,##0.0%\);_(&quot;–&quot;_)_%;_(@_)_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291057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132E57"/>
              </a:solidFill>
              <a:ln w="9525">
                <a:noFill/>
              </a:ln>
              <a:effectLst/>
            </c:spPr>
          </c:marker>
          <c:trendline>
            <c:spPr>
              <a:ln w="28575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4044553805774279"/>
                  <c:y val="-0.185002916302128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latin typeface="Open Sans" panose="020B0606030504020204" pitchFamily="34" charset="0"/>
                      <a:ea typeface="Open Sans" panose="020B0606030504020204" pitchFamily="34" charset="0"/>
                      <a:cs typeface="Open Sans" panose="020B0606030504020204" pitchFamily="34" charset="0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2101428709585051E-2"/>
                  <c:y val="-0.115046251634617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latin typeface="Open Sans" panose="020B0606030504020204" pitchFamily="34" charset="0"/>
                      <a:ea typeface="Open Sans" panose="020B0606030504020204" pitchFamily="34" charset="0"/>
                      <a:cs typeface="Open Sans" panose="020B0606030504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'CAPM Beta '!$W$7:$W$319</c:f>
              <c:numCache>
                <c:formatCode>0.00%</c:formatCode>
                <c:ptCount val="313"/>
                <c:pt idx="0">
                  <c:v>9.0278336765656775E-3</c:v>
                </c:pt>
                <c:pt idx="1">
                  <c:v>9.0846357990998161E-2</c:v>
                </c:pt>
                <c:pt idx="2">
                  <c:v>3.722419343350869E-2</c:v>
                </c:pt>
                <c:pt idx="3">
                  <c:v>-3.7712923733014159E-2</c:v>
                </c:pt>
                <c:pt idx="4">
                  <c:v>-2.4020505699511641E-2</c:v>
                </c:pt>
                <c:pt idx="5">
                  <c:v>-6.1559349039080891E-3</c:v>
                </c:pt>
                <c:pt idx="6">
                  <c:v>-3.4098443753820207E-2</c:v>
                </c:pt>
                <c:pt idx="7">
                  <c:v>5.2953022236544633E-2</c:v>
                </c:pt>
                <c:pt idx="8">
                  <c:v>-1.2894650725982504E-2</c:v>
                </c:pt>
                <c:pt idx="9">
                  <c:v>1.6329126492364177E-2</c:v>
                </c:pt>
                <c:pt idx="10">
                  <c:v>2.3136108423329915E-2</c:v>
                </c:pt>
                <c:pt idx="11">
                  <c:v>4.3967882810016512E-3</c:v>
                </c:pt>
                <c:pt idx="12">
                  <c:v>-2.1888397554300942E-2</c:v>
                </c:pt>
                <c:pt idx="13">
                  <c:v>-3.0690388504999055E-2</c:v>
                </c:pt>
                <c:pt idx="14">
                  <c:v>-2.5725940743989706E-2</c:v>
                </c:pt>
                <c:pt idx="15">
                  <c:v>-4.4685058998078953E-2</c:v>
                </c:pt>
                <c:pt idx="16">
                  <c:v>3.3309819272473673E-2</c:v>
                </c:pt>
                <c:pt idx="17">
                  <c:v>4.1150573012709302E-3</c:v>
                </c:pt>
                <c:pt idx="18">
                  <c:v>-4.1666671163968383E-2</c:v>
                </c:pt>
                <c:pt idx="19">
                  <c:v>-0.13756212705325188</c:v>
                </c:pt>
                <c:pt idx="20">
                  <c:v>-0.13057857650582827</c:v>
                </c:pt>
                <c:pt idx="21">
                  <c:v>-0.37452484076241765</c:v>
                </c:pt>
                <c:pt idx="22">
                  <c:v>-0.26291802510215889</c:v>
                </c:pt>
                <c:pt idx="23">
                  <c:v>7.0103274833300144E-2</c:v>
                </c:pt>
                <c:pt idx="24">
                  <c:v>0.10982665911188239</c:v>
                </c:pt>
                <c:pt idx="25">
                  <c:v>0.16666655236026484</c:v>
                </c:pt>
                <c:pt idx="26">
                  <c:v>-4.01785147419218E-2</c:v>
                </c:pt>
                <c:pt idx="27">
                  <c:v>-0.12248058302703191</c:v>
                </c:pt>
                <c:pt idx="28">
                  <c:v>0.16077758406405218</c:v>
                </c:pt>
                <c:pt idx="29">
                  <c:v>4.4139635443389169E-2</c:v>
                </c:pt>
                <c:pt idx="30">
                  <c:v>-0.11078698901100881</c:v>
                </c:pt>
                <c:pt idx="31">
                  <c:v>0.15737694089121645</c:v>
                </c:pt>
                <c:pt idx="32">
                  <c:v>8.0736709238420801E-2</c:v>
                </c:pt>
                <c:pt idx="33">
                  <c:v>0.21756177450992675</c:v>
                </c:pt>
                <c:pt idx="34">
                  <c:v>-8.719029730030381E-2</c:v>
                </c:pt>
                <c:pt idx="35">
                  <c:v>-8.2544412052164562E-3</c:v>
                </c:pt>
                <c:pt idx="36">
                  <c:v>-4.518454043740272E-2</c:v>
                </c:pt>
                <c:pt idx="37">
                  <c:v>5.6039817967359573E-2</c:v>
                </c:pt>
                <c:pt idx="38">
                  <c:v>2.5943514447485327E-2</c:v>
                </c:pt>
                <c:pt idx="39">
                  <c:v>9.1954183740539097E-3</c:v>
                </c:pt>
                <c:pt idx="40">
                  <c:v>2.5056788542352049E-2</c:v>
                </c:pt>
                <c:pt idx="41">
                  <c:v>-2.756969743044746E-2</c:v>
                </c:pt>
                <c:pt idx="42">
                  <c:v>-5.7670250782807519E-3</c:v>
                </c:pt>
                <c:pt idx="43">
                  <c:v>-1.1601497943426464E-3</c:v>
                </c:pt>
                <c:pt idx="44">
                  <c:v>-4.1811812164877726E-2</c:v>
                </c:pt>
                <c:pt idx="45">
                  <c:v>3.0303191298103549E-2</c:v>
                </c:pt>
                <c:pt idx="46">
                  <c:v>3.6470809448100772E-2</c:v>
                </c:pt>
                <c:pt idx="47">
                  <c:v>-6.0159268115779652E-2</c:v>
                </c:pt>
                <c:pt idx="48">
                  <c:v>-8.4540491978513099E-3</c:v>
                </c:pt>
                <c:pt idx="49">
                  <c:v>-9.1351823488126427E-2</c:v>
                </c:pt>
                <c:pt idx="50">
                  <c:v>-8.3110100999079006E-2</c:v>
                </c:pt>
                <c:pt idx="51">
                  <c:v>5.9941602274574679E-2</c:v>
                </c:pt>
                <c:pt idx="52">
                  <c:v>-5.3793256971839121E-2</c:v>
                </c:pt>
                <c:pt idx="53">
                  <c:v>6.7055724562617991E-2</c:v>
                </c:pt>
                <c:pt idx="54">
                  <c:v>-9.4262517259110723E-2</c:v>
                </c:pt>
                <c:pt idx="55">
                  <c:v>0.11161380919129194</c:v>
                </c:pt>
                <c:pt idx="56">
                  <c:v>0.1573947243607976</c:v>
                </c:pt>
                <c:pt idx="57">
                  <c:v>6.330625374142862E-2</c:v>
                </c:pt>
                <c:pt idx="58">
                  <c:v>9.5920313913213429E-2</c:v>
                </c:pt>
                <c:pt idx="59">
                  <c:v>9.8591684598831941E-2</c:v>
                </c:pt>
                <c:pt idx="60">
                  <c:v>1.9230926365189527E-2</c:v>
                </c:pt>
                <c:pt idx="61">
                  <c:v>1.4375351966483763E-2</c:v>
                </c:pt>
                <c:pt idx="62">
                  <c:v>-2.8343536905865108E-2</c:v>
                </c:pt>
                <c:pt idx="63">
                  <c:v>2.3701095936758065E-2</c:v>
                </c:pt>
                <c:pt idx="64">
                  <c:v>4.0961695493713979E-2</c:v>
                </c:pt>
                <c:pt idx="65">
                  <c:v>-6.7579292697083737E-2</c:v>
                </c:pt>
                <c:pt idx="66">
                  <c:v>-6.5137515532722401E-2</c:v>
                </c:pt>
                <c:pt idx="67">
                  <c:v>-1.3739019614530279E-2</c:v>
                </c:pt>
                <c:pt idx="68">
                  <c:v>0.10149269632828162</c:v>
                </c:pt>
                <c:pt idx="69">
                  <c:v>-4.6974054272205024E-2</c:v>
                </c:pt>
                <c:pt idx="70">
                  <c:v>-4.7393251359830524E-2</c:v>
                </c:pt>
                <c:pt idx="71">
                  <c:v>-0.21094535980362994</c:v>
                </c:pt>
                <c:pt idx="72">
                  <c:v>-2.1437351542126115E-2</c:v>
                </c:pt>
                <c:pt idx="73">
                  <c:v>4.6391605962438964E-2</c:v>
                </c:pt>
                <c:pt idx="74">
                  <c:v>4.5566525492428234E-2</c:v>
                </c:pt>
                <c:pt idx="75">
                  <c:v>-4.4758618400795092E-2</c:v>
                </c:pt>
                <c:pt idx="76">
                  <c:v>1.9728928932754464E-2</c:v>
                </c:pt>
                <c:pt idx="77">
                  <c:v>2.4184036037646628E-3</c:v>
                </c:pt>
                <c:pt idx="78">
                  <c:v>-2.0506789616766774E-2</c:v>
                </c:pt>
                <c:pt idx="79">
                  <c:v>7.5643597797427464E-2</c:v>
                </c:pt>
                <c:pt idx="80">
                  <c:v>4.7393301223428441E-3</c:v>
                </c:pt>
                <c:pt idx="81">
                  <c:v>6.9575713078213086E-2</c:v>
                </c:pt>
                <c:pt idx="82">
                  <c:v>6.7254851633727908E-2</c:v>
                </c:pt>
                <c:pt idx="83">
                  <c:v>-2.6859497029224078E-2</c:v>
                </c:pt>
                <c:pt idx="84">
                  <c:v>8.3863873765446906E-2</c:v>
                </c:pt>
                <c:pt idx="85">
                  <c:v>0.13516181094204938</c:v>
                </c:pt>
                <c:pt idx="86">
                  <c:v>-1.1216563471472485E-2</c:v>
                </c:pt>
                <c:pt idx="87">
                  <c:v>-7.8534724211761775E-3</c:v>
                </c:pt>
                <c:pt idx="88">
                  <c:v>5.1011185011475169E-2</c:v>
                </c:pt>
                <c:pt idx="89">
                  <c:v>-2.5101878080732165E-3</c:v>
                </c:pt>
                <c:pt idx="90">
                  <c:v>-8.6409301010535788E-2</c:v>
                </c:pt>
                <c:pt idx="91">
                  <c:v>-1.9283799553995729E-2</c:v>
                </c:pt>
                <c:pt idx="92">
                  <c:v>-1.3108768995753972E-2</c:v>
                </c:pt>
                <c:pt idx="93">
                  <c:v>1.2333964755098181E-2</c:v>
                </c:pt>
                <c:pt idx="94">
                  <c:v>4.779754273379333E-2</c:v>
                </c:pt>
                <c:pt idx="95">
                  <c:v>1.4311315991765161E-2</c:v>
                </c:pt>
                <c:pt idx="96">
                  <c:v>-0.10934747138224288</c:v>
                </c:pt>
                <c:pt idx="97">
                  <c:v>0.17536282045483365</c:v>
                </c:pt>
                <c:pt idx="98">
                  <c:v>-6.7796498944525441E-2</c:v>
                </c:pt>
                <c:pt idx="99">
                  <c:v>-4.8803820099179607E-2</c:v>
                </c:pt>
                <c:pt idx="100">
                  <c:v>-2.3138934847945158E-2</c:v>
                </c:pt>
                <c:pt idx="101">
                  <c:v>6.076219243321157E-2</c:v>
                </c:pt>
                <c:pt idx="102">
                  <c:v>4.2718448486919414E-2</c:v>
                </c:pt>
                <c:pt idx="103">
                  <c:v>7.4488080231376319E-3</c:v>
                </c:pt>
                <c:pt idx="104">
                  <c:v>2.4953792878429804E-2</c:v>
                </c:pt>
                <c:pt idx="105">
                  <c:v>-0.10279548298132313</c:v>
                </c:pt>
                <c:pt idx="106">
                  <c:v>-1.30651369047875E-2</c:v>
                </c:pt>
                <c:pt idx="107">
                  <c:v>-1.0183378932361764E-2</c:v>
                </c:pt>
                <c:pt idx="108">
                  <c:v>5.2469204517858525E-2</c:v>
                </c:pt>
                <c:pt idx="109">
                  <c:v>-4.7898412881039132E-2</c:v>
                </c:pt>
                <c:pt idx="110">
                  <c:v>7.4948737119018727E-2</c:v>
                </c:pt>
                <c:pt idx="111">
                  <c:v>1.528165889193267E-2</c:v>
                </c:pt>
                <c:pt idx="112">
                  <c:v>0.19157112191742232</c:v>
                </c:pt>
                <c:pt idx="113">
                  <c:v>-4.2591097116917109E-2</c:v>
                </c:pt>
                <c:pt idx="114">
                  <c:v>0</c:v>
                </c:pt>
                <c:pt idx="115">
                  <c:v>1.7608636988503124E-2</c:v>
                </c:pt>
                <c:pt idx="116">
                  <c:v>2.7326272194347911E-3</c:v>
                </c:pt>
                <c:pt idx="117">
                  <c:v>0.14532224899407398</c:v>
                </c:pt>
                <c:pt idx="118">
                  <c:v>4.7580954596366798E-3</c:v>
                </c:pt>
                <c:pt idx="119">
                  <c:v>5.6037915802490845E-2</c:v>
                </c:pt>
                <c:pt idx="120">
                  <c:v>1.3453011489710898E-2</c:v>
                </c:pt>
                <c:pt idx="121">
                  <c:v>4.6460272169453587E-2</c:v>
                </c:pt>
                <c:pt idx="122">
                  <c:v>-1.2685078237292813E-2</c:v>
                </c:pt>
                <c:pt idx="123">
                  <c:v>1.2848056843550504E-2</c:v>
                </c:pt>
                <c:pt idx="124">
                  <c:v>2.2551081020273367E-2</c:v>
                </c:pt>
                <c:pt idx="125">
                  <c:v>-5.1688429787319357E-2</c:v>
                </c:pt>
                <c:pt idx="126">
                  <c:v>-3.6337102573043012E-2</c:v>
                </c:pt>
                <c:pt idx="127">
                  <c:v>0.10784275104677188</c:v>
                </c:pt>
                <c:pt idx="128">
                  <c:v>2.7910396380404157E-2</c:v>
                </c:pt>
                <c:pt idx="129">
                  <c:v>3.9072749411940055E-2</c:v>
                </c:pt>
                <c:pt idx="130">
                  <c:v>-6.2460182024798083E-2</c:v>
                </c:pt>
                <c:pt idx="131">
                  <c:v>2.1604341742442523E-2</c:v>
                </c:pt>
                <c:pt idx="132">
                  <c:v>-2.2334267321267309E-2</c:v>
                </c:pt>
                <c:pt idx="133">
                  <c:v>3.7582994366322398E-2</c:v>
                </c:pt>
                <c:pt idx="134">
                  <c:v>3.0539695159132574E-2</c:v>
                </c:pt>
                <c:pt idx="135">
                  <c:v>6.2715270582709426E-2</c:v>
                </c:pt>
                <c:pt idx="136">
                  <c:v>-7.5226889778818862E-2</c:v>
                </c:pt>
                <c:pt idx="137">
                  <c:v>9.3076060314827513E-2</c:v>
                </c:pt>
                <c:pt idx="138">
                  <c:v>-6.8406502911525502E-2</c:v>
                </c:pt>
                <c:pt idx="139">
                  <c:v>-0.12112022193869276</c:v>
                </c:pt>
                <c:pt idx="140">
                  <c:v>-5.6847542129883633E-2</c:v>
                </c:pt>
                <c:pt idx="141">
                  <c:v>7.3972620641317155E-2</c:v>
                </c:pt>
                <c:pt idx="142">
                  <c:v>2.5508427333853501E-3</c:v>
                </c:pt>
                <c:pt idx="143">
                  <c:v>-4.7497900915988822E-2</c:v>
                </c:pt>
                <c:pt idx="144">
                  <c:v>3.6509635485608483E-2</c:v>
                </c:pt>
                <c:pt idx="145">
                  <c:v>0.22680390617746582</c:v>
                </c:pt>
                <c:pt idx="146">
                  <c:v>1.1904806417710301E-2</c:v>
                </c:pt>
                <c:pt idx="147">
                  <c:v>-5.7439489071377525E-2</c:v>
                </c:pt>
                <c:pt idx="148">
                  <c:v>0.21074554180226568</c:v>
                </c:pt>
                <c:pt idx="149">
                  <c:v>7.906299224224278E-2</c:v>
                </c:pt>
                <c:pt idx="150">
                  <c:v>-2.0352949860739322E-2</c:v>
                </c:pt>
                <c:pt idx="151">
                  <c:v>-4.4321225955961774E-2</c:v>
                </c:pt>
                <c:pt idx="152">
                  <c:v>-5.0724675770219552E-2</c:v>
                </c:pt>
                <c:pt idx="153">
                  <c:v>-4.1984780505249786E-2</c:v>
                </c:pt>
                <c:pt idx="154">
                  <c:v>-1.6733088846705546E-2</c:v>
                </c:pt>
                <c:pt idx="155">
                  <c:v>0.16288510540806</c:v>
                </c:pt>
                <c:pt idx="156">
                  <c:v>-2.7874610639429753E-2</c:v>
                </c:pt>
                <c:pt idx="157">
                  <c:v>0.1505374946298097</c:v>
                </c:pt>
                <c:pt idx="158">
                  <c:v>-0.16199370697242998</c:v>
                </c:pt>
                <c:pt idx="159">
                  <c:v>-5.9479658058228524E-2</c:v>
                </c:pt>
                <c:pt idx="160">
                  <c:v>-8.616567009250975E-2</c:v>
                </c:pt>
                <c:pt idx="161">
                  <c:v>-1.816618402927983E-2</c:v>
                </c:pt>
                <c:pt idx="162">
                  <c:v>-9.2511189348633227E-2</c:v>
                </c:pt>
                <c:pt idx="163">
                  <c:v>0.24876055749426973</c:v>
                </c:pt>
                <c:pt idx="164">
                  <c:v>-6.0526207016978417E-2</c:v>
                </c:pt>
                <c:pt idx="165">
                  <c:v>-0.12511679018015942</c:v>
                </c:pt>
                <c:pt idx="166">
                  <c:v>0.18356450802744484</c:v>
                </c:pt>
                <c:pt idx="167">
                  <c:v>-3.9675276959380112E-2</c:v>
                </c:pt>
                <c:pt idx="168">
                  <c:v>-3.4741906319309068E-2</c:v>
                </c:pt>
                <c:pt idx="169">
                  <c:v>5.4474882073160202E-2</c:v>
                </c:pt>
                <c:pt idx="170">
                  <c:v>5.7195610788405737E-2</c:v>
                </c:pt>
                <c:pt idx="171">
                  <c:v>-1.4834392014053455E-2</c:v>
                </c:pt>
                <c:pt idx="172">
                  <c:v>-3.9858135579119547E-2</c:v>
                </c:pt>
                <c:pt idx="173">
                  <c:v>6.3653086422521099E-2</c:v>
                </c:pt>
                <c:pt idx="174">
                  <c:v>1.7344552836660032E-3</c:v>
                </c:pt>
                <c:pt idx="175">
                  <c:v>-1.4718531262632339E-2</c:v>
                </c:pt>
                <c:pt idx="176">
                  <c:v>-1.9332074750505357E-2</c:v>
                </c:pt>
                <c:pt idx="177">
                  <c:v>-2.5089612029896124E-2</c:v>
                </c:pt>
                <c:pt idx="178">
                  <c:v>-8.1801561128914568E-2</c:v>
                </c:pt>
                <c:pt idx="179">
                  <c:v>-2.9029070194527495E-2</c:v>
                </c:pt>
                <c:pt idx="180">
                  <c:v>7.5257978442226259E-2</c:v>
                </c:pt>
                <c:pt idx="181">
                  <c:v>2.4927886854243075E-2</c:v>
                </c:pt>
                <c:pt idx="182">
                  <c:v>0.12815711711394551</c:v>
                </c:pt>
                <c:pt idx="183">
                  <c:v>-3.8142575274426993E-2</c:v>
                </c:pt>
                <c:pt idx="184">
                  <c:v>-8.448275500818192E-2</c:v>
                </c:pt>
                <c:pt idx="185">
                  <c:v>0.13280202826231324</c:v>
                </c:pt>
                <c:pt idx="186">
                  <c:v>9.6118329200078456E-2</c:v>
                </c:pt>
                <c:pt idx="187">
                  <c:v>-1.2647580674026271E-2</c:v>
                </c:pt>
                <c:pt idx="188">
                  <c:v>2.2203327214201041E-2</c:v>
                </c:pt>
                <c:pt idx="189">
                  <c:v>2.2556329852981172E-2</c:v>
                </c:pt>
                <c:pt idx="190">
                  <c:v>0.12418321513805908</c:v>
                </c:pt>
                <c:pt idx="191">
                  <c:v>1.0174253096691066E-2</c:v>
                </c:pt>
                <c:pt idx="192">
                  <c:v>7.2186807437013778E-2</c:v>
                </c:pt>
                <c:pt idx="193">
                  <c:v>-1.845275102128896E-2</c:v>
                </c:pt>
                <c:pt idx="194">
                  <c:v>-1.5907401569337454E-2</c:v>
                </c:pt>
                <c:pt idx="195">
                  <c:v>-5.8780135840893477E-3</c:v>
                </c:pt>
                <c:pt idx="196">
                  <c:v>2.9563943146755811E-2</c:v>
                </c:pt>
                <c:pt idx="197">
                  <c:v>0</c:v>
                </c:pt>
                <c:pt idx="198">
                  <c:v>-2.9432791345629927E-2</c:v>
                </c:pt>
                <c:pt idx="199">
                  <c:v>8.1359711819422031E-3</c:v>
                </c:pt>
                <c:pt idx="200">
                  <c:v>1.9075610440859592E-2</c:v>
                </c:pt>
                <c:pt idx="201">
                  <c:v>3.0237491013946016E-2</c:v>
                </c:pt>
                <c:pt idx="202">
                  <c:v>4.8684788331847528E-2</c:v>
                </c:pt>
                <c:pt idx="203">
                  <c:v>1.3112434409396245E-2</c:v>
                </c:pt>
                <c:pt idx="204">
                  <c:v>3.5422288362949583E-2</c:v>
                </c:pt>
                <c:pt idx="205">
                  <c:v>-7.894614251604315E-3</c:v>
                </c:pt>
                <c:pt idx="206">
                  <c:v>-5.9683324679375982E-3</c:v>
                </c:pt>
                <c:pt idx="207">
                  <c:v>-6.0040041523906851E-2</c:v>
                </c:pt>
                <c:pt idx="208">
                  <c:v>9.5812703952416811E-2</c:v>
                </c:pt>
                <c:pt idx="209">
                  <c:v>4.9870469723501731E-2</c:v>
                </c:pt>
                <c:pt idx="210">
                  <c:v>-5.4287559815338615E-2</c:v>
                </c:pt>
                <c:pt idx="211">
                  <c:v>2.2831145329677227E-2</c:v>
                </c:pt>
                <c:pt idx="212">
                  <c:v>-2.8699026090680979E-2</c:v>
                </c:pt>
                <c:pt idx="213">
                  <c:v>5.3184609891332446E-2</c:v>
                </c:pt>
                <c:pt idx="214">
                  <c:v>-4.4264478111681105E-2</c:v>
                </c:pt>
                <c:pt idx="215">
                  <c:v>2.7704374030968593E-2</c:v>
                </c:pt>
                <c:pt idx="216">
                  <c:v>-2.1696445877864901E-2</c:v>
                </c:pt>
                <c:pt idx="217">
                  <c:v>4.7044375958074092E-3</c:v>
                </c:pt>
                <c:pt idx="218">
                  <c:v>5.5518406771947637E-2</c:v>
                </c:pt>
                <c:pt idx="219">
                  <c:v>1.2040646515642406E-2</c:v>
                </c:pt>
                <c:pt idx="220">
                  <c:v>3.5691793453490384E-2</c:v>
                </c:pt>
                <c:pt idx="221">
                  <c:v>-1.2091861536642767E-2</c:v>
                </c:pt>
                <c:pt idx="222">
                  <c:v>-3.6719592842259785E-2</c:v>
                </c:pt>
                <c:pt idx="223">
                  <c:v>8.3227210757580439E-2</c:v>
                </c:pt>
                <c:pt idx="224">
                  <c:v>-2.3460048846066783E-3</c:v>
                </c:pt>
                <c:pt idx="225">
                  <c:v>1.058213932345109E-2</c:v>
                </c:pt>
                <c:pt idx="226">
                  <c:v>2.9668419564684578E-2</c:v>
                </c:pt>
                <c:pt idx="227">
                  <c:v>-1.9209020981118097E-2</c:v>
                </c:pt>
                <c:pt idx="228">
                  <c:v>-3.917046830983939E-2</c:v>
                </c:pt>
                <c:pt idx="229">
                  <c:v>-0.11390902782869639</c:v>
                </c:pt>
                <c:pt idx="230">
                  <c:v>-1.6238160699387216E-2</c:v>
                </c:pt>
                <c:pt idx="231">
                  <c:v>1.0316337243803098E-2</c:v>
                </c:pt>
                <c:pt idx="232">
                  <c:v>3.5398360371949655E-2</c:v>
                </c:pt>
                <c:pt idx="233">
                  <c:v>1.8408900063379585E-2</c:v>
                </c:pt>
                <c:pt idx="234">
                  <c:v>1.4848419757141684E-2</c:v>
                </c:pt>
                <c:pt idx="235">
                  <c:v>4.7709690692174789E-2</c:v>
                </c:pt>
                <c:pt idx="236">
                  <c:v>3.5215528200096324E-2</c:v>
                </c:pt>
                <c:pt idx="237">
                  <c:v>-1.1074816794455544E-2</c:v>
                </c:pt>
                <c:pt idx="238">
                  <c:v>8.160333578384571E-2</c:v>
                </c:pt>
                <c:pt idx="239">
                  <c:v>-0.12060891629575021</c:v>
                </c:pt>
                <c:pt idx="240">
                  <c:v>-1.3315682939573303E-2</c:v>
                </c:pt>
                <c:pt idx="241">
                  <c:v>4.9257775525078262E-2</c:v>
                </c:pt>
                <c:pt idx="242">
                  <c:v>-6.4951774939587037E-2</c:v>
                </c:pt>
                <c:pt idx="243">
                  <c:v>-6.5336936183376437E-2</c:v>
                </c:pt>
                <c:pt idx="244">
                  <c:v>6.5438984583637172E-2</c:v>
                </c:pt>
                <c:pt idx="245">
                  <c:v>2.83889316272945E-2</c:v>
                </c:pt>
                <c:pt idx="246">
                  <c:v>1.6563211415274726E-2</c:v>
                </c:pt>
                <c:pt idx="247">
                  <c:v>2.4439858234380551E-2</c:v>
                </c:pt>
                <c:pt idx="248">
                  <c:v>-9.9403777014740458E-3</c:v>
                </c:pt>
                <c:pt idx="249">
                  <c:v>-3.145914753123813E-2</c:v>
                </c:pt>
                <c:pt idx="250">
                  <c:v>-6.0815455418024689E-2</c:v>
                </c:pt>
                <c:pt idx="251">
                  <c:v>4.5621775998455183E-2</c:v>
                </c:pt>
                <c:pt idx="252">
                  <c:v>6.6854353462644456E-2</c:v>
                </c:pt>
                <c:pt idx="253">
                  <c:v>-5.0131869342165514E-2</c:v>
                </c:pt>
                <c:pt idx="254">
                  <c:v>8.6299730215996906E-2</c:v>
                </c:pt>
                <c:pt idx="255">
                  <c:v>-3.1516637715515272E-2</c:v>
                </c:pt>
                <c:pt idx="256">
                  <c:v>-1.491531481414976E-2</c:v>
                </c:pt>
                <c:pt idx="257">
                  <c:v>-8.9469568285841516E-3</c:v>
                </c:pt>
                <c:pt idx="258">
                  <c:v>1.2499995213253401E-2</c:v>
                </c:pt>
                <c:pt idx="259">
                  <c:v>4.1838198451811692E-2</c:v>
                </c:pt>
                <c:pt idx="260">
                  <c:v>-2.9624776404555631E-2</c:v>
                </c:pt>
                <c:pt idx="261">
                  <c:v>-3.9348761142111943E-2</c:v>
                </c:pt>
                <c:pt idx="262">
                  <c:v>-2.6129912370406738E-2</c:v>
                </c:pt>
                <c:pt idx="263">
                  <c:v>-4.9311164359004622E-2</c:v>
                </c:pt>
                <c:pt idx="264">
                  <c:v>4.3478429117693507E-2</c:v>
                </c:pt>
                <c:pt idx="265">
                  <c:v>3.1432657193518398E-2</c:v>
                </c:pt>
                <c:pt idx="266">
                  <c:v>5.5988642742724748E-2</c:v>
                </c:pt>
                <c:pt idx="267">
                  <c:v>-4.1610706064707181E-2</c:v>
                </c:pt>
                <c:pt idx="268">
                  <c:v>-2.9411855566517042E-2</c:v>
                </c:pt>
                <c:pt idx="269">
                  <c:v>-1.8037516717060775E-2</c:v>
                </c:pt>
                <c:pt idx="270">
                  <c:v>-4.6060274854426986E-3</c:v>
                </c:pt>
                <c:pt idx="271">
                  <c:v>-3.2975412676021332E-2</c:v>
                </c:pt>
                <c:pt idx="272">
                  <c:v>7.037355285740432E-2</c:v>
                </c:pt>
                <c:pt idx="273">
                  <c:v>3.5330219697637499E-2</c:v>
                </c:pt>
                <c:pt idx="274">
                  <c:v>1.7804253035649253E-2</c:v>
                </c:pt>
                <c:pt idx="275">
                  <c:v>7.2875498957203355E-4</c:v>
                </c:pt>
                <c:pt idx="276">
                  <c:v>3.4959986819766975E-2</c:v>
                </c:pt>
                <c:pt idx="277">
                  <c:v>-3.4482696497200149E-2</c:v>
                </c:pt>
                <c:pt idx="278">
                  <c:v>4.3731643513420515E-2</c:v>
                </c:pt>
                <c:pt idx="279">
                  <c:v>3.0726356857114334E-2</c:v>
                </c:pt>
                <c:pt idx="280">
                  <c:v>-9.5528458527831983E-2</c:v>
                </c:pt>
                <c:pt idx="281">
                  <c:v>-2.8464422176148862E-2</c:v>
                </c:pt>
                <c:pt idx="282">
                  <c:v>3.5466497770686889E-2</c:v>
                </c:pt>
                <c:pt idx="283">
                  <c:v>5.4355796551961877E-2</c:v>
                </c:pt>
                <c:pt idx="284">
                  <c:v>1.5536737361810715E-2</c:v>
                </c:pt>
                <c:pt idx="285">
                  <c:v>-8.6926306466037939E-2</c:v>
                </c:pt>
                <c:pt idx="286">
                  <c:v>-0.11957334369050765</c:v>
                </c:pt>
                <c:pt idx="287">
                  <c:v>5.1901622989822815E-3</c:v>
                </c:pt>
                <c:pt idx="288">
                  <c:v>-1.2048171536014451E-2</c:v>
                </c:pt>
                <c:pt idx="289">
                  <c:v>3.4788807724598358E-2</c:v>
                </c:pt>
                <c:pt idx="290">
                  <c:v>1.6365249113418523E-2</c:v>
                </c:pt>
                <c:pt idx="291">
                  <c:v>1.8644106753275436E-2</c:v>
                </c:pt>
                <c:pt idx="292">
                  <c:v>-1.497508745327103E-2</c:v>
                </c:pt>
                <c:pt idx="293">
                  <c:v>-2.5337775727719447E-2</c:v>
                </c:pt>
                <c:pt idx="294">
                  <c:v>-1.9064250285561357E-2</c:v>
                </c:pt>
                <c:pt idx="295">
                  <c:v>0.15375983193662091</c:v>
                </c:pt>
                <c:pt idx="296">
                  <c:v>2.913385476819319E-2</c:v>
                </c:pt>
                <c:pt idx="297">
                  <c:v>-5.2792612550161544E-2</c:v>
                </c:pt>
                <c:pt idx="298">
                  <c:v>5.4927310227663062E-2</c:v>
                </c:pt>
                <c:pt idx="299">
                  <c:v>-1.8376729778607714E-2</c:v>
                </c:pt>
                <c:pt idx="300">
                  <c:v>-6.3182523215438824E-2</c:v>
                </c:pt>
                <c:pt idx="301">
                  <c:v>4.9125764183010068E-2</c:v>
                </c:pt>
                <c:pt idx="302">
                  <c:v>7.1427534264054682E-3</c:v>
                </c:pt>
                <c:pt idx="303">
                  <c:v>-4.4917172474445266E-2</c:v>
                </c:pt>
                <c:pt idx="304">
                  <c:v>-4.1254508335125673E-3</c:v>
                </c:pt>
                <c:pt idx="305">
                  <c:v>2.1540985787454447E-2</c:v>
                </c:pt>
                <c:pt idx="306">
                  <c:v>5.6772157538513834E-3</c:v>
                </c:pt>
                <c:pt idx="307">
                  <c:v>4.8062007838252097E-3</c:v>
                </c:pt>
                <c:pt idx="308">
                  <c:v>3.4398040539047381E-2</c:v>
                </c:pt>
                <c:pt idx="309">
                  <c:v>-7.9178375227451081E-4</c:v>
                </c:pt>
                <c:pt idx="310">
                  <c:v>3.6450082592579314E-2</c:v>
                </c:pt>
                <c:pt idx="311">
                  <c:v>-5.1987791218817581E-2</c:v>
                </c:pt>
                <c:pt idx="312">
                  <c:v>-6.4516069489634509E-2</c:v>
                </c:pt>
              </c:numCache>
            </c:numRef>
          </c:xVal>
          <c:yVal>
            <c:numRef>
              <c:f>'CAPM Beta '!$Y$7:$Y$317</c:f>
              <c:numCache>
                <c:formatCode>0.00%</c:formatCode>
                <c:ptCount val="311"/>
                <c:pt idx="0">
                  <c:v>5.3631257548560907E-3</c:v>
                </c:pt>
                <c:pt idx="1">
                  <c:v>1.2172693808391921E-2</c:v>
                </c:pt>
                <c:pt idx="2">
                  <c:v>1.4676303970036386E-2</c:v>
                </c:pt>
                <c:pt idx="3">
                  <c:v>8.5330729514729864E-3</c:v>
                </c:pt>
                <c:pt idx="4">
                  <c:v>8.8519799426265422E-3</c:v>
                </c:pt>
                <c:pt idx="5">
                  <c:v>-3.2591098755661019E-3</c:v>
                </c:pt>
                <c:pt idx="6">
                  <c:v>9.8672281429743602E-3</c:v>
                </c:pt>
                <c:pt idx="7">
                  <c:v>1.5695520733274293E-3</c:v>
                </c:pt>
                <c:pt idx="8">
                  <c:v>7.2761577280520129E-3</c:v>
                </c:pt>
                <c:pt idx="9">
                  <c:v>1.6542514853338908E-2</c:v>
                </c:pt>
                <c:pt idx="10">
                  <c:v>5.8363132599172918E-3</c:v>
                </c:pt>
                <c:pt idx="11">
                  <c:v>-1.5956450404117639E-3</c:v>
                </c:pt>
                <c:pt idx="12">
                  <c:v>9.4285667277436147E-3</c:v>
                </c:pt>
                <c:pt idx="13">
                  <c:v>1.9682428410166652E-2</c:v>
                </c:pt>
                <c:pt idx="14">
                  <c:v>-1.0256469291524239E-2</c:v>
                </c:pt>
                <c:pt idx="15">
                  <c:v>-2.1226092725387669E-2</c:v>
                </c:pt>
                <c:pt idx="16">
                  <c:v>3.1681694978628938E-2</c:v>
                </c:pt>
                <c:pt idx="17">
                  <c:v>1.576157531382294E-2</c:v>
                </c:pt>
                <c:pt idx="18">
                  <c:v>-1.254671767375326E-2</c:v>
                </c:pt>
                <c:pt idx="19">
                  <c:v>-0.11490675733559286</c:v>
                </c:pt>
                <c:pt idx="20">
                  <c:v>6.1438033268914616E-3</c:v>
                </c:pt>
                <c:pt idx="21">
                  <c:v>-8.7926498838422962E-2</c:v>
                </c:pt>
                <c:pt idx="22">
                  <c:v>-0.14979605267779128</c:v>
                </c:pt>
                <c:pt idx="23">
                  <c:v>0.10262831544954354</c:v>
                </c:pt>
                <c:pt idx="24">
                  <c:v>-2.0783274627778403E-2</c:v>
                </c:pt>
                <c:pt idx="25">
                  <c:v>0.12101749054054989</c:v>
                </c:pt>
                <c:pt idx="26">
                  <c:v>3.037471527122837E-2</c:v>
                </c:pt>
                <c:pt idx="27">
                  <c:v>-1.3156819683175058E-2</c:v>
                </c:pt>
                <c:pt idx="28">
                  <c:v>-2.1256898121201351E-3</c:v>
                </c:pt>
                <c:pt idx="29">
                  <c:v>3.5005383546185431E-2</c:v>
                </c:pt>
                <c:pt idx="30">
                  <c:v>-2.2561299936727397E-2</c:v>
                </c:pt>
                <c:pt idx="31">
                  <c:v>3.2038971108846237E-2</c:v>
                </c:pt>
                <c:pt idx="32">
                  <c:v>3.0066524180739629E-2</c:v>
                </c:pt>
                <c:pt idx="33">
                  <c:v>4.914738320576606E-2</c:v>
                </c:pt>
                <c:pt idx="34">
                  <c:v>-4.7784352291184717E-2</c:v>
                </c:pt>
                <c:pt idx="35">
                  <c:v>1.8554481638980658E-2</c:v>
                </c:pt>
                <c:pt idx="36">
                  <c:v>-2.8630531189139496E-2</c:v>
                </c:pt>
                <c:pt idx="37">
                  <c:v>4.019872018566395E-2</c:v>
                </c:pt>
                <c:pt idx="38">
                  <c:v>1.7581422783052192E-2</c:v>
                </c:pt>
                <c:pt idx="39">
                  <c:v>1.2461363411284676E-2</c:v>
                </c:pt>
                <c:pt idx="40">
                  <c:v>-2.8219719825742784E-3</c:v>
                </c:pt>
                <c:pt idx="41">
                  <c:v>1.7256412086351869E-2</c:v>
                </c:pt>
                <c:pt idx="42">
                  <c:v>2.4505340445369006E-2</c:v>
                </c:pt>
                <c:pt idx="43">
                  <c:v>6.436367051040115E-3</c:v>
                </c:pt>
                <c:pt idx="44">
                  <c:v>7.207499221509206E-3</c:v>
                </c:pt>
                <c:pt idx="45">
                  <c:v>3.2630226578713062E-2</c:v>
                </c:pt>
                <c:pt idx="46">
                  <c:v>-2.3104280946319222E-2</c:v>
                </c:pt>
                <c:pt idx="47">
                  <c:v>-2.5092207441738235E-2</c:v>
                </c:pt>
                <c:pt idx="48">
                  <c:v>-6.4352568830408075E-3</c:v>
                </c:pt>
                <c:pt idx="49">
                  <c:v>-6.3293266548739568E-3</c:v>
                </c:pt>
                <c:pt idx="50">
                  <c:v>1.5146450625188157E-2</c:v>
                </c:pt>
                <c:pt idx="51">
                  <c:v>3.8442003603611941E-2</c:v>
                </c:pt>
                <c:pt idx="52">
                  <c:v>1.9182909579975593E-3</c:v>
                </c:pt>
                <c:pt idx="53">
                  <c:v>-5.2873623147698945E-3</c:v>
                </c:pt>
                <c:pt idx="54">
                  <c:v>-5.6394788955545838E-2</c:v>
                </c:pt>
                <c:pt idx="55">
                  <c:v>7.3236364765790762E-2</c:v>
                </c:pt>
                <c:pt idx="56">
                  <c:v>2.1573231684131056E-2</c:v>
                </c:pt>
                <c:pt idx="57">
                  <c:v>-7.7011740187489242E-3</c:v>
                </c:pt>
                <c:pt idx="58">
                  <c:v>2.2715150836375431E-2</c:v>
                </c:pt>
                <c:pt idx="59">
                  <c:v>1.6702631110292687E-2</c:v>
                </c:pt>
                <c:pt idx="60">
                  <c:v>-9.6401725600392396E-3</c:v>
                </c:pt>
                <c:pt idx="61">
                  <c:v>1.2542774224865827E-2</c:v>
                </c:pt>
                <c:pt idx="62">
                  <c:v>-1.711823084015518E-3</c:v>
                </c:pt>
                <c:pt idx="63">
                  <c:v>1.4315190390337795E-2</c:v>
                </c:pt>
                <c:pt idx="64">
                  <c:v>1.8266396002356355E-2</c:v>
                </c:pt>
                <c:pt idx="65">
                  <c:v>-1.4754157903199783E-2</c:v>
                </c:pt>
                <c:pt idx="66">
                  <c:v>1.9430762476779773E-2</c:v>
                </c:pt>
                <c:pt idx="67">
                  <c:v>-3.3120128867091592E-2</c:v>
                </c:pt>
                <c:pt idx="68">
                  <c:v>4.6467134149760225E-2</c:v>
                </c:pt>
                <c:pt idx="69">
                  <c:v>1.2349395017328568E-2</c:v>
                </c:pt>
                <c:pt idx="70">
                  <c:v>-7.1464629041616545E-3</c:v>
                </c:pt>
                <c:pt idx="71">
                  <c:v>-2.446049477674006E-2</c:v>
                </c:pt>
                <c:pt idx="72">
                  <c:v>8.0789367648763655E-3</c:v>
                </c:pt>
                <c:pt idx="73">
                  <c:v>2.6392954609087305E-2</c:v>
                </c:pt>
                <c:pt idx="74">
                  <c:v>-7.6686234411373899E-3</c:v>
                </c:pt>
                <c:pt idx="75">
                  <c:v>1.57010911739901E-2</c:v>
                </c:pt>
                <c:pt idx="76">
                  <c:v>1.1405112963887021E-2</c:v>
                </c:pt>
                <c:pt idx="77">
                  <c:v>2.7097812696548651E-2</c:v>
                </c:pt>
                <c:pt idx="78">
                  <c:v>1.3725637676089475E-2</c:v>
                </c:pt>
                <c:pt idx="79">
                  <c:v>-1.2663554383812725E-3</c:v>
                </c:pt>
                <c:pt idx="80">
                  <c:v>2.3922472499671166E-4</c:v>
                </c:pt>
                <c:pt idx="81">
                  <c:v>1.23004270915128E-2</c:v>
                </c:pt>
                <c:pt idx="82">
                  <c:v>-1.3880356906983082E-2</c:v>
                </c:pt>
                <c:pt idx="83">
                  <c:v>-4.3102253205264951E-3</c:v>
                </c:pt>
                <c:pt idx="84">
                  <c:v>1.1610112368395376E-2</c:v>
                </c:pt>
                <c:pt idx="85">
                  <c:v>6.1321597855148458E-3</c:v>
                </c:pt>
                <c:pt idx="86">
                  <c:v>4.1489977565030145E-3</c:v>
                </c:pt>
                <c:pt idx="87">
                  <c:v>-1.9067896712139487E-2</c:v>
                </c:pt>
                <c:pt idx="88">
                  <c:v>2.7421424628701452E-2</c:v>
                </c:pt>
                <c:pt idx="89">
                  <c:v>1.6735497738418426E-2</c:v>
                </c:pt>
                <c:pt idx="90">
                  <c:v>3.9541859219043296E-3</c:v>
                </c:pt>
                <c:pt idx="91">
                  <c:v>-9.7011477914785704E-3</c:v>
                </c:pt>
                <c:pt idx="92">
                  <c:v>1.9557834643643579E-2</c:v>
                </c:pt>
                <c:pt idx="93">
                  <c:v>-3.746840464106227E-3</c:v>
                </c:pt>
                <c:pt idx="94">
                  <c:v>9.3874437704326574E-3</c:v>
                </c:pt>
                <c:pt idx="95">
                  <c:v>7.0956471130894094E-3</c:v>
                </c:pt>
                <c:pt idx="96">
                  <c:v>-5.8930344952998759E-3</c:v>
                </c:pt>
                <c:pt idx="97">
                  <c:v>1.5242059068612868E-2</c:v>
                </c:pt>
                <c:pt idx="98">
                  <c:v>5.7790906305121847E-3</c:v>
                </c:pt>
                <c:pt idx="99">
                  <c:v>-1.6944389986780495E-2</c:v>
                </c:pt>
                <c:pt idx="100">
                  <c:v>-5.7394603890935647E-3</c:v>
                </c:pt>
                <c:pt idx="101">
                  <c:v>5.0732676826934497E-3</c:v>
                </c:pt>
                <c:pt idx="102">
                  <c:v>-2.2094127195672719E-2</c:v>
                </c:pt>
                <c:pt idx="103">
                  <c:v>7.8722720883879216E-3</c:v>
                </c:pt>
                <c:pt idx="104">
                  <c:v>1.822456841991027E-2</c:v>
                </c:pt>
                <c:pt idx="105">
                  <c:v>1.6444575874765777E-2</c:v>
                </c:pt>
                <c:pt idx="106">
                  <c:v>1.3307219469797626E-2</c:v>
                </c:pt>
                <c:pt idx="107">
                  <c:v>2.0009185927887918E-2</c:v>
                </c:pt>
                <c:pt idx="108">
                  <c:v>-3.1249801856256809E-3</c:v>
                </c:pt>
                <c:pt idx="109">
                  <c:v>3.2266382579302366E-3</c:v>
                </c:pt>
                <c:pt idx="110">
                  <c:v>-2.1996748505574315E-2</c:v>
                </c:pt>
                <c:pt idx="111">
                  <c:v>-1.2229507548633944E-2</c:v>
                </c:pt>
                <c:pt idx="112">
                  <c:v>3.824887395565546E-2</c:v>
                </c:pt>
                <c:pt idx="113">
                  <c:v>-1.9392931785886303E-2</c:v>
                </c:pt>
                <c:pt idx="114">
                  <c:v>2.2756566023862668E-2</c:v>
                </c:pt>
                <c:pt idx="115">
                  <c:v>8.5467480325813749E-3</c:v>
                </c:pt>
                <c:pt idx="116">
                  <c:v>-1.8704788181950538E-2</c:v>
                </c:pt>
                <c:pt idx="117">
                  <c:v>-3.031771904682512E-3</c:v>
                </c:pt>
                <c:pt idx="118">
                  <c:v>-5.6812925721793084E-2</c:v>
                </c:pt>
                <c:pt idx="119">
                  <c:v>7.7104636947717964E-3</c:v>
                </c:pt>
                <c:pt idx="120">
                  <c:v>1.5496843527338822E-2</c:v>
                </c:pt>
                <c:pt idx="121">
                  <c:v>-1.8195557489162795E-2</c:v>
                </c:pt>
                <c:pt idx="122">
                  <c:v>-1.5789930243801376E-2</c:v>
                </c:pt>
                <c:pt idx="123">
                  <c:v>8.2273749714534272E-3</c:v>
                </c:pt>
                <c:pt idx="124">
                  <c:v>-1.2721605236129307E-2</c:v>
                </c:pt>
                <c:pt idx="125">
                  <c:v>-2.8774265621690165E-2</c:v>
                </c:pt>
                <c:pt idx="126">
                  <c:v>6.155827115194179E-2</c:v>
                </c:pt>
                <c:pt idx="127">
                  <c:v>1.791122338348039E-2</c:v>
                </c:pt>
                <c:pt idx="128">
                  <c:v>6.1628168049510101E-4</c:v>
                </c:pt>
                <c:pt idx="129">
                  <c:v>-1.2666487717779784E-2</c:v>
                </c:pt>
                <c:pt idx="130">
                  <c:v>-2.1319959090500107E-2</c:v>
                </c:pt>
                <c:pt idx="131">
                  <c:v>-2.7503150280612898E-2</c:v>
                </c:pt>
                <c:pt idx="132">
                  <c:v>-3.2738019375660454E-2</c:v>
                </c:pt>
                <c:pt idx="133">
                  <c:v>-2.0790119062517043E-3</c:v>
                </c:pt>
                <c:pt idx="134">
                  <c:v>-2.4118785969732159E-2</c:v>
                </c:pt>
                <c:pt idx="135">
                  <c:v>-3.045058101173459E-2</c:v>
                </c:pt>
                <c:pt idx="136">
                  <c:v>6.5843736512412931E-2</c:v>
                </c:pt>
                <c:pt idx="137">
                  <c:v>-1.1952218369117418E-2</c:v>
                </c:pt>
                <c:pt idx="138">
                  <c:v>-5.0548352861619961E-2</c:v>
                </c:pt>
                <c:pt idx="139">
                  <c:v>-5.794107281653571E-2</c:v>
                </c:pt>
                <c:pt idx="140">
                  <c:v>6.4465363574427448E-2</c:v>
                </c:pt>
                <c:pt idx="141">
                  <c:v>-2.2089891538061512E-2</c:v>
                </c:pt>
                <c:pt idx="142">
                  <c:v>1.935775558583841E-2</c:v>
                </c:pt>
                <c:pt idx="143">
                  <c:v>-9.2886489112726789E-3</c:v>
                </c:pt>
                <c:pt idx="144">
                  <c:v>2.5489488642306268E-2</c:v>
                </c:pt>
                <c:pt idx="145">
                  <c:v>4.2573425897691974E-2</c:v>
                </c:pt>
                <c:pt idx="146">
                  <c:v>3.6074711952025496E-3</c:v>
                </c:pt>
                <c:pt idx="147">
                  <c:v>3.2558209115916892E-2</c:v>
                </c:pt>
                <c:pt idx="148">
                  <c:v>-1.207198884476135E-2</c:v>
                </c:pt>
                <c:pt idx="149">
                  <c:v>-4.0397511433987843E-2</c:v>
                </c:pt>
                <c:pt idx="150">
                  <c:v>-3.2876067791103303E-2</c:v>
                </c:pt>
                <c:pt idx="151">
                  <c:v>3.646549853988823E-2</c:v>
                </c:pt>
                <c:pt idx="152">
                  <c:v>-4.7704167856399193E-2</c:v>
                </c:pt>
                <c:pt idx="153">
                  <c:v>-4.6497482534055723E-2</c:v>
                </c:pt>
                <c:pt idx="154">
                  <c:v>-2.9137059931369835E-2</c:v>
                </c:pt>
                <c:pt idx="155">
                  <c:v>1.5071254944950097E-2</c:v>
                </c:pt>
                <c:pt idx="156">
                  <c:v>-1.554811304257353E-2</c:v>
                </c:pt>
                <c:pt idx="157">
                  <c:v>4.735601827577951E-2</c:v>
                </c:pt>
                <c:pt idx="158">
                  <c:v>3.9520367355605934E-2</c:v>
                </c:pt>
                <c:pt idx="159">
                  <c:v>-3.3455011664873191E-2</c:v>
                </c:pt>
                <c:pt idx="160">
                  <c:v>5.8978101320154908E-2</c:v>
                </c:pt>
                <c:pt idx="161">
                  <c:v>-6.9096739042109334E-3</c:v>
                </c:pt>
                <c:pt idx="162">
                  <c:v>1.5327822569994876E-2</c:v>
                </c:pt>
                <c:pt idx="163">
                  <c:v>1.1321031826595274E-2</c:v>
                </c:pt>
                <c:pt idx="164">
                  <c:v>-3.3725488126857939E-2</c:v>
                </c:pt>
                <c:pt idx="165">
                  <c:v>-2.0846938484240352E-2</c:v>
                </c:pt>
                <c:pt idx="166">
                  <c:v>-1.9572518799511052E-3</c:v>
                </c:pt>
                <c:pt idx="167">
                  <c:v>-1.3836976151774261E-3</c:v>
                </c:pt>
                <c:pt idx="168">
                  <c:v>1.4475863556452584E-2</c:v>
                </c:pt>
                <c:pt idx="169">
                  <c:v>2.67029194983055E-2</c:v>
                </c:pt>
                <c:pt idx="170">
                  <c:v>-6.6215013632556774E-3</c:v>
                </c:pt>
                <c:pt idx="171">
                  <c:v>2.4656321290850824E-2</c:v>
                </c:pt>
                <c:pt idx="172">
                  <c:v>1.6194312558005519E-2</c:v>
                </c:pt>
                <c:pt idx="173">
                  <c:v>-1.1125406081630485E-2</c:v>
                </c:pt>
                <c:pt idx="174">
                  <c:v>-2.7796074660193515E-3</c:v>
                </c:pt>
                <c:pt idx="175">
                  <c:v>-2.6733915279747333E-2</c:v>
                </c:pt>
                <c:pt idx="176">
                  <c:v>1.9042592208585729E-2</c:v>
                </c:pt>
                <c:pt idx="177">
                  <c:v>-4.5493373007604143E-2</c:v>
                </c:pt>
                <c:pt idx="178">
                  <c:v>1.4255734926430508E-2</c:v>
                </c:pt>
                <c:pt idx="179">
                  <c:v>1.3876715538551521E-2</c:v>
                </c:pt>
                <c:pt idx="180">
                  <c:v>3.4832640903033729E-2</c:v>
                </c:pt>
                <c:pt idx="181">
                  <c:v>-1.043980376591036E-3</c:v>
                </c:pt>
                <c:pt idx="182">
                  <c:v>7.9463966149486698E-3</c:v>
                </c:pt>
                <c:pt idx="183">
                  <c:v>-9.9576498954967452E-4</c:v>
                </c:pt>
                <c:pt idx="184">
                  <c:v>8.6995976232329131E-3</c:v>
                </c:pt>
                <c:pt idx="185">
                  <c:v>-7.9698141313570003E-3</c:v>
                </c:pt>
                <c:pt idx="186">
                  <c:v>-2.9422597461469246E-3</c:v>
                </c:pt>
                <c:pt idx="187">
                  <c:v>1.6464254102122267E-2</c:v>
                </c:pt>
                <c:pt idx="188">
                  <c:v>3.2133299554173433E-3</c:v>
                </c:pt>
                <c:pt idx="189">
                  <c:v>1.8290532119661584E-2</c:v>
                </c:pt>
                <c:pt idx="190">
                  <c:v>3.850612077542559E-3</c:v>
                </c:pt>
                <c:pt idx="191">
                  <c:v>2.5757987929439397E-2</c:v>
                </c:pt>
                <c:pt idx="192">
                  <c:v>-1.3892395391790768E-2</c:v>
                </c:pt>
                <c:pt idx="193">
                  <c:v>2.3468734630077481E-2</c:v>
                </c:pt>
                <c:pt idx="194">
                  <c:v>-1.1556246624838229E-2</c:v>
                </c:pt>
                <c:pt idx="195">
                  <c:v>2.4203439874348476E-2</c:v>
                </c:pt>
                <c:pt idx="196">
                  <c:v>6.8628279741196341E-3</c:v>
                </c:pt>
                <c:pt idx="197">
                  <c:v>1.0116115260186298E-2</c:v>
                </c:pt>
                <c:pt idx="198">
                  <c:v>-2.2740062318268972E-2</c:v>
                </c:pt>
                <c:pt idx="199">
                  <c:v>-3.1219043060166651E-3</c:v>
                </c:pt>
                <c:pt idx="200">
                  <c:v>-2.1133241759744292E-2</c:v>
                </c:pt>
                <c:pt idx="201">
                  <c:v>8.238533065539233E-3</c:v>
                </c:pt>
                <c:pt idx="202">
                  <c:v>2.498123107730188E-2</c:v>
                </c:pt>
                <c:pt idx="203">
                  <c:v>-1.2905835528422172E-2</c:v>
                </c:pt>
                <c:pt idx="204">
                  <c:v>-1.6086204970128248E-3</c:v>
                </c:pt>
                <c:pt idx="205">
                  <c:v>-2.9269753808731536E-2</c:v>
                </c:pt>
                <c:pt idx="206">
                  <c:v>-7.4096779841227312E-3</c:v>
                </c:pt>
                <c:pt idx="207">
                  <c:v>4.7691132901825917E-3</c:v>
                </c:pt>
                <c:pt idx="208">
                  <c:v>4.4748253815132255E-3</c:v>
                </c:pt>
                <c:pt idx="209">
                  <c:v>-2.3942906998561386E-2</c:v>
                </c:pt>
                <c:pt idx="210">
                  <c:v>-2.5280774192355193E-2</c:v>
                </c:pt>
                <c:pt idx="211">
                  <c:v>5.8525155549315144E-2</c:v>
                </c:pt>
                <c:pt idx="212">
                  <c:v>1.3055519455784648E-2</c:v>
                </c:pt>
                <c:pt idx="213">
                  <c:v>2.2372459914456355E-2</c:v>
                </c:pt>
                <c:pt idx="214">
                  <c:v>1.0039792473817144E-2</c:v>
                </c:pt>
                <c:pt idx="215">
                  <c:v>7.740164206200939E-3</c:v>
                </c:pt>
                <c:pt idx="216">
                  <c:v>2.1199170822086E-3</c:v>
                </c:pt>
                <c:pt idx="217">
                  <c:v>2.4937140433203497E-2</c:v>
                </c:pt>
                <c:pt idx="218">
                  <c:v>7.509751005209564E-3</c:v>
                </c:pt>
                <c:pt idx="219">
                  <c:v>3.1969250366779001E-3</c:v>
                </c:pt>
                <c:pt idx="220">
                  <c:v>-1.5218538723822839E-2</c:v>
                </c:pt>
                <c:pt idx="221">
                  <c:v>1.8434195278394405E-2</c:v>
                </c:pt>
                <c:pt idx="222">
                  <c:v>1.1701916571980497E-2</c:v>
                </c:pt>
                <c:pt idx="223">
                  <c:v>1.0570695054273438E-2</c:v>
                </c:pt>
                <c:pt idx="224">
                  <c:v>1.3829495062599007E-2</c:v>
                </c:pt>
                <c:pt idx="225">
                  <c:v>1.3713520900997533E-2</c:v>
                </c:pt>
                <c:pt idx="226">
                  <c:v>-4.1857314641016163E-3</c:v>
                </c:pt>
                <c:pt idx="227">
                  <c:v>1.6627473672638393E-2</c:v>
                </c:pt>
                <c:pt idx="228">
                  <c:v>9.4875560624387845E-3</c:v>
                </c:pt>
                <c:pt idx="229">
                  <c:v>-2.6065656978501162E-3</c:v>
                </c:pt>
                <c:pt idx="230">
                  <c:v>-1.2881532121825634E-3</c:v>
                </c:pt>
                <c:pt idx="231">
                  <c:v>2.2882211492585736E-2</c:v>
                </c:pt>
                <c:pt idx="232">
                  <c:v>3.8535016368612673E-3</c:v>
                </c:pt>
                <c:pt idx="233">
                  <c:v>-9.5178762314596099E-3</c:v>
                </c:pt>
                <c:pt idx="234">
                  <c:v>-1.5550423287055359E-2</c:v>
                </c:pt>
                <c:pt idx="235">
                  <c:v>-3.0483637073390857E-2</c:v>
                </c:pt>
                <c:pt idx="236">
                  <c:v>2.6721126460954592E-2</c:v>
                </c:pt>
                <c:pt idx="237">
                  <c:v>5.4569209049013523E-3</c:v>
                </c:pt>
                <c:pt idx="238">
                  <c:v>1.8505074504980845E-2</c:v>
                </c:pt>
                <c:pt idx="239">
                  <c:v>1.5430744567456633E-2</c:v>
                </c:pt>
                <c:pt idx="240">
                  <c:v>2.7345304070114373E-4</c:v>
                </c:pt>
                <c:pt idx="241">
                  <c:v>-5.129478674975041E-3</c:v>
                </c:pt>
                <c:pt idx="242">
                  <c:v>1.3165388949644363E-2</c:v>
                </c:pt>
                <c:pt idx="243">
                  <c:v>1.5823829775731824E-2</c:v>
                </c:pt>
                <c:pt idx="244">
                  <c:v>6.0792434895009517E-3</c:v>
                </c:pt>
                <c:pt idx="245">
                  <c:v>-7.5762571413307001E-4</c:v>
                </c:pt>
                <c:pt idx="246">
                  <c:v>1.95422309612312E-2</c:v>
                </c:pt>
                <c:pt idx="247">
                  <c:v>8.6507118953866868E-3</c:v>
                </c:pt>
                <c:pt idx="248">
                  <c:v>-1.9651508051529709E-2</c:v>
                </c:pt>
                <c:pt idx="249">
                  <c:v>-8.3378569198455654E-3</c:v>
                </c:pt>
                <c:pt idx="250">
                  <c:v>-2.0615126495082348E-2</c:v>
                </c:pt>
                <c:pt idx="251">
                  <c:v>-4.4886849066483325E-4</c:v>
                </c:pt>
                <c:pt idx="252">
                  <c:v>3.9312041107955942E-2</c:v>
                </c:pt>
                <c:pt idx="253">
                  <c:v>1.4468175411846751E-2</c:v>
                </c:pt>
                <c:pt idx="254">
                  <c:v>2.4473813444236825E-3</c:v>
                </c:pt>
                <c:pt idx="255">
                  <c:v>-4.2486365097692991E-2</c:v>
                </c:pt>
                <c:pt idx="256">
                  <c:v>4.0233580380129252E-2</c:v>
                </c:pt>
                <c:pt idx="257">
                  <c:v>1.3602828445432147E-2</c:v>
                </c:pt>
                <c:pt idx="258">
                  <c:v>6.2463491608999444E-3</c:v>
                </c:pt>
                <c:pt idx="259">
                  <c:v>2.2480865013378981E-3</c:v>
                </c:pt>
                <c:pt idx="260">
                  <c:v>1.1121402259480995E-2</c:v>
                </c:pt>
                <c:pt idx="261">
                  <c:v>8.5365232084388953E-3</c:v>
                </c:pt>
                <c:pt idx="262">
                  <c:v>-9.6424531032124339E-3</c:v>
                </c:pt>
                <c:pt idx="263">
                  <c:v>-1.3656796157722972E-2</c:v>
                </c:pt>
                <c:pt idx="264">
                  <c:v>4.6561276963587472E-2</c:v>
                </c:pt>
                <c:pt idx="265">
                  <c:v>-2.0835474546265109E-2</c:v>
                </c:pt>
                <c:pt idx="266">
                  <c:v>1.6815894163118683E-2</c:v>
                </c:pt>
                <c:pt idx="267">
                  <c:v>1.0560638313883874E-2</c:v>
                </c:pt>
                <c:pt idx="268">
                  <c:v>9.596566834872311E-3</c:v>
                </c:pt>
                <c:pt idx="269">
                  <c:v>-6.4332411626415453E-3</c:v>
                </c:pt>
                <c:pt idx="270">
                  <c:v>-1.9870758689518042E-2</c:v>
                </c:pt>
                <c:pt idx="271">
                  <c:v>6.7426668075041274E-3</c:v>
                </c:pt>
                <c:pt idx="272">
                  <c:v>-4.7513632334228451E-3</c:v>
                </c:pt>
                <c:pt idx="273">
                  <c:v>-1.9424611585417084E-2</c:v>
                </c:pt>
                <c:pt idx="274">
                  <c:v>2.9109138782370536E-2</c:v>
                </c:pt>
                <c:pt idx="275">
                  <c:v>1.7439720677851378E-2</c:v>
                </c:pt>
                <c:pt idx="276">
                  <c:v>-9.9505095499602403E-3</c:v>
                </c:pt>
                <c:pt idx="277">
                  <c:v>-2.4069992696632569E-3</c:v>
                </c:pt>
                <c:pt idx="278">
                  <c:v>1.4709557266100237E-2</c:v>
                </c:pt>
                <c:pt idx="279">
                  <c:v>-1.6599532914543969E-2</c:v>
                </c:pt>
                <c:pt idx="280">
                  <c:v>-9.7503103966012361E-3</c:v>
                </c:pt>
                <c:pt idx="281">
                  <c:v>-3.0951348507431309E-2</c:v>
                </c:pt>
                <c:pt idx="282">
                  <c:v>-2.2747954917210822E-2</c:v>
                </c:pt>
                <c:pt idx="283">
                  <c:v>5.0754428110406646E-3</c:v>
                </c:pt>
                <c:pt idx="284">
                  <c:v>-1.5283493477260546E-2</c:v>
                </c:pt>
                <c:pt idx="285">
                  <c:v>-9.0819802506875713E-2</c:v>
                </c:pt>
                <c:pt idx="286">
                  <c:v>5.7011277059534793E-2</c:v>
                </c:pt>
                <c:pt idx="287">
                  <c:v>-1.5039018455756392E-2</c:v>
                </c:pt>
                <c:pt idx="288">
                  <c:v>4.5906403289777131E-2</c:v>
                </c:pt>
                <c:pt idx="289">
                  <c:v>2.9222411832129591E-2</c:v>
                </c:pt>
                <c:pt idx="290">
                  <c:v>-4.705700522912859E-3</c:v>
                </c:pt>
                <c:pt idx="291">
                  <c:v>5.2734004307985805E-2</c:v>
                </c:pt>
                <c:pt idx="292">
                  <c:v>-2.6107777894873285E-2</c:v>
                </c:pt>
                <c:pt idx="293">
                  <c:v>1.8761588414845765E-2</c:v>
                </c:pt>
                <c:pt idx="294">
                  <c:v>1.4999081946761805E-2</c:v>
                </c:pt>
                <c:pt idx="295">
                  <c:v>-3.8980409459491439E-3</c:v>
                </c:pt>
                <c:pt idx="296">
                  <c:v>-1.5275918677116751E-3</c:v>
                </c:pt>
                <c:pt idx="297">
                  <c:v>3.4389324419234146E-2</c:v>
                </c:pt>
                <c:pt idx="298">
                  <c:v>1.7216761913259271E-2</c:v>
                </c:pt>
                <c:pt idx="299">
                  <c:v>-3.1213576805608767E-3</c:v>
                </c:pt>
                <c:pt idx="300">
                  <c:v>5.9171754562881151E-3</c:v>
                </c:pt>
                <c:pt idx="301">
                  <c:v>1.458681281834906E-2</c:v>
                </c:pt>
                <c:pt idx="302">
                  <c:v>-2.3577845655760266E-2</c:v>
                </c:pt>
                <c:pt idx="303">
                  <c:v>2.4277042739179855E-2</c:v>
                </c:pt>
                <c:pt idx="304">
                  <c:v>9.4451959918671058E-3</c:v>
                </c:pt>
                <c:pt idx="305">
                  <c:v>2.6528500233549135E-3</c:v>
                </c:pt>
                <c:pt idx="306">
                  <c:v>-1.0283722000641315E-3</c:v>
                </c:pt>
                <c:pt idx="307">
                  <c:v>3.2878297693259562E-3</c:v>
                </c:pt>
                <c:pt idx="308">
                  <c:v>1.5858989286816394E-2</c:v>
                </c:pt>
                <c:pt idx="309">
                  <c:v>1.2160737717160197E-2</c:v>
                </c:pt>
                <c:pt idx="310">
                  <c:v>-3.1000228667991125E-3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71-474B-85BE-511B1AA38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057896"/>
        <c:axId val="1291060520"/>
      </c:scatterChart>
      <c:valAx>
        <c:axId val="1291057896"/>
        <c:scaling>
          <c:orientation val="minMax"/>
        </c:scaling>
        <c:delete val="1"/>
        <c:axPos val="b"/>
        <c:numFmt formatCode="_(#,##0.0%_);\(#,##0.0%\);_(&quot;–&quot;_)_%;_(@_)_%" sourceLinked="0"/>
        <c:majorTickMark val="none"/>
        <c:minorTickMark val="none"/>
        <c:tickLblPos val="nextTo"/>
        <c:crossAx val="1291060520"/>
        <c:crosses val="autoZero"/>
        <c:crossBetween val="midCat"/>
      </c:valAx>
      <c:valAx>
        <c:axId val="1291060520"/>
        <c:scaling>
          <c:orientation val="minMax"/>
        </c:scaling>
        <c:delete val="0"/>
        <c:axPos val="l"/>
        <c:numFmt formatCode="_(#,##0.0%_);\(#,##0.0%\);_(&quot;–&quot;_)_%;_(@_)_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291057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Dividend</a:t>
            </a:r>
            <a:r>
              <a:rPr lang="en-US" baseline="0"/>
              <a:t> Yield%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Ratios!$B$27</c:f>
              <c:strCache>
                <c:ptCount val="1"/>
                <c:pt idx="0">
                  <c:v>Div Yield PBR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Ratios!$C$7:$G$7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Ratios!$C$27:$G$27</c:f>
              <c:numCache>
                <c:formatCode>0.00%</c:formatCode>
                <c:ptCount val="5"/>
                <c:pt idx="0">
                  <c:v>3.5618878005342831E-3</c:v>
                </c:pt>
                <c:pt idx="1">
                  <c:v>9.5628415300546443E-2</c:v>
                </c:pt>
                <c:pt idx="2">
                  <c:v>0.31079812206572771</c:v>
                </c:pt>
                <c:pt idx="3">
                  <c:v>9.142141515341265E-2</c:v>
                </c:pt>
                <c:pt idx="4">
                  <c:v>9.4090202177293941E-2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9-2746-860A-20882BF596FB}"/>
            </c:ext>
          </c:extLst>
        </c:ser>
        <c:ser>
          <c:idx val="1"/>
          <c:order val="1"/>
          <c:tx>
            <c:strRef>
              <c:f>Ratios!$B$28</c:f>
              <c:strCache>
                <c:ptCount val="1"/>
                <c:pt idx="0">
                  <c:v>Div Yield PBR.A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Ratios!$C$7:$G$7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Ratios!$C$28:$G$28</c:f>
              <c:numCache>
                <c:formatCode>0.00%</c:formatCode>
                <c:ptCount val="5"/>
                <c:pt idx="0">
                  <c:v>3.1156480179132503E-4</c:v>
                </c:pt>
                <c:pt idx="1">
                  <c:v>0.14570572134461646</c:v>
                </c:pt>
                <c:pt idx="2">
                  <c:v>0.8725992030224583</c:v>
                </c:pt>
                <c:pt idx="3">
                  <c:v>0.17580420120688239</c:v>
                </c:pt>
                <c:pt idx="4">
                  <c:v>5.4955832751373841E-2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59-2746-860A-20882BF59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2293312"/>
        <c:axId val="1794890304"/>
      </c:barChart>
      <c:catAx>
        <c:axId val="158229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890304"/>
        <c:crosses val="autoZero"/>
        <c:auto val="1"/>
        <c:lblAlgn val="ctr"/>
        <c:lblOffset val="100"/>
        <c:noMultiLvlLbl val="0"/>
      </c:catAx>
      <c:valAx>
        <c:axId val="179489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29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Ratios!$B$22</c:f>
              <c:strCache>
                <c:ptCount val="1"/>
                <c:pt idx="0">
                  <c:v>Earnings per share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Ratios!$C$7:$G$7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Ratios!$C$22:$G$22</c:f>
              <c:numCache>
                <c:formatCode>0.00</c:formatCode>
                <c:ptCount val="5"/>
                <c:pt idx="0">
                  <c:v>8.7471818102914503E-2</c:v>
                </c:pt>
                <c:pt idx="1">
                  <c:v>1.5236655432037036</c:v>
                </c:pt>
                <c:pt idx="2">
                  <c:v>2.8076077076100243</c:v>
                </c:pt>
                <c:pt idx="3">
                  <c:v>1.9230089679958302</c:v>
                </c:pt>
                <c:pt idx="4">
                  <c:v>0.58407604064683272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B4-E540-B1B8-3420ED4A1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6229376"/>
        <c:axId val="1806226688"/>
      </c:lineChart>
      <c:catAx>
        <c:axId val="180622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226688"/>
        <c:crosses val="autoZero"/>
        <c:auto val="1"/>
        <c:lblAlgn val="ctr"/>
        <c:lblOffset val="100"/>
        <c:noMultiLvlLbl val="0"/>
      </c:catAx>
      <c:valAx>
        <c:axId val="180622668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22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Profitability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Ratios!$B$61</c:f>
              <c:strCache>
                <c:ptCount val="1"/>
                <c:pt idx="0">
                  <c:v>Profit Margin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Ratios!$C$7:$G$7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Ratios!$C$61:$G$61</c:f>
              <c:numCache>
                <c:formatCode>0.00%</c:formatCode>
                <c:ptCount val="5"/>
                <c:pt idx="0">
                  <c:v>2.1254400834528623E-2</c:v>
                </c:pt>
                <c:pt idx="1">
                  <c:v>0.23670295119453111</c:v>
                </c:pt>
                <c:pt idx="2">
                  <c:v>0.29422208654016102</c:v>
                </c:pt>
                <c:pt idx="3">
                  <c:v>0.24298645626849202</c:v>
                </c:pt>
                <c:pt idx="4">
                  <c:v>8.2348822963157431E-2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34-7240-A698-A76F436874D3}"/>
            </c:ext>
          </c:extLst>
        </c:ser>
        <c:ser>
          <c:idx val="1"/>
          <c:order val="1"/>
          <c:tx>
            <c:strRef>
              <c:f>Ratios!$B$62</c:f>
              <c:strCache>
                <c:ptCount val="1"/>
                <c:pt idx="0">
                  <c:v>ROE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Ratios!$C$7:$G$7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Ratios!$C$62:$G$62</c:f>
              <c:numCache>
                <c:formatCode>0.00%</c:formatCode>
                <c:ptCount val="5"/>
                <c:pt idx="0">
                  <c:v>1.9056049168281113E-2</c:v>
                </c:pt>
                <c:pt idx="1">
                  <c:v>0.28469317595828797</c:v>
                </c:pt>
                <c:pt idx="2">
                  <c:v>0.52441434217309124</c:v>
                </c:pt>
                <c:pt idx="3">
                  <c:v>0.31508705286483063</c:v>
                </c:pt>
                <c:pt idx="4">
                  <c:v>0.1268407750631845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34-7240-A698-A76F436874D3}"/>
            </c:ext>
          </c:extLst>
        </c:ser>
        <c:ser>
          <c:idx val="2"/>
          <c:order val="2"/>
          <c:tx>
            <c:strRef>
              <c:f>Ratios!$B$63</c:f>
              <c:strCache>
                <c:ptCount val="1"/>
                <c:pt idx="0">
                  <c:v>ROA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Ratios!$C$7:$G$7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Ratios!$C$63:$G$63</c:f>
              <c:numCache>
                <c:formatCode>0.00%</c:formatCode>
                <c:ptCount val="5"/>
                <c:pt idx="0">
                  <c:v>6.0049471080469447E-3</c:v>
                </c:pt>
                <c:pt idx="1">
                  <c:v>0.11399614563975498</c:v>
                </c:pt>
                <c:pt idx="2">
                  <c:v>0.19564508977461523</c:v>
                </c:pt>
                <c:pt idx="3">
                  <c:v>0.11463741609733401</c:v>
                </c:pt>
                <c:pt idx="4">
                  <c:v>4.1443474909851633E-2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34-7240-A698-A76F43687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8051200"/>
        <c:axId val="1708791488"/>
      </c:lineChart>
      <c:catAx>
        <c:axId val="145805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791488"/>
        <c:crosses val="autoZero"/>
        <c:auto val="1"/>
        <c:lblAlgn val="ctr"/>
        <c:lblOffset val="100"/>
        <c:noMultiLvlLbl val="0"/>
      </c:catAx>
      <c:valAx>
        <c:axId val="170879148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05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Liquidity</a:t>
            </a:r>
            <a:r>
              <a:rPr lang="en-US" baseline="0"/>
              <a:t> Ratios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Ratios!$B$44</c:f>
              <c:strCache>
                <c:ptCount val="1"/>
                <c:pt idx="0">
                  <c:v>Current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Ratios!$C$7:$G$7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Ratios!$C$44:$G$44</c:f>
              <c:numCache>
                <c:formatCode>0.000</c:formatCode>
                <c:ptCount val="5"/>
                <c:pt idx="0">
                  <c:v>1.0443469971401336</c:v>
                </c:pt>
                <c:pt idx="1">
                  <c:v>1.2470632031767042</c:v>
                </c:pt>
                <c:pt idx="2">
                  <c:v>0.99585723390694714</c:v>
                </c:pt>
                <c:pt idx="3">
                  <c:v>0.95821027761370348</c:v>
                </c:pt>
                <c:pt idx="4">
                  <c:v>0.69408773045136685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CD-AE40-8206-519A227E5E42}"/>
            </c:ext>
          </c:extLst>
        </c:ser>
        <c:ser>
          <c:idx val="1"/>
          <c:order val="1"/>
          <c:tx>
            <c:strRef>
              <c:f>Ratios!$B$45</c:f>
              <c:strCache>
                <c:ptCount val="1"/>
                <c:pt idx="0">
                  <c:v>Quick Ration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Ratios!$C$7:$G$7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Ratios!$C$45:$G$45</c:f>
              <c:numCache>
                <c:formatCode>0.000</c:formatCode>
                <c:ptCount val="5"/>
                <c:pt idx="0">
                  <c:v>0.82787416587225926</c:v>
                </c:pt>
                <c:pt idx="1">
                  <c:v>0.94697220383851755</c:v>
                </c:pt>
                <c:pt idx="2">
                  <c:v>0.7160930528999363</c:v>
                </c:pt>
                <c:pt idx="3">
                  <c:v>0.73136444181925575</c:v>
                </c:pt>
                <c:pt idx="4">
                  <c:v>0.48080101716465351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CD-AE40-8206-519A227E5E42}"/>
            </c:ext>
          </c:extLst>
        </c:ser>
        <c:ser>
          <c:idx val="2"/>
          <c:order val="2"/>
          <c:tx>
            <c:strRef>
              <c:f>Ratios!$B$46</c:f>
              <c:strCache>
                <c:ptCount val="1"/>
                <c:pt idx="0">
                  <c:v>Cash Ratio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Ratios!$C$7:$G$7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Ratios!$C$46:$G$46</c:f>
              <c:numCache>
                <c:formatCode>0.000</c:formatCode>
                <c:ptCount val="5"/>
                <c:pt idx="0">
                  <c:v>0.44655862726406104</c:v>
                </c:pt>
                <c:pt idx="1">
                  <c:v>0.43295003309066843</c:v>
                </c:pt>
                <c:pt idx="2">
                  <c:v>0.25481198215423839</c:v>
                </c:pt>
                <c:pt idx="3">
                  <c:v>0.37587123449497933</c:v>
                </c:pt>
                <c:pt idx="4">
                  <c:v>0.10397329942784488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CD-AE40-8206-519A227E5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4052991"/>
        <c:axId val="2012640031"/>
      </c:lineChart>
      <c:catAx>
        <c:axId val="179405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N"/>
          </a:p>
        </c:txPr>
        <c:crossAx val="2012640031"/>
        <c:crosses val="autoZero"/>
        <c:auto val="1"/>
        <c:lblAlgn val="ctr"/>
        <c:lblOffset val="100"/>
        <c:noMultiLvlLbl val="0"/>
      </c:catAx>
      <c:valAx>
        <c:axId val="201264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N"/>
          </a:p>
        </c:txPr>
        <c:crossAx val="179405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CA" sz="1400" b="1" i="0">
                <a:solidFill>
                  <a:srgbClr val="757575"/>
                </a:solidFill>
                <a:latin typeface="+mn-lt"/>
              </a:rPr>
              <a:t>Revenue &amp; Gross Profit Margin</a:t>
            </a:r>
          </a:p>
        </c:rich>
      </c:tx>
      <c:layout>
        <c:manualLayout>
          <c:xMode val="edge"/>
          <c:yMode val="edge"/>
          <c:x val="0.25405555555555548"/>
          <c:y val="2.77777777777777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214371079432063"/>
          <c:y val="0.1056544562364487"/>
          <c:w val="0.7707335929414052"/>
          <c:h val="0.6945779603636502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'3-Statement Analysis'!$A$111</c:f>
              <c:strCache>
                <c:ptCount val="1"/>
                <c:pt idx="0">
                  <c:v> Revenue</c:v>
                </c:pt>
              </c:strCache>
            </c:strRef>
          </c:tx>
          <c:spPr>
            <a:solidFill>
              <a:srgbClr val="3271D2"/>
            </a:solidFill>
            <a:ln cmpd="sng">
              <a:noFill/>
            </a:ln>
          </c:spPr>
          <c:invertIfNegative val="1"/>
          <c:cat>
            <c:numRef>
              <c:f>'3-Statement Analysis'!$D$2:$P$2</c:f>
              <c:numCache>
                <c:formatCode>#,##0_);\(#,##0\)</c:formatCode>
                <c:ptCount val="1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 formatCode="0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 formatCode="0">
                  <c:v>2030</c:v>
                </c:pt>
                <c:pt idx="11" formatCode="0">
                  <c:v>2031</c:v>
                </c:pt>
                <c:pt idx="12" formatCode="0">
                  <c:v>2032</c:v>
                </c:pt>
              </c:numCache>
            </c:numRef>
          </c:cat>
          <c:val>
            <c:numRef>
              <c:f>'3-Statement Analysis'!$D$111:$P$111</c:f>
              <c:numCache>
                <c:formatCode>_-* #,##0_-;\(#,##0\)_-;_-* "-"_-;_-@</c:formatCode>
                <c:ptCount val="13"/>
                <c:pt idx="0">
                  <c:v>53683000</c:v>
                </c:pt>
                <c:pt idx="1">
                  <c:v>83966000</c:v>
                </c:pt>
                <c:pt idx="2">
                  <c:v>124474000</c:v>
                </c:pt>
                <c:pt idx="3">
                  <c:v>102409000</c:v>
                </c:pt>
                <c:pt idx="4">
                  <c:v>91416000</c:v>
                </c:pt>
                <c:pt idx="5">
                  <c:v>102038539.2</c:v>
                </c:pt>
                <c:pt idx="6">
                  <c:v>113895417.45504001</c:v>
                </c:pt>
                <c:pt idx="7">
                  <c:v>120934154.25376149</c:v>
                </c:pt>
                <c:pt idx="8">
                  <c:v>128407884.98664396</c:v>
                </c:pt>
                <c:pt idx="9">
                  <c:v>136343492.27881855</c:v>
                </c:pt>
                <c:pt idx="10">
                  <c:v>144769520.10164955</c:v>
                </c:pt>
                <c:pt idx="11">
                  <c:v>153716276.44393152</c:v>
                </c:pt>
                <c:pt idx="12">
                  <c:v>163215942.32816651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523-5940-A60F-A699B44E6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47515175"/>
        <c:axId val="713451283"/>
      </c:barChart>
      <c:lineChart>
        <c:grouping val="standard"/>
        <c:varyColors val="1"/>
        <c:ser>
          <c:idx val="1"/>
          <c:order val="1"/>
          <c:tx>
            <c:strRef>
              <c:f>'3-Statement Analysis'!$A$112</c:f>
              <c:strCache>
                <c:ptCount val="1"/>
                <c:pt idx="0">
                  <c:v> Gross Profit Margin (%)</c:v>
                </c:pt>
              </c:strCache>
            </c:strRef>
          </c:tx>
          <c:marker>
            <c:symbol val="none"/>
          </c:marker>
          <c:cat>
            <c:numRef>
              <c:f>'3-Statement Analysis'!$D$2:$P$2</c:f>
              <c:numCache>
                <c:formatCode>#,##0_);\(#,##0\)</c:formatCode>
                <c:ptCount val="1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 formatCode="0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 formatCode="0">
                  <c:v>2030</c:v>
                </c:pt>
                <c:pt idx="11" formatCode="0">
                  <c:v>2031</c:v>
                </c:pt>
                <c:pt idx="12" formatCode="0">
                  <c:v>2032</c:v>
                </c:pt>
              </c:numCache>
            </c:numRef>
          </c:cat>
          <c:val>
            <c:numRef>
              <c:f>'3-Statement Analysis'!$D$112:$P$112</c:f>
              <c:numCache>
                <c:formatCode>0.0%</c:formatCode>
                <c:ptCount val="13"/>
                <c:pt idx="0">
                  <c:v>0.45615930555296835</c:v>
                </c:pt>
                <c:pt idx="1">
                  <c:v>0.48593478312650357</c:v>
                </c:pt>
                <c:pt idx="2">
                  <c:v>0.52210100101225954</c:v>
                </c:pt>
                <c:pt idx="3">
                  <c:v>0.52704352156548739</c:v>
                </c:pt>
                <c:pt idx="4">
                  <c:v>0.50288789708584936</c:v>
                </c:pt>
                <c:pt idx="5">
                  <c:v>0.49882530166861366</c:v>
                </c:pt>
                <c:pt idx="6">
                  <c:v>0.49882530166861372</c:v>
                </c:pt>
                <c:pt idx="7">
                  <c:v>0.49882530166861372</c:v>
                </c:pt>
                <c:pt idx="8">
                  <c:v>0.49882530166861372</c:v>
                </c:pt>
                <c:pt idx="9">
                  <c:v>0.49882530166861366</c:v>
                </c:pt>
                <c:pt idx="10">
                  <c:v>0.49882530166861377</c:v>
                </c:pt>
                <c:pt idx="11">
                  <c:v>0.49882530166861372</c:v>
                </c:pt>
                <c:pt idx="12">
                  <c:v>0.49882530166861377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23-5940-A60F-A699B44E6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133744"/>
        <c:axId val="397132784"/>
      </c:lineChart>
      <c:catAx>
        <c:axId val="1347515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#,##0_);\(#,##0\)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3451283"/>
        <c:crosses val="autoZero"/>
        <c:auto val="1"/>
        <c:lblAlgn val="ctr"/>
        <c:lblOffset val="100"/>
        <c:noMultiLvlLbl val="1"/>
      </c:catAx>
      <c:valAx>
        <c:axId val="7134512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_-* #,##0_-;\(#,##0\)_-;_-* &quot;-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7515175"/>
        <c:crosses val="autoZero"/>
        <c:crossBetween val="between"/>
        <c:dispUnits>
          <c:builtInUnit val="thousands"/>
          <c:dispUnitsLbl/>
        </c:dispUnits>
      </c:valAx>
      <c:valAx>
        <c:axId val="397132784"/>
        <c:scaling>
          <c:orientation val="minMax"/>
          <c:max val="1"/>
        </c:scaling>
        <c:delete val="0"/>
        <c:axPos val="r"/>
        <c:numFmt formatCode="0.0%" sourceLinked="1"/>
        <c:majorTickMark val="out"/>
        <c:minorTickMark val="none"/>
        <c:tickLblPos val="nextTo"/>
        <c:crossAx val="397133744"/>
        <c:crosses val="max"/>
        <c:crossBetween val="between"/>
      </c:valAx>
      <c:catAx>
        <c:axId val="397133744"/>
        <c:scaling>
          <c:orientation val="minMax"/>
        </c:scaling>
        <c:delete val="1"/>
        <c:axPos val="b"/>
        <c:numFmt formatCode="#,##0_);\(#,##0\)" sourceLinked="1"/>
        <c:majorTickMark val="out"/>
        <c:minorTickMark val="none"/>
        <c:tickLblPos val="nextTo"/>
        <c:crossAx val="39713278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zero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CA" sz="1400" b="1" i="0">
                <a:solidFill>
                  <a:srgbClr val="757575"/>
                </a:solidFill>
                <a:latin typeface="+mn-lt"/>
              </a:rPr>
              <a:t>Cash Flow</a:t>
            </a:r>
          </a:p>
        </c:rich>
      </c:tx>
      <c:layout>
        <c:manualLayout>
          <c:xMode val="edge"/>
          <c:yMode val="edge"/>
          <c:x val="0.50641951006124231"/>
          <c:y val="9.058161208109856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827063283756198"/>
          <c:y val="8.2505991098938719E-2"/>
          <c:w val="0.76735564304461945"/>
          <c:h val="0.68390961999315303"/>
        </c:manualLayout>
      </c:layout>
      <c:barChart>
        <c:barDir val="col"/>
        <c:grouping val="stacked"/>
        <c:varyColors val="1"/>
        <c:ser>
          <c:idx val="1"/>
          <c:order val="0"/>
          <c:tx>
            <c:strRef>
              <c:f>'3-Statement Analysis'!$A$114</c:f>
              <c:strCache>
                <c:ptCount val="1"/>
                <c:pt idx="0">
                  <c:v> Operating Cash Flow</c:v>
                </c:pt>
              </c:strCache>
            </c:strRef>
          </c:tx>
          <c:spPr>
            <a:solidFill>
              <a:srgbClr val="3271D2"/>
            </a:solidFill>
          </c:spPr>
          <c:invertIfNegative val="1"/>
          <c:cat>
            <c:numRef>
              <c:f>'3-Statement Analysis'!$D$2:$P$2</c:f>
              <c:numCache>
                <c:formatCode>#,##0_);\(#,##0\)</c:formatCode>
                <c:ptCount val="1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 formatCode="0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 formatCode="0">
                  <c:v>2030</c:v>
                </c:pt>
                <c:pt idx="11" formatCode="0">
                  <c:v>2031</c:v>
                </c:pt>
                <c:pt idx="12" formatCode="0">
                  <c:v>2032</c:v>
                </c:pt>
              </c:numCache>
            </c:numRef>
          </c:cat>
          <c:val>
            <c:numRef>
              <c:f>'3-Statement Analysis'!$D$114:$P$114</c:f>
              <c:numCache>
                <c:formatCode>_-* #,##0_-;\(#,##0\)_-;_-* "-"_-;_-@</c:formatCode>
                <c:ptCount val="13"/>
                <c:pt idx="0">
                  <c:v>17562000</c:v>
                </c:pt>
                <c:pt idx="1">
                  <c:v>16126000</c:v>
                </c:pt>
                <c:pt idx="2">
                  <c:v>4402000</c:v>
                </c:pt>
                <c:pt idx="3">
                  <c:v>15404000</c:v>
                </c:pt>
                <c:pt idx="4">
                  <c:v>8700000</c:v>
                </c:pt>
                <c:pt idx="5">
                  <c:v>24140589.047970705</c:v>
                </c:pt>
                <c:pt idx="6">
                  <c:v>30154946.12129705</c:v>
                </c:pt>
                <c:pt idx="7">
                  <c:v>32639046.386368617</c:v>
                </c:pt>
                <c:pt idx="8">
                  <c:v>34901639.89375215</c:v>
                </c:pt>
                <c:pt idx="9">
                  <c:v>37543929.729165286</c:v>
                </c:pt>
                <c:pt idx="10">
                  <c:v>40267031.171357594</c:v>
                </c:pt>
                <c:pt idx="11">
                  <c:v>43206582.990632646</c:v>
                </c:pt>
                <c:pt idx="12">
                  <c:v>46310644.224820383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D6D8-4A4D-9F0A-DC607D3C7A9F}"/>
            </c:ext>
          </c:extLst>
        </c:ser>
        <c:ser>
          <c:idx val="0"/>
          <c:order val="1"/>
          <c:tx>
            <c:strRef>
              <c:f>'3-Statement Analysis'!$A$115</c:f>
              <c:strCache>
                <c:ptCount val="1"/>
                <c:pt idx="0">
                  <c:v> Investing Cash Flow</c:v>
                </c:pt>
              </c:strCache>
            </c:strRef>
          </c:tx>
          <c:spPr>
            <a:solidFill>
              <a:srgbClr val="000C3F"/>
            </a:solidFill>
          </c:spPr>
          <c:invertIfNegative val="0"/>
          <c:cat>
            <c:numRef>
              <c:f>'3-Statement Analysis'!$D$2:$P$2</c:f>
              <c:numCache>
                <c:formatCode>#,##0_);\(#,##0\)</c:formatCode>
                <c:ptCount val="1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 formatCode="0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 formatCode="0">
                  <c:v>2030</c:v>
                </c:pt>
                <c:pt idx="11" formatCode="0">
                  <c:v>2031</c:v>
                </c:pt>
                <c:pt idx="12" formatCode="0">
                  <c:v>2032</c:v>
                </c:pt>
              </c:numCache>
            </c:numRef>
          </c:cat>
          <c:val>
            <c:numRef>
              <c:f>'3-Statement Analysis'!$D$115:$P$115</c:f>
              <c:numCache>
                <c:formatCode>_-* #,##0_-;\(#,##0\)_-;_-* "-"_-;_-@</c:formatCode>
                <c:ptCount val="13"/>
                <c:pt idx="0">
                  <c:v>4510000</c:v>
                </c:pt>
                <c:pt idx="1">
                  <c:v>-2157000</c:v>
                </c:pt>
                <c:pt idx="2">
                  <c:v>432000</c:v>
                </c:pt>
                <c:pt idx="3">
                  <c:v>7955000</c:v>
                </c:pt>
                <c:pt idx="4">
                  <c:v>13369000</c:v>
                </c:pt>
                <c:pt idx="5">
                  <c:v>4821800</c:v>
                </c:pt>
                <c:pt idx="6">
                  <c:v>4821800</c:v>
                </c:pt>
                <c:pt idx="7">
                  <c:v>4821800</c:v>
                </c:pt>
                <c:pt idx="8">
                  <c:v>4821800</c:v>
                </c:pt>
                <c:pt idx="9">
                  <c:v>4821800</c:v>
                </c:pt>
                <c:pt idx="10">
                  <c:v>4821800</c:v>
                </c:pt>
                <c:pt idx="11">
                  <c:v>4821800</c:v>
                </c:pt>
                <c:pt idx="12">
                  <c:v>4821800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D8-4A4D-9F0A-DC607D3C7A9F}"/>
            </c:ext>
          </c:extLst>
        </c:ser>
        <c:ser>
          <c:idx val="2"/>
          <c:order val="2"/>
          <c:tx>
            <c:strRef>
              <c:f>'3-Statement Analysis'!$A$116</c:f>
              <c:strCache>
                <c:ptCount val="1"/>
                <c:pt idx="0">
                  <c:v> Financing Cash Flow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cat>
            <c:numRef>
              <c:f>'3-Statement Analysis'!$D$2:$P$2</c:f>
              <c:numCache>
                <c:formatCode>#,##0_);\(#,##0\)</c:formatCode>
                <c:ptCount val="1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 formatCode="0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 formatCode="0">
                  <c:v>2030</c:v>
                </c:pt>
                <c:pt idx="11" formatCode="0">
                  <c:v>2031</c:v>
                </c:pt>
                <c:pt idx="12" formatCode="0">
                  <c:v>2032</c:v>
                </c:pt>
              </c:numCache>
            </c:numRef>
          </c:cat>
          <c:val>
            <c:numRef>
              <c:f>'3-Statement Analysis'!$D$116:$P$116</c:f>
              <c:numCache>
                <c:formatCode>_-* #,##0_-;\(#,##0\)_-;_-* "-"_-;_-@</c:formatCode>
                <c:ptCount val="13"/>
                <c:pt idx="0">
                  <c:v>-8704000</c:v>
                </c:pt>
                <c:pt idx="1">
                  <c:v>-19528000</c:v>
                </c:pt>
                <c:pt idx="2">
                  <c:v>-6454000</c:v>
                </c:pt>
                <c:pt idx="3">
                  <c:v>-2718000</c:v>
                </c:pt>
                <c:pt idx="4">
                  <c:v>-4787000</c:v>
                </c:pt>
                <c:pt idx="5">
                  <c:v>-8438200</c:v>
                </c:pt>
                <c:pt idx="6">
                  <c:v>-8438200</c:v>
                </c:pt>
                <c:pt idx="7">
                  <c:v>-8438200</c:v>
                </c:pt>
                <c:pt idx="8">
                  <c:v>-8438200</c:v>
                </c:pt>
                <c:pt idx="9">
                  <c:v>-8438200</c:v>
                </c:pt>
                <c:pt idx="10">
                  <c:v>-8438200</c:v>
                </c:pt>
                <c:pt idx="11">
                  <c:v>-8438200</c:v>
                </c:pt>
                <c:pt idx="12">
                  <c:v>-8438200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D8-4A4D-9F0A-DC607D3C7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5398482"/>
        <c:axId val="1129587394"/>
      </c:barChart>
      <c:catAx>
        <c:axId val="925398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#,##0_);\(#,##0\)" sourceLinked="1"/>
        <c:majorTickMark val="none"/>
        <c:minorTickMark val="none"/>
        <c:tickLblPos val="low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9587394"/>
        <c:crosses val="autoZero"/>
        <c:auto val="1"/>
        <c:lblAlgn val="ctr"/>
        <c:lblOffset val="100"/>
        <c:noMultiLvlLbl val="1"/>
      </c:catAx>
      <c:valAx>
        <c:axId val="11295873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_-* #,##0_-;\(#,##0\)_-;_-* &quot;-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539848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2" fmlaLink="$G$52" fmlaRange="$E$60:$E$62" noThreeD="1" sel="2" val="0"/>
</file>

<file path=xl/ctrlProps/ctrlProp2.xml><?xml version="1.0" encoding="utf-8"?>
<formControlPr xmlns="http://schemas.microsoft.com/office/spreadsheetml/2009/9/main" objectType="Drop" dropStyle="combo" dx="22" fmlaLink="$G$52" fmlaRange="$D$14:$D$16" noThreeD="1" sel="2" val="0"/>
</file>

<file path=xl/ctrlProps/ctrlProp3.xml><?xml version="1.0" encoding="utf-8"?>
<formControlPr xmlns="http://schemas.microsoft.com/office/spreadsheetml/2009/9/main" objectType="Drop" dropStyle="combo" dx="22" fmlaLink="Outputs!$G$52" fmlaRange="$B$12:$B$14" noThreeD="1" sel="2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469900</xdr:colOff>
      <xdr:row>2</xdr:row>
      <xdr:rowOff>63501</xdr:rowOff>
    </xdr:from>
    <xdr:to>
      <xdr:col>3</xdr:col>
      <xdr:colOff>348199</xdr:colOff>
      <xdr:row>6</xdr:row>
      <xdr:rowOff>165100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23FAA4-E07E-4CB2-558E-5AED63C42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469901"/>
          <a:ext cx="1529299" cy="9143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608479</xdr:colOff>
      <xdr:row>3</xdr:row>
      <xdr:rowOff>18938</xdr:rowOff>
    </xdr:from>
    <xdr:to>
      <xdr:col>13</xdr:col>
      <xdr:colOff>112059</xdr:colOff>
      <xdr:row>27</xdr:row>
      <xdr:rowOff>52842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D82E7F-5575-4431-A62A-55C0D4A70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802342</xdr:colOff>
      <xdr:row>12</xdr:row>
      <xdr:rowOff>73486</xdr:rowOff>
    </xdr:from>
    <xdr:to>
      <xdr:col>12</xdr:col>
      <xdr:colOff>313764</xdr:colOff>
      <xdr:row>12</xdr:row>
      <xdr:rowOff>73486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D06BAA5-DBFE-451C-82CB-3ECF29ECC7B0}"/>
            </a:ext>
          </a:extLst>
        </xdr:cNvPr>
        <xdr:cNvCxnSpPr/>
      </xdr:nvCxnSpPr>
      <xdr:spPr>
        <a:xfrm>
          <a:off x="2364442" y="2359486"/>
          <a:ext cx="5035922" cy="0"/>
        </a:xfrm>
        <a:prstGeom prst="line">
          <a:avLst/>
        </a:prstGeom>
        <a:ln w="28575">
          <a:solidFill>
            <a:schemeClr val="accent2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487719</xdr:colOff>
      <xdr:row>4</xdr:row>
      <xdr:rowOff>111695</xdr:rowOff>
    </xdr:from>
    <xdr:to>
      <xdr:col>8</xdr:col>
      <xdr:colOff>277273</xdr:colOff>
      <xdr:row>7</xdr:row>
      <xdr:rowOff>13830</xdr:rowOff>
    </xdr:to>
    <xdr:sp macro="" textlink="$D$40">
      <xdr:nvSpPr>
        <xdr:cNvPr id="4" name="TextBox 3">
          <a:extLst>
            <a:ext uri="{FF2B5EF4-FFF2-40B4-BE49-F238E27FC236}">
              <a16:creationId xmlns:a16="http://schemas.microsoft.com/office/drawing/2014/main" id="{C2B1A053-5898-4B6F-AFBC-E65B9B409BA8}"/>
            </a:ext>
          </a:extLst>
        </xdr:cNvPr>
        <xdr:cNvSpPr txBox="1"/>
      </xdr:nvSpPr>
      <xdr:spPr>
        <a:xfrm>
          <a:off x="4596264" y="1448038"/>
          <a:ext cx="1580822" cy="4565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E2B0B91-EF52-48FD-952A-B01AB436D0EA}" type="TxLink">
            <a:rPr lang="en-US" sz="1000" b="0" i="0" u="none" strike="noStrike">
              <a:solidFill>
                <a:srgbClr val="000000"/>
              </a:solidFill>
              <a:latin typeface="Open Sans"/>
              <a:ea typeface="Open Sans"/>
              <a:cs typeface="Open Sans"/>
            </a:rPr>
            <a:pPr/>
            <a:t>Average Valuation: $037</a:t>
          </a:fld>
          <a:endParaRPr lang="en-US" sz="900" b="1">
            <a:solidFill>
              <a:schemeClr val="accent2"/>
            </a:solidFill>
            <a:latin typeface="Open Sans" panose="020B0606030504020204" pitchFamily="34" charset="0"/>
            <a:ea typeface="Open Sans" panose="020B0606030504020204" pitchFamily="34" charset="0"/>
            <a:cs typeface="Open Sans" panose="020B0606030504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73528</xdr:colOff>
      <xdr:row>0</xdr:row>
      <xdr:rowOff>664522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9E78A8B-E346-98C9-ED60-754FB235D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70618" cy="6645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51</xdr:row>
          <xdr:rowOff>0</xdr:rowOff>
        </xdr:from>
        <xdr:to>
          <xdr:col>7</xdr:col>
          <xdr:colOff>0</xdr:colOff>
          <xdr:row>52</xdr:row>
          <xdr:rowOff>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</xdr:row>
          <xdr:rowOff>0</xdr:rowOff>
        </xdr:from>
        <xdr:to>
          <xdr:col>6</xdr:col>
          <xdr:colOff>0</xdr:colOff>
          <xdr:row>6</xdr:row>
          <xdr:rowOff>0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1</xdr:rowOff>
    </xdr:from>
    <xdr:to>
      <xdr:col>1</xdr:col>
      <xdr:colOff>56316</xdr:colOff>
      <xdr:row>1</xdr:row>
      <xdr:rowOff>37878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646FFC-4C09-48A7-8F53-02AD2DCC0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70428" cy="6645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518160</xdr:colOff>
          <xdr:row>6</xdr:row>
          <xdr:rowOff>0</xdr:rowOff>
        </xdr:from>
        <xdr:to>
          <xdr:col>3</xdr:col>
          <xdr:colOff>784860</xdr:colOff>
          <xdr:row>7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3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15</xdr:col>
      <xdr:colOff>536618</xdr:colOff>
      <xdr:row>19</xdr:row>
      <xdr:rowOff>20552</xdr:rowOff>
    </xdr:from>
    <xdr:to>
      <xdr:col>21</xdr:col>
      <xdr:colOff>520225</xdr:colOff>
      <xdr:row>30</xdr:row>
      <xdr:rowOff>42568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64171C-76D0-FF89-0628-7F3CA5244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25139" y="4031784"/>
          <a:ext cx="3713393" cy="20880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62205</xdr:colOff>
      <xdr:row>1</xdr:row>
      <xdr:rowOff>83199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1E7743-1AAE-42BE-8E1F-53945C85D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70428" cy="7143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60828</xdr:colOff>
      <xdr:row>1</xdr:row>
      <xdr:rowOff>81914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0B78D4-34DC-4321-8731-99260DA14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70428" cy="7143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65194</xdr:colOff>
      <xdr:row>1</xdr:row>
      <xdr:rowOff>19843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1C8FF2-927F-4808-9B92-57D130CE8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70428" cy="7143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515516</xdr:colOff>
      <xdr:row>3</xdr:row>
      <xdr:rowOff>89692</xdr:rowOff>
    </xdr:from>
    <xdr:to>
      <xdr:col>43</xdr:col>
      <xdr:colOff>213586</xdr:colOff>
      <xdr:row>19</xdr:row>
      <xdr:rowOff>65552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08DF06-EA2F-4493-807C-D746618AD4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447092</xdr:colOff>
      <xdr:row>19</xdr:row>
      <xdr:rowOff>19438</xdr:rowOff>
    </xdr:from>
    <xdr:to>
      <xdr:col>52</xdr:col>
      <xdr:colOff>145162</xdr:colOff>
      <xdr:row>36</xdr:row>
      <xdr:rowOff>53615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ACFA93-3B96-429B-8C8D-7BEB8CE749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22</xdr:col>
      <xdr:colOff>77061</xdr:colOff>
      <xdr:row>20</xdr:row>
      <xdr:rowOff>152922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71DAAA-8E1C-8613-14D2-B5A8CD028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25450" y="381000"/>
          <a:ext cx="6173061" cy="374384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7</xdr:row>
      <xdr:rowOff>0</xdr:rowOff>
    </xdr:from>
    <xdr:to>
      <xdr:col>15</xdr:col>
      <xdr:colOff>6350</xdr:colOff>
      <xdr:row>20</xdr:row>
      <xdr:rowOff>114300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3A7E5F16-22B3-FE4E-95E8-A340CB440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317500</xdr:colOff>
      <xdr:row>20</xdr:row>
      <xdr:rowOff>190500</xdr:rowOff>
    </xdr:from>
    <xdr:to>
      <xdr:col>15</xdr:col>
      <xdr:colOff>0</xdr:colOff>
      <xdr:row>37</xdr:row>
      <xdr:rowOff>38100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B92864CF-EF37-9949-8CD0-169BC87222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330200</xdr:colOff>
      <xdr:row>37</xdr:row>
      <xdr:rowOff>88900</xdr:rowOff>
    </xdr:from>
    <xdr:to>
      <xdr:col>15</xdr:col>
      <xdr:colOff>12700</xdr:colOff>
      <xdr:row>52</xdr:row>
      <xdr:rowOff>165100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87907F7B-22DE-504D-AADD-FF5892A8E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177800</xdr:colOff>
      <xdr:row>55</xdr:row>
      <xdr:rowOff>16932</xdr:rowOff>
    </xdr:from>
    <xdr:to>
      <xdr:col>14</xdr:col>
      <xdr:colOff>567267</xdr:colOff>
      <xdr:row>69</xdr:row>
      <xdr:rowOff>152399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B61414-3944-7A44-D8A3-C18FE2B06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383485</xdr:colOff>
      <xdr:row>1</xdr:row>
      <xdr:rowOff>296589</xdr:rowOff>
    </xdr:from>
    <xdr:ext cx="4371975" cy="26289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B8BBF1-066A-B24C-B007-D422981D0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16</xdr:col>
      <xdr:colOff>496326</xdr:colOff>
      <xdr:row>15</xdr:row>
      <xdr:rowOff>160033</xdr:rowOff>
    </xdr:from>
    <xdr:ext cx="5486400" cy="26289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3A9F5D-DD49-3742-B925-BE31A3BABF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persian021\Downloads\L4F-Buyers2_Shell%20plc_cop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Courses%20&amp;%20Programs\1%20Financial%20Modeling%20and%20Valuation%20Analyst%20(FMVA)\02.%20Excel%20Modeling%20Fundamentals\(Updated)%20Excel%20Fundamentals%20-%20Formulas%20for%20Finance%20-%20SCHMIDT.xlsx" TargetMode="External"/><Relationship Id="rId1" Type="http://schemas.openxmlformats.org/officeDocument/2006/relationships/externalLinkPath" Target="file:///G:\Shared%20drives\Courses%20&amp;%20Programs\1%20Financial%20Modeling%20and%20Valuation%20Analyst%20(FMVA)\02.%20Excel%20Modeling%20Fundamentals\(Updated)%20Excel%20Fundamentals%20-%20Formulas%20for%20Finance%20-%20SCHMID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V"/>
      <sheetName val="L4F-Buyers2_Shell plc_copy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Raw Data"/>
      <sheetName val="Basic Financial Analysis"/>
      <sheetName val="Advanced Financial Analysis"/>
      <sheetName val="Lookup Functions"/>
      <sheetName val="NPV Vs XNPV"/>
      <sheetName val="Simple Amortization"/>
      <sheetName val="Advanced Amortization"/>
    </sheetNames>
    <sheetDataSet>
      <sheetData sheetId="0" refreshError="1"/>
      <sheetData sheetId="1" refreshError="1"/>
      <sheetData sheetId="2" refreshError="1"/>
      <sheetData sheetId="3">
        <row r="9">
          <cell r="B9" t="str">
            <v>Gross Profit</v>
          </cell>
          <cell r="F9">
            <v>82500</v>
          </cell>
          <cell r="G9">
            <v>90750</v>
          </cell>
          <cell r="H9">
            <v>99825.000000000015</v>
          </cell>
          <cell r="I9">
            <v>109807.50000000003</v>
          </cell>
          <cell r="J9">
            <v>120788.25000000004</v>
          </cell>
          <cell r="K9">
            <v>132867.07500000007</v>
          </cell>
          <cell r="L9">
            <v>146153.78250000009</v>
          </cell>
        </row>
        <row r="11">
          <cell r="B11" t="str">
            <v>SG&amp;A</v>
          </cell>
          <cell r="F11">
            <v>16500</v>
          </cell>
          <cell r="G11">
            <v>18150</v>
          </cell>
          <cell r="H11">
            <v>20000</v>
          </cell>
          <cell r="I11">
            <v>20000</v>
          </cell>
          <cell r="J11">
            <v>20000</v>
          </cell>
          <cell r="K11">
            <v>20000</v>
          </cell>
          <cell r="L11">
            <v>20000</v>
          </cell>
        </row>
        <row r="49">
          <cell r="D49">
            <v>0.1</v>
          </cell>
        </row>
      </sheetData>
      <sheetData sheetId="4" refreshError="1"/>
      <sheetData sheetId="5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499682-F6D2-493D-86C2-22DB6272C12A}">
  <we:reference id="0986d9dd-94f1-4b67-978d-c4cf6e6142a8" version="21.5.1.1" store="EXCatalog" storeType="EXCatalog"/>
  <we:alternateReferences>
    <we:reference id="WA200000018" version="21.5.1.1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PSIMETALOG2</we:customFunctionIds>
        <we:customFunctionIds>PSIMETALOGSPT</we:customFunctionIds>
        <we:customFunctionIds>PSIMETALOGFIT</we:customFunctionIds>
        <we:customFunctionIds>PSIMETALOG2FIT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PSILEVYALT</we:customFunctionIds>
        <we:customFunctionIds>PSIHYPSECANTALT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3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hyperlink" Target="https://www.annualreports.com/HostedData/AnnualReportArchive/p/NYSE_PBR_2021.pdf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00E2C-B604-954C-A825-43EDDE7D1304}">
  <dimension ref="B2:U26"/>
  <sheetViews>
    <sheetView showGridLines="0" workbookViewId="0">
      <selection activeCell="M11" sqref="M11"/>
    </sheetView>
  </sheetViews>
  <sheetFormatPr defaultColWidth="10.77734375" defaultRowHeight="15.6"/>
  <cols>
    <col min="1" max="16384" width="10.77734375" style="682"/>
  </cols>
  <sheetData>
    <row r="2" spans="2:21">
      <c r="B2" s="699" t="s">
        <v>839</v>
      </c>
      <c r="C2" s="699"/>
      <c r="D2" s="699"/>
      <c r="E2" s="699"/>
      <c r="F2" s="699"/>
      <c r="G2" s="699"/>
      <c r="H2" s="699"/>
      <c r="I2" s="699"/>
      <c r="J2" s="699"/>
      <c r="K2" s="699"/>
      <c r="L2" s="699"/>
    </row>
    <row r="3" spans="2:21">
      <c r="B3" s="699"/>
      <c r="C3" s="699"/>
      <c r="D3" s="699"/>
      <c r="E3" s="699"/>
      <c r="F3" s="699"/>
      <c r="G3" s="699"/>
      <c r="H3" s="699"/>
      <c r="I3" s="699"/>
      <c r="J3" s="699"/>
      <c r="K3" s="699"/>
      <c r="L3" s="699"/>
    </row>
    <row r="4" spans="2:21">
      <c r="B4" s="699"/>
      <c r="C4" s="699"/>
      <c r="D4" s="699"/>
      <c r="E4" s="699"/>
      <c r="F4" s="699"/>
      <c r="G4" s="699"/>
      <c r="H4" s="699"/>
      <c r="I4" s="699"/>
      <c r="J4" s="699"/>
      <c r="K4" s="699"/>
      <c r="L4" s="699"/>
    </row>
    <row r="5" spans="2:21">
      <c r="B5" s="699"/>
      <c r="C5" s="699"/>
      <c r="D5" s="699"/>
      <c r="E5" s="699"/>
      <c r="F5" s="699"/>
      <c r="G5" s="699"/>
      <c r="H5" s="699"/>
      <c r="I5" s="699"/>
      <c r="J5" s="699"/>
      <c r="K5" s="699"/>
      <c r="L5" s="699"/>
    </row>
    <row r="6" spans="2:21">
      <c r="B6" s="699"/>
      <c r="C6" s="699"/>
      <c r="D6" s="699"/>
      <c r="E6" s="699"/>
      <c r="F6" s="699"/>
      <c r="G6" s="699"/>
      <c r="H6" s="699"/>
      <c r="I6" s="699"/>
      <c r="J6" s="699"/>
      <c r="K6" s="699"/>
      <c r="L6" s="699"/>
    </row>
    <row r="7" spans="2:21">
      <c r="B7" s="699"/>
      <c r="C7" s="699"/>
      <c r="D7" s="699"/>
      <c r="E7" s="699"/>
      <c r="F7" s="699"/>
      <c r="G7" s="699"/>
      <c r="H7" s="699"/>
      <c r="I7" s="699"/>
      <c r="J7" s="699"/>
      <c r="K7" s="699"/>
      <c r="L7" s="699"/>
    </row>
    <row r="8" spans="2:21">
      <c r="B8" s="699"/>
      <c r="C8" s="699"/>
      <c r="D8" s="699"/>
      <c r="E8" s="699"/>
      <c r="F8" s="699"/>
      <c r="G8" s="699"/>
      <c r="H8" s="699"/>
      <c r="I8" s="699"/>
      <c r="J8" s="699"/>
      <c r="K8" s="699"/>
      <c r="L8" s="699"/>
    </row>
    <row r="9" spans="2:21" ht="17.399999999999999">
      <c r="B9" s="700" t="s">
        <v>838</v>
      </c>
      <c r="C9" s="700"/>
      <c r="D9" s="700"/>
      <c r="E9" s="700"/>
      <c r="F9" s="700"/>
      <c r="G9" s="700"/>
      <c r="H9" s="700"/>
      <c r="I9" s="700"/>
      <c r="J9" s="700"/>
      <c r="K9" s="700"/>
      <c r="L9" s="700"/>
      <c r="P9" s="689"/>
      <c r="Q9" s="690"/>
      <c r="R9" s="690"/>
      <c r="S9" s="690"/>
      <c r="T9" s="690"/>
      <c r="U9" s="688"/>
    </row>
    <row r="10" spans="2:21" ht="17.399999999999999">
      <c r="B10" s="700"/>
      <c r="C10" s="700"/>
      <c r="D10" s="700"/>
      <c r="E10" s="700"/>
      <c r="F10" s="700"/>
      <c r="G10" s="700"/>
      <c r="H10" s="700"/>
      <c r="I10" s="700"/>
      <c r="J10" s="700"/>
      <c r="K10" s="700"/>
      <c r="L10" s="700"/>
      <c r="P10" s="689"/>
      <c r="Q10" s="690"/>
      <c r="R10" s="690"/>
      <c r="S10" s="690"/>
      <c r="T10" s="690"/>
      <c r="U10" s="688"/>
    </row>
    <row r="11" spans="2:21" ht="17.399999999999999">
      <c r="B11" s="701" t="s">
        <v>837</v>
      </c>
      <c r="C11" s="702"/>
      <c r="D11" s="702"/>
      <c r="E11" s="702"/>
      <c r="F11" s="702"/>
      <c r="G11" s="702" t="s">
        <v>836</v>
      </c>
      <c r="H11" s="702"/>
      <c r="I11" s="702"/>
      <c r="J11" s="702"/>
      <c r="K11" s="702"/>
      <c r="L11" s="703"/>
      <c r="P11" s="689"/>
      <c r="Q11" s="690"/>
      <c r="R11" s="690"/>
      <c r="S11" s="690"/>
      <c r="T11" s="690"/>
      <c r="U11" s="688"/>
    </row>
    <row r="12" spans="2:21" ht="17.399999999999999">
      <c r="B12" s="701"/>
      <c r="C12" s="702"/>
      <c r="D12" s="702"/>
      <c r="E12" s="702"/>
      <c r="F12" s="702"/>
      <c r="G12" s="702"/>
      <c r="H12" s="702"/>
      <c r="I12" s="702"/>
      <c r="J12" s="702"/>
      <c r="K12" s="702"/>
      <c r="L12" s="703"/>
      <c r="P12" s="689"/>
      <c r="Q12" s="690"/>
      <c r="R12" s="690"/>
      <c r="S12" s="690"/>
      <c r="T12" s="689"/>
      <c r="U12" s="688"/>
    </row>
    <row r="13" spans="2:21">
      <c r="B13" s="687"/>
      <c r="C13" s="697" t="s">
        <v>835</v>
      </c>
      <c r="D13" s="697"/>
      <c r="E13" s="697"/>
      <c r="F13" s="697"/>
      <c r="H13" s="693"/>
      <c r="I13" s="693"/>
      <c r="J13" s="693"/>
      <c r="K13" s="693"/>
      <c r="L13" s="686"/>
    </row>
    <row r="14" spans="2:21">
      <c r="B14" s="687"/>
      <c r="C14" s="695"/>
      <c r="D14" s="695"/>
      <c r="E14" s="695"/>
      <c r="F14" s="695"/>
      <c r="H14" s="698" t="s">
        <v>840</v>
      </c>
      <c r="I14" s="698"/>
      <c r="J14" s="698"/>
      <c r="K14" s="698"/>
      <c r="L14" s="694">
        <f>-Inputs!F98</f>
        <v>0</v>
      </c>
    </row>
    <row r="15" spans="2:21">
      <c r="B15" s="687"/>
      <c r="C15" s="697" t="s">
        <v>834</v>
      </c>
      <c r="D15" s="697"/>
      <c r="E15" s="697"/>
      <c r="F15" s="697"/>
      <c r="H15" s="698"/>
      <c r="I15" s="698"/>
      <c r="J15" s="698"/>
      <c r="K15" s="698"/>
      <c r="L15" s="694"/>
    </row>
    <row r="16" spans="2:21">
      <c r="B16" s="687"/>
      <c r="C16" s="695"/>
      <c r="D16" s="695"/>
      <c r="E16" s="695"/>
      <c r="F16" s="695"/>
      <c r="H16" s="698" t="s">
        <v>841</v>
      </c>
      <c r="I16" s="698"/>
      <c r="J16" s="698"/>
      <c r="K16" s="698"/>
      <c r="L16" s="694">
        <f>Inputs!F99</f>
        <v>0</v>
      </c>
    </row>
    <row r="17" spans="2:12">
      <c r="B17" s="687"/>
      <c r="C17" s="697" t="s">
        <v>833</v>
      </c>
      <c r="D17" s="697"/>
      <c r="E17" s="697"/>
      <c r="F17" s="697"/>
      <c r="H17" s="698"/>
      <c r="I17" s="698"/>
      <c r="J17" s="698"/>
      <c r="K17" s="698"/>
      <c r="L17" s="694"/>
    </row>
    <row r="18" spans="2:12">
      <c r="B18" s="687"/>
      <c r="C18" s="695"/>
      <c r="D18" s="695"/>
      <c r="E18" s="695"/>
      <c r="F18" s="695"/>
      <c r="H18" s="698" t="s">
        <v>842</v>
      </c>
      <c r="I18" s="698"/>
      <c r="J18" s="698"/>
      <c r="K18" s="698"/>
      <c r="L18" s="694">
        <f>Inputs!F110</f>
        <v>0</v>
      </c>
    </row>
    <row r="19" spans="2:12">
      <c r="B19" s="687"/>
      <c r="C19" s="697" t="s">
        <v>832</v>
      </c>
      <c r="D19" s="697"/>
      <c r="E19" s="697"/>
      <c r="F19" s="697"/>
      <c r="H19" s="698"/>
      <c r="I19" s="698"/>
      <c r="J19" s="698"/>
      <c r="K19" s="698"/>
      <c r="L19" s="694"/>
    </row>
    <row r="20" spans="2:12">
      <c r="B20" s="687"/>
      <c r="C20" s="695"/>
      <c r="D20" s="695"/>
      <c r="E20" s="695"/>
      <c r="F20" s="695"/>
      <c r="H20" s="698" t="s">
        <v>844</v>
      </c>
      <c r="I20" s="698"/>
      <c r="J20" s="698"/>
      <c r="K20" s="698"/>
      <c r="L20" s="694">
        <f>'3-Statement Analysis'!R60</f>
        <v>0</v>
      </c>
    </row>
    <row r="21" spans="2:12">
      <c r="B21" s="687"/>
      <c r="C21" s="697" t="s">
        <v>831</v>
      </c>
      <c r="D21" s="697"/>
      <c r="E21" s="697"/>
      <c r="F21" s="697"/>
      <c r="H21" s="698"/>
      <c r="I21" s="698"/>
      <c r="J21" s="698"/>
      <c r="K21" s="698"/>
      <c r="L21" s="694"/>
    </row>
    <row r="22" spans="2:12">
      <c r="B22" s="687"/>
      <c r="C22" s="695"/>
      <c r="D22" s="695"/>
      <c r="E22" s="695"/>
      <c r="F22" s="695"/>
      <c r="H22" s="695"/>
      <c r="I22" s="695"/>
      <c r="J22" s="695"/>
      <c r="K22" s="695"/>
      <c r="L22" s="686"/>
    </row>
    <row r="23" spans="2:12">
      <c r="B23" s="687"/>
      <c r="C23" s="697" t="s">
        <v>830</v>
      </c>
      <c r="D23" s="697"/>
      <c r="E23" s="697"/>
      <c r="F23" s="697"/>
      <c r="H23" s="693"/>
      <c r="I23" s="693"/>
      <c r="J23" s="693"/>
      <c r="K23" s="693"/>
      <c r="L23" s="686"/>
    </row>
    <row r="24" spans="2:12">
      <c r="B24" s="687"/>
      <c r="C24" s="695"/>
      <c r="D24" s="695"/>
      <c r="E24" s="695"/>
      <c r="F24" s="695"/>
      <c r="H24" s="695"/>
      <c r="I24" s="695"/>
      <c r="J24" s="695"/>
      <c r="K24" s="695"/>
      <c r="L24" s="686"/>
    </row>
    <row r="25" spans="2:12">
      <c r="B25" s="687"/>
      <c r="C25" s="697" t="s">
        <v>829</v>
      </c>
      <c r="D25" s="697"/>
      <c r="E25" s="697"/>
      <c r="F25" s="697"/>
      <c r="H25" s="693"/>
      <c r="I25" s="693"/>
      <c r="J25" s="693"/>
      <c r="K25" s="693"/>
      <c r="L25" s="686"/>
    </row>
    <row r="26" spans="2:12">
      <c r="B26" s="685"/>
      <c r="C26" s="696"/>
      <c r="D26" s="696"/>
      <c r="E26" s="696"/>
      <c r="F26" s="696"/>
      <c r="G26" s="684"/>
      <c r="H26" s="696"/>
      <c r="I26" s="696"/>
      <c r="J26" s="696"/>
      <c r="K26" s="696"/>
      <c r="L26" s="683"/>
    </row>
  </sheetData>
  <mergeCells count="32">
    <mergeCell ref="B2:L8"/>
    <mergeCell ref="B9:L10"/>
    <mergeCell ref="B11:F12"/>
    <mergeCell ref="G11:L12"/>
    <mergeCell ref="C24:F24"/>
    <mergeCell ref="C15:F15"/>
    <mergeCell ref="C16:F16"/>
    <mergeCell ref="C17:F17"/>
    <mergeCell ref="L14:L15"/>
    <mergeCell ref="H23:K23"/>
    <mergeCell ref="H24:K24"/>
    <mergeCell ref="C26:F26"/>
    <mergeCell ref="H13:K13"/>
    <mergeCell ref="C18:F18"/>
    <mergeCell ref="C19:F19"/>
    <mergeCell ref="C20:F20"/>
    <mergeCell ref="C21:F21"/>
    <mergeCell ref="C22:F22"/>
    <mergeCell ref="C23:F23"/>
    <mergeCell ref="C13:F13"/>
    <mergeCell ref="C14:F14"/>
    <mergeCell ref="C25:F25"/>
    <mergeCell ref="H26:K26"/>
    <mergeCell ref="H14:K15"/>
    <mergeCell ref="H16:K17"/>
    <mergeCell ref="H18:K19"/>
    <mergeCell ref="H20:K21"/>
    <mergeCell ref="H25:K25"/>
    <mergeCell ref="L16:L17"/>
    <mergeCell ref="L18:L19"/>
    <mergeCell ref="L20:L21"/>
    <mergeCell ref="H22:K22"/>
  </mergeCells>
  <conditionalFormatting sqref="U9:U12 L14 L16 L18 L20">
    <cfRule type="expression" dxfId="10" priority="1">
      <formula>L9=1</formula>
    </cfRule>
  </conditionalFormatting>
  <hyperlinks>
    <hyperlink ref="C13:F13" location="Outputs!A1" display="I. Outputs" xr:uid="{CED55D18-58F2-6D47-B66D-FC78C59357AD}"/>
    <hyperlink ref="C15:F15" location="Inputs!A1" display="II. Inputs &amp; Assumptions" xr:uid="{CE5E5728-FD8B-984C-B3C2-FC64910F2A01}"/>
    <hyperlink ref="C17:F17" location="Model!A1" display="III. DCF Valuation Model" xr:uid="{D5D4E504-E55F-7840-890F-8FDB84DEF1C0}"/>
    <hyperlink ref="C19:F19" location="Comparables!A1" display="IV. Relative Comparables Valuation" xr:uid="{B025D73D-811A-A442-8B00-33A954CC464A}"/>
    <hyperlink ref="C21:F21" location="'Analysis of data'!A1" display="V. Ratios" xr:uid="{9BCB1FFF-7C7D-D34D-A965-ECB2B71D2B4D}"/>
    <hyperlink ref="C23:F23" location="'Assumption Origin'!A1" display="VI. Assumptions Source" xr:uid="{740B4A3A-1402-E647-8C73-2931535C08F5}"/>
    <hyperlink ref="C25:F25" location="'Football Field Chart'!A1" display="VII. Football Field Chart" xr:uid="{FACFF4CA-EDDA-F544-AAD0-1A7AA87655C3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45C7C-389F-400C-9E3E-F42B71F3651B}">
  <sheetPr codeName="Sheet1">
    <pageSetUpPr fitToPage="1"/>
  </sheetPr>
  <dimension ref="B1:O40"/>
  <sheetViews>
    <sheetView showGridLines="0" zoomScale="75" zoomScaleNormal="67" zoomScaleSheetLayoutView="85" workbookViewId="0">
      <pane ySplit="1" topLeftCell="A2" activePane="bottomLeft" state="frozen"/>
      <selection pane="bottomLeft" activeCell="H55" sqref="H55"/>
    </sheetView>
  </sheetViews>
  <sheetFormatPr defaultColWidth="8.77734375" defaultRowHeight="15"/>
  <cols>
    <col min="1" max="3" width="8.77734375" style="119"/>
    <col min="4" max="4" width="25.6640625" style="119" customWidth="1"/>
    <col min="5" max="16384" width="8.77734375" style="119"/>
  </cols>
  <sheetData>
    <row r="1" spans="2:15" ht="55.05" customHeight="1"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  <c r="O1" s="477"/>
    </row>
    <row r="3" spans="2:15" ht="21">
      <c r="B3" s="476" t="s">
        <v>359</v>
      </c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</row>
    <row r="36" spans="4:7">
      <c r="E36" s="474" t="s">
        <v>258</v>
      </c>
      <c r="F36" s="474" t="s">
        <v>358</v>
      </c>
      <c r="G36" s="474" t="s">
        <v>257</v>
      </c>
    </row>
    <row r="37" spans="4:7">
      <c r="D37" s="119" t="s">
        <v>361</v>
      </c>
      <c r="E37" s="661">
        <f>Outputs!H16</f>
        <v>18.049090764203367</v>
      </c>
      <c r="F37" s="473">
        <f>Outputs!H15</f>
        <v>27.352755652883062</v>
      </c>
      <c r="G37" s="661">
        <f>Outputs!H14</f>
        <v>39.983755704422045</v>
      </c>
    </row>
    <row r="38" spans="4:7">
      <c r="D38" s="119" t="s">
        <v>360</v>
      </c>
      <c r="E38" s="661">
        <f>Outputs!I62</f>
        <v>20.178265891230762</v>
      </c>
      <c r="F38" s="473">
        <f>Outputs!I61</f>
        <v>40.431238661369392</v>
      </c>
      <c r="G38" s="661">
        <f>Outputs!I60</f>
        <v>68.740942103942928</v>
      </c>
    </row>
    <row r="39" spans="4:7">
      <c r="D39" s="119" t="s">
        <v>357</v>
      </c>
      <c r="E39" s="661">
        <f>Comparables!L27</f>
        <v>5.8859725684442461</v>
      </c>
      <c r="F39" s="473">
        <f>G39-E39</f>
        <v>6.8815494273132805</v>
      </c>
      <c r="G39" s="661">
        <f>Comparables!L29</f>
        <v>12.767521995757527</v>
      </c>
    </row>
    <row r="40" spans="4:7">
      <c r="D40" s="119" t="str">
        <f>"Average Valuation: "&amp;TEXT(E40,"$0,00")</f>
        <v>Average Valuation: $037</v>
      </c>
      <c r="E40" s="472">
        <f>AVERAGE(E37:E38,G37:G38)</f>
        <v>36.738013615949775</v>
      </c>
    </row>
  </sheetData>
  <printOptions horizontalCentered="1"/>
  <pageMargins left="0.11799999999999999" right="0.11799999999999999" top="0.11799999999999999" bottom="0.11799999999999999" header="0.3" footer="0.3"/>
  <pageSetup scale="99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39589-1065-45B8-B4BE-6975FB30BFBC}">
  <sheetPr codeName="Sheet2">
    <pageSetUpPr autoPageBreaks="0"/>
  </sheetPr>
  <dimension ref="A1:R91"/>
  <sheetViews>
    <sheetView showGridLines="0" tabSelected="1" topLeftCell="L1" zoomScale="76" zoomScaleNormal="89" zoomScaleSheetLayoutView="95" workbookViewId="0">
      <pane ySplit="1" topLeftCell="A8" activePane="bottomLeft" state="frozen"/>
      <selection pane="bottomLeft" activeCell="L9" sqref="L9:O16"/>
    </sheetView>
  </sheetViews>
  <sheetFormatPr defaultColWidth="9.109375" defaultRowHeight="15.6" outlineLevelRow="1"/>
  <cols>
    <col min="1" max="1" width="9.109375" style="2"/>
    <col min="2" max="2" width="2.6640625" style="2" customWidth="1"/>
    <col min="3" max="3" width="8" style="2" customWidth="1"/>
    <col min="4" max="4" width="19.21875" style="2" bestFit="1" customWidth="1"/>
    <col min="5" max="5" width="19.109375" style="2" bestFit="1" customWidth="1"/>
    <col min="6" max="6" width="18" style="2" bestFit="1" customWidth="1"/>
    <col min="7" max="7" width="13.44140625" style="2" bestFit="1" customWidth="1"/>
    <col min="8" max="8" width="15.6640625" style="2" bestFit="1" customWidth="1"/>
    <col min="9" max="9" width="15.109375" style="2" bestFit="1" customWidth="1"/>
    <col min="10" max="10" width="2.6640625" style="2" customWidth="1"/>
    <col min="11" max="11" width="8" style="2" customWidth="1"/>
    <col min="12" max="14" width="11.6640625" style="2" customWidth="1"/>
    <col min="15" max="15" width="13.33203125" style="2" customWidth="1"/>
    <col min="16" max="16" width="14.44140625" style="2" customWidth="1"/>
    <col min="17" max="17" width="3.6640625" style="2" customWidth="1"/>
    <col min="18" max="20" width="9.109375" style="2"/>
    <col min="21" max="21" width="10.44140625" style="2" bestFit="1" customWidth="1"/>
    <col min="22" max="23" width="13.6640625" style="2" bestFit="1" customWidth="1"/>
    <col min="24" max="24" width="16.33203125" style="2" bestFit="1" customWidth="1"/>
    <col min="25" max="26" width="13.6640625" style="2" bestFit="1" customWidth="1"/>
    <col min="27" max="28" width="9.109375" style="2"/>
    <col min="29" max="29" width="9.44140625" style="2" bestFit="1" customWidth="1"/>
    <col min="30" max="31" width="9.33203125" style="2" bestFit="1" customWidth="1"/>
    <col min="32" max="32" width="10" style="2" bestFit="1" customWidth="1"/>
    <col min="33" max="33" width="12.44140625" style="2" bestFit="1" customWidth="1"/>
    <col min="34" max="34" width="9.33203125" style="2" bestFit="1" customWidth="1"/>
    <col min="35" max="16384" width="9.109375" style="2"/>
  </cols>
  <sheetData>
    <row r="1" spans="1:18" ht="49.95" customHeight="1"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  <c r="O1" s="477"/>
      <c r="P1" s="477"/>
      <c r="Q1" s="477"/>
      <c r="R1" s="57"/>
    </row>
    <row r="2" spans="1:18" ht="15" customHeight="1"/>
    <row r="3" spans="1:18" ht="15" customHeight="1">
      <c r="A3" s="99" t="s">
        <v>0</v>
      </c>
      <c r="B3" s="476" t="s">
        <v>24</v>
      </c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91"/>
    </row>
    <row r="4" spans="1:18" ht="15" customHeight="1" outlineLevel="1">
      <c r="A4" s="100"/>
      <c r="B4" s="77"/>
      <c r="C4" s="93"/>
      <c r="D4" s="93"/>
      <c r="E4" s="92"/>
      <c r="F4" s="92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</row>
    <row r="5" spans="1:18" ht="15" customHeight="1" outlineLevel="1">
      <c r="A5" s="99"/>
      <c r="F5" s="87"/>
      <c r="G5" s="90"/>
      <c r="H5" s="87"/>
      <c r="I5" s="87"/>
      <c r="J5" s="89"/>
      <c r="K5" s="89"/>
      <c r="L5" s="56"/>
      <c r="M5" s="56"/>
      <c r="N5" s="56"/>
      <c r="O5" s="56"/>
    </row>
    <row r="6" spans="1:18" ht="15" customHeight="1" outlineLevel="1">
      <c r="D6" s="56" t="s">
        <v>23</v>
      </c>
      <c r="F6" s="87"/>
      <c r="L6" s="88" t="s">
        <v>22</v>
      </c>
      <c r="M6" s="37"/>
      <c r="N6" s="37"/>
      <c r="O6" s="37"/>
    </row>
    <row r="7" spans="1:18" ht="15" customHeight="1" outlineLevel="1"/>
    <row r="8" spans="1:18" ht="15" customHeight="1" outlineLevel="1"/>
    <row r="9" spans="1:18" ht="15" customHeight="1" outlineLevel="1">
      <c r="D9" s="478" t="s">
        <v>21</v>
      </c>
      <c r="E9" s="479"/>
      <c r="F9" s="479"/>
      <c r="G9" s="479"/>
      <c r="H9" s="479"/>
      <c r="L9" s="478" t="s">
        <v>20</v>
      </c>
      <c r="M9" s="479"/>
      <c r="N9" s="479"/>
      <c r="O9" s="479"/>
    </row>
    <row r="10" spans="1:18" s="57" customFormat="1" ht="15" customHeight="1" outlineLevel="1">
      <c r="I10" s="87"/>
      <c r="J10" s="86"/>
      <c r="K10" s="86"/>
      <c r="L10" s="2"/>
      <c r="M10" s="2"/>
      <c r="N10" s="2"/>
      <c r="O10" s="2"/>
    </row>
    <row r="11" spans="1:18" ht="15" customHeight="1" outlineLevel="1">
      <c r="A11" s="86"/>
      <c r="D11" s="57"/>
      <c r="E11" s="57"/>
      <c r="F11" s="85" t="s">
        <v>19</v>
      </c>
      <c r="G11" s="85" t="s">
        <v>18</v>
      </c>
      <c r="H11" s="85" t="s">
        <v>18</v>
      </c>
      <c r="I11" s="81"/>
      <c r="J11" s="81"/>
      <c r="K11" s="81"/>
    </row>
    <row r="12" spans="1:18" ht="15" customHeight="1" outlineLevel="1">
      <c r="A12" s="86"/>
      <c r="D12" s="57"/>
      <c r="E12" s="57"/>
      <c r="F12" s="85" t="s">
        <v>17</v>
      </c>
      <c r="G12" s="85" t="s">
        <v>17</v>
      </c>
      <c r="H12" s="85" t="s">
        <v>16</v>
      </c>
      <c r="I12" s="81"/>
      <c r="J12" s="81"/>
      <c r="K12" s="81"/>
      <c r="L12" s="56" t="s">
        <v>6</v>
      </c>
      <c r="M12" s="56"/>
      <c r="N12" s="55"/>
      <c r="O12" s="84">
        <f>+Inputs!$F$108</f>
        <v>6.9249443662970993</v>
      </c>
    </row>
    <row r="13" spans="1:18" ht="15" customHeight="1" outlineLevel="1">
      <c r="A13" s="86"/>
      <c r="F13" s="83">
        <f>Model!$J$395</f>
        <v>357782357.88694185</v>
      </c>
      <c r="G13" s="82"/>
      <c r="H13" s="82"/>
      <c r="I13" s="81"/>
      <c r="J13" s="81"/>
      <c r="K13" s="81"/>
      <c r="L13" s="56" t="s">
        <v>5</v>
      </c>
      <c r="N13" s="55"/>
      <c r="O13" s="4">
        <f>Inputs!$L$84</f>
        <v>4.3493933511545804E-2</v>
      </c>
      <c r="P13" s="60"/>
    </row>
    <row r="14" spans="1:18" ht="15" customHeight="1" outlineLevel="1">
      <c r="A14" s="86"/>
      <c r="B14" s="77"/>
      <c r="D14" s="64" t="str">
        <f>E60</f>
        <v>Best Case</v>
      </c>
      <c r="E14" s="68">
        <v>1</v>
      </c>
      <c r="F14" s="80">
        <f t="dataTable" ref="F14:F16" dt2D="0" dtr="0" r1="G52"/>
        <v>520579942.05540502</v>
      </c>
      <c r="G14" s="79">
        <f>F14-$O$14</f>
        <v>515339942.05540502</v>
      </c>
      <c r="H14" s="78">
        <f>+G14/$O$15</f>
        <v>39.983755704422045</v>
      </c>
      <c r="I14" s="73"/>
      <c r="J14" s="72"/>
      <c r="K14" s="72"/>
      <c r="L14" s="56" t="s">
        <v>15</v>
      </c>
      <c r="N14" s="71" t="str">
        <f>O60</f>
        <v>(End of 2024)</v>
      </c>
      <c r="O14" s="70">
        <f>Inputs!$L$94</f>
        <v>5240000</v>
      </c>
      <c r="P14" s="60"/>
    </row>
    <row r="15" spans="1:18" ht="15" customHeight="1" outlineLevel="1">
      <c r="A15" s="86"/>
      <c r="B15" s="77"/>
      <c r="D15" s="64" t="str">
        <f>E61</f>
        <v>Base Case</v>
      </c>
      <c r="E15" s="68">
        <v>2</v>
      </c>
      <c r="F15" s="76">
        <v>357782357.88694185</v>
      </c>
      <c r="G15" s="75">
        <f>F15-$O$14</f>
        <v>352542357.88694185</v>
      </c>
      <c r="H15" s="74">
        <f>+G15/$O$15</f>
        <v>27.352755652883062</v>
      </c>
      <c r="I15" s="73"/>
      <c r="J15" s="72"/>
      <c r="K15" s="72"/>
      <c r="L15" s="56" t="s">
        <v>14</v>
      </c>
      <c r="M15" s="56"/>
      <c r="N15" s="71" t="s">
        <v>13</v>
      </c>
      <c r="O15" s="70">
        <f>Inputs!$F$105</f>
        <v>12888732.761</v>
      </c>
      <c r="P15" s="60"/>
      <c r="Q15" s="53"/>
    </row>
    <row r="16" spans="1:18" s="57" customFormat="1" ht="15" customHeight="1" outlineLevel="1">
      <c r="B16" s="69"/>
      <c r="D16" s="64" t="str">
        <f>E62</f>
        <v>Worst Case</v>
      </c>
      <c r="E16" s="68">
        <v>3</v>
      </c>
      <c r="F16" s="67">
        <v>237869907.43885046</v>
      </c>
      <c r="G16" s="66">
        <f>F16-$O$14</f>
        <v>232629907.43885046</v>
      </c>
      <c r="H16" s="65">
        <f>+G16/$O$15</f>
        <v>18.049090764203367</v>
      </c>
      <c r="I16" s="58"/>
      <c r="J16" s="58"/>
      <c r="L16" s="64" t="s">
        <v>12</v>
      </c>
      <c r="M16" s="63"/>
      <c r="N16" s="62" t="s">
        <v>11</v>
      </c>
      <c r="O16" s="61">
        <f>Inputs!$F$106</f>
        <v>11.6</v>
      </c>
      <c r="P16" s="60"/>
    </row>
    <row r="17" spans="2:17" s="57" customFormat="1" ht="15" customHeight="1" outlineLevel="1">
      <c r="B17" s="59"/>
      <c r="E17" s="2"/>
      <c r="F17" s="2"/>
      <c r="G17" s="2"/>
      <c r="H17" s="2"/>
      <c r="I17" s="58"/>
      <c r="J17" s="58"/>
      <c r="L17" s="56"/>
      <c r="M17" s="2"/>
      <c r="N17" s="2"/>
      <c r="O17" s="55"/>
      <c r="P17" s="54"/>
      <c r="Q17" s="53"/>
    </row>
    <row r="18" spans="2:17" ht="15" customHeight="1" outlineLevel="1"/>
    <row r="19" spans="2:17" ht="15" customHeight="1" outlineLevel="1"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2:17" ht="15" customHeight="1" outlineLevel="1">
      <c r="D20" s="480" t="s">
        <v>10</v>
      </c>
      <c r="E20" s="479"/>
      <c r="F20" s="479"/>
      <c r="G20" s="479"/>
      <c r="H20" s="479"/>
      <c r="K20" s="5"/>
      <c r="L20" s="481" t="s">
        <v>9</v>
      </c>
      <c r="M20" s="482"/>
      <c r="N20" s="482"/>
      <c r="O20" s="482"/>
      <c r="P20" s="482"/>
      <c r="Q20" s="5"/>
    </row>
    <row r="21" spans="2:17" ht="15" customHeight="1" outlineLevel="1">
      <c r="K21" s="5"/>
      <c r="L21" s="5"/>
      <c r="M21" s="5"/>
      <c r="N21" s="5"/>
      <c r="O21" s="5"/>
      <c r="P21" s="5"/>
      <c r="Q21" s="5"/>
    </row>
    <row r="22" spans="2:17" s="36" customFormat="1" ht="15" customHeight="1" outlineLevel="1">
      <c r="C22" s="52"/>
      <c r="D22" s="38" t="s">
        <v>6</v>
      </c>
      <c r="E22" s="37"/>
      <c r="F22" s="37"/>
      <c r="G22" s="37"/>
      <c r="H22" s="37"/>
      <c r="J22" s="2"/>
      <c r="K22" s="35"/>
      <c r="L22" s="34" t="s">
        <v>6</v>
      </c>
      <c r="M22" s="33"/>
      <c r="N22" s="33"/>
      <c r="O22" s="33"/>
      <c r="P22" s="33"/>
      <c r="Q22" s="35"/>
    </row>
    <row r="23" spans="2:17" ht="15" customHeight="1" outlineLevel="1">
      <c r="C23" s="51">
        <f>Model!$J$395</f>
        <v>357782357.88694185</v>
      </c>
      <c r="D23" s="31">
        <f>E23-0.5</f>
        <v>5.9249443662970993</v>
      </c>
      <c r="E23" s="31">
        <f>F23-0.5</f>
        <v>6.4249443662970993</v>
      </c>
      <c r="F23" s="31">
        <f>+Inputs!$F$108</f>
        <v>6.9249443662970993</v>
      </c>
      <c r="G23" s="31">
        <f>+F23+0.5</f>
        <v>7.4249443662970993</v>
      </c>
      <c r="H23" s="31">
        <f>+G23+0.5</f>
        <v>7.9249443662970993</v>
      </c>
      <c r="I23" s="5"/>
      <c r="K23" s="50"/>
      <c r="L23" s="31">
        <f>D23</f>
        <v>5.9249443662970993</v>
      </c>
      <c r="M23" s="31">
        <f>E23</f>
        <v>6.4249443662970993</v>
      </c>
      <c r="N23" s="31">
        <f>F23</f>
        <v>6.9249443662970993</v>
      </c>
      <c r="O23" s="31">
        <f>G23</f>
        <v>7.4249443662970993</v>
      </c>
      <c r="P23" s="31">
        <f>H23</f>
        <v>7.9249443662970993</v>
      </c>
      <c r="Q23" s="5"/>
    </row>
    <row r="24" spans="2:17" ht="15" customHeight="1" outlineLevel="1">
      <c r="B24" s="705" t="s">
        <v>5</v>
      </c>
      <c r="C24" s="8">
        <f>C25-0.01</f>
        <v>2.34939335115458E-2</v>
      </c>
      <c r="D24" s="30">
        <f t="dataTable" ref="D24:H28" dt2D="1" dtr="1" r1="O12" r2="O13" ca="1"/>
        <v>412328625.50503838</v>
      </c>
      <c r="E24" s="29">
        <v>412328625.50503838</v>
      </c>
      <c r="F24" s="29">
        <v>412328625.50503838</v>
      </c>
      <c r="G24" s="29">
        <v>412328625.50503838</v>
      </c>
      <c r="H24" s="28">
        <v>412328625.50503838</v>
      </c>
      <c r="I24" s="5"/>
      <c r="J24" s="705" t="s">
        <v>5</v>
      </c>
      <c r="K24" s="8">
        <f>C24</f>
        <v>2.34939335115458E-2</v>
      </c>
      <c r="L24" s="49">
        <f t="shared" ref="L24:P28" si="0">D37/$O$15</f>
        <v>31.584844922601494</v>
      </c>
      <c r="M24" s="48">
        <f t="shared" si="0"/>
        <v>31.584844922601494</v>
      </c>
      <c r="N24" s="48">
        <f t="shared" si="0"/>
        <v>31.584844922601494</v>
      </c>
      <c r="O24" s="48">
        <f t="shared" si="0"/>
        <v>31.584844922601494</v>
      </c>
      <c r="P24" s="47">
        <f t="shared" si="0"/>
        <v>31.584844922601494</v>
      </c>
      <c r="Q24" s="5"/>
    </row>
    <row r="25" spans="2:17" ht="15" customHeight="1" outlineLevel="1">
      <c r="B25" s="705"/>
      <c r="C25" s="8">
        <f>C26-0.01</f>
        <v>3.3493933511545802E-2</v>
      </c>
      <c r="D25" s="22">
        <v>383894214.55711979</v>
      </c>
      <c r="E25" s="21">
        <v>383894214.55711979</v>
      </c>
      <c r="F25" s="21">
        <v>383894214.55711979</v>
      </c>
      <c r="G25" s="21">
        <v>383894214.55711979</v>
      </c>
      <c r="H25" s="20">
        <v>383894214.55711979</v>
      </c>
      <c r="I25" s="5"/>
      <c r="J25" s="705"/>
      <c r="K25" s="8">
        <f>C25</f>
        <v>3.3493933511545802E-2</v>
      </c>
      <c r="L25" s="45">
        <f t="shared" si="0"/>
        <v>29.378700107964772</v>
      </c>
      <c r="M25" s="44">
        <f t="shared" si="0"/>
        <v>29.378700107964772</v>
      </c>
      <c r="N25" s="44">
        <f t="shared" si="0"/>
        <v>29.378700107964772</v>
      </c>
      <c r="O25" s="44">
        <f t="shared" si="0"/>
        <v>29.378700107964772</v>
      </c>
      <c r="P25" s="43">
        <f t="shared" si="0"/>
        <v>29.378700107964772</v>
      </c>
      <c r="Q25" s="5"/>
    </row>
    <row r="26" spans="2:17" ht="15" customHeight="1" outlineLevel="1">
      <c r="B26" s="705"/>
      <c r="C26" s="8">
        <f>Inputs!$L$84</f>
        <v>4.3493933511545804E-2</v>
      </c>
      <c r="D26" s="22">
        <v>357782357.88694185</v>
      </c>
      <c r="E26" s="21">
        <v>357782357.88694185</v>
      </c>
      <c r="F26" s="24">
        <v>357782357.88694185</v>
      </c>
      <c r="G26" s="21">
        <v>357782357.88694185</v>
      </c>
      <c r="H26" s="20">
        <v>357782357.88694185</v>
      </c>
      <c r="I26" s="5"/>
      <c r="J26" s="705"/>
      <c r="K26" s="8">
        <f>C26</f>
        <v>4.3493933511545804E-2</v>
      </c>
      <c r="L26" s="45">
        <f t="shared" si="0"/>
        <v>27.352755652883062</v>
      </c>
      <c r="M26" s="44">
        <f t="shared" si="0"/>
        <v>27.352755652883062</v>
      </c>
      <c r="N26" s="46">
        <f t="shared" si="0"/>
        <v>27.352755652883062</v>
      </c>
      <c r="O26" s="44">
        <f t="shared" si="0"/>
        <v>27.352755652883062</v>
      </c>
      <c r="P26" s="43">
        <f t="shared" si="0"/>
        <v>27.352755652883062</v>
      </c>
      <c r="Q26" s="5"/>
    </row>
    <row r="27" spans="2:17" ht="15" customHeight="1" outlineLevel="1">
      <c r="B27" s="705"/>
      <c r="C27" s="8">
        <f>C26+0.01</f>
        <v>5.3493933511545806E-2</v>
      </c>
      <c r="D27" s="22">
        <v>333780364.50322747</v>
      </c>
      <c r="E27" s="21">
        <v>333780364.50322747</v>
      </c>
      <c r="F27" s="21">
        <v>333780364.50322747</v>
      </c>
      <c r="G27" s="21">
        <v>333780364.50322747</v>
      </c>
      <c r="H27" s="20">
        <v>333780364.50322747</v>
      </c>
      <c r="I27" s="5"/>
      <c r="J27" s="705"/>
      <c r="K27" s="8">
        <f>C27</f>
        <v>5.3493933511545806E-2</v>
      </c>
      <c r="L27" s="45">
        <f t="shared" si="0"/>
        <v>25.490509470206206</v>
      </c>
      <c r="M27" s="44">
        <f t="shared" si="0"/>
        <v>25.490509470206206</v>
      </c>
      <c r="N27" s="44">
        <f t="shared" si="0"/>
        <v>25.490509470206206</v>
      </c>
      <c r="O27" s="44">
        <f t="shared" si="0"/>
        <v>25.490509470206206</v>
      </c>
      <c r="P27" s="43">
        <f t="shared" si="0"/>
        <v>25.490509470206206</v>
      </c>
      <c r="Q27" s="5"/>
    </row>
    <row r="28" spans="2:17" ht="15" customHeight="1" outlineLevel="1">
      <c r="B28" s="705"/>
      <c r="C28" s="8">
        <f>C27+0.01</f>
        <v>6.3493933511545808E-2</v>
      </c>
      <c r="D28" s="16">
        <v>311696930.18581432</v>
      </c>
      <c r="E28" s="15">
        <v>311696930.18581432</v>
      </c>
      <c r="F28" s="15">
        <v>311696930.18581432</v>
      </c>
      <c r="G28" s="15">
        <v>311696930.18581432</v>
      </c>
      <c r="H28" s="14">
        <v>311696930.18581432</v>
      </c>
      <c r="I28" s="5"/>
      <c r="J28" s="705"/>
      <c r="K28" s="8">
        <f>C28</f>
        <v>6.3493933511545808E-2</v>
      </c>
      <c r="L28" s="42">
        <f t="shared" si="0"/>
        <v>23.777118811332791</v>
      </c>
      <c r="M28" s="41">
        <f t="shared" si="0"/>
        <v>23.777118811332791</v>
      </c>
      <c r="N28" s="41">
        <f t="shared" si="0"/>
        <v>23.777118811332791</v>
      </c>
      <c r="O28" s="41">
        <f t="shared" si="0"/>
        <v>23.777118811332791</v>
      </c>
      <c r="P28" s="40">
        <f t="shared" si="0"/>
        <v>23.777118811332791</v>
      </c>
      <c r="Q28" s="5"/>
    </row>
    <row r="29" spans="2:17" ht="15" customHeight="1" outlineLevel="1">
      <c r="C29" s="5"/>
      <c r="D29" s="5"/>
      <c r="E29" s="5"/>
      <c r="F29" s="5"/>
      <c r="G29" s="5"/>
      <c r="H29" s="5"/>
      <c r="I29" s="5"/>
    </row>
    <row r="30" spans="2:17" ht="15" customHeight="1" outlineLevel="1">
      <c r="C30" s="5"/>
      <c r="D30" s="5"/>
      <c r="E30" s="5"/>
      <c r="F30" s="5"/>
      <c r="G30" s="5"/>
      <c r="H30" s="5"/>
      <c r="I30" s="5"/>
      <c r="J30" s="5"/>
      <c r="K30" s="5"/>
      <c r="L30" s="39"/>
      <c r="M30" s="33"/>
      <c r="N30" s="33"/>
      <c r="O30" s="33"/>
      <c r="P30" s="33"/>
    </row>
    <row r="31" spans="2:17" ht="15" customHeight="1" outlineLevel="1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2:17" ht="15" customHeight="1" outlineLevel="1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t="15" customHeight="1" outlineLevel="1">
      <c r="D33" s="480" t="s">
        <v>8</v>
      </c>
      <c r="E33" s="479"/>
      <c r="F33" s="479"/>
      <c r="G33" s="479"/>
      <c r="H33" s="479"/>
      <c r="J33" s="5"/>
      <c r="K33" s="5"/>
      <c r="L33" s="481" t="s">
        <v>7</v>
      </c>
      <c r="M33" s="482"/>
      <c r="N33" s="482"/>
      <c r="O33" s="482"/>
      <c r="P33" s="482"/>
    </row>
    <row r="34" spans="1:16" ht="15" customHeight="1" outlineLevel="1">
      <c r="J34" s="5"/>
      <c r="K34" s="5"/>
      <c r="L34" s="5"/>
      <c r="M34" s="5"/>
      <c r="N34" s="5"/>
      <c r="O34" s="5"/>
      <c r="P34" s="5"/>
    </row>
    <row r="35" spans="1:16" ht="15" customHeight="1" outlineLevel="1">
      <c r="B35" s="36"/>
      <c r="C35" s="36"/>
      <c r="D35" s="38" t="s">
        <v>6</v>
      </c>
      <c r="E35" s="37"/>
      <c r="F35" s="37"/>
      <c r="G35" s="37"/>
      <c r="H35" s="37"/>
      <c r="I35" s="36"/>
      <c r="J35" s="35"/>
      <c r="K35" s="35"/>
      <c r="L35" s="34" t="s">
        <v>6</v>
      </c>
      <c r="M35" s="33"/>
      <c r="N35" s="33"/>
      <c r="O35" s="33"/>
      <c r="P35" s="33"/>
    </row>
    <row r="36" spans="1:16" ht="15" customHeight="1" outlineLevel="1">
      <c r="B36" s="5"/>
      <c r="C36" s="32"/>
      <c r="D36" s="31">
        <f>D23</f>
        <v>5.9249443662970993</v>
      </c>
      <c r="E36" s="31">
        <f>E23</f>
        <v>6.4249443662970993</v>
      </c>
      <c r="F36" s="31">
        <f>F23</f>
        <v>6.9249443662970993</v>
      </c>
      <c r="G36" s="31">
        <f>G23</f>
        <v>7.4249443662970993</v>
      </c>
      <c r="H36" s="31">
        <f>H23</f>
        <v>7.9249443662970993</v>
      </c>
      <c r="J36" s="5"/>
      <c r="K36" s="32"/>
      <c r="L36" s="31">
        <f>D36</f>
        <v>5.9249443662970993</v>
      </c>
      <c r="M36" s="31">
        <f>E36</f>
        <v>6.4249443662970993</v>
      </c>
      <c r="N36" s="31">
        <f>F36</f>
        <v>6.9249443662970993</v>
      </c>
      <c r="O36" s="31">
        <f>G36</f>
        <v>7.4249443662970993</v>
      </c>
      <c r="P36" s="31">
        <f>H36</f>
        <v>7.9249443662970993</v>
      </c>
    </row>
    <row r="37" spans="1:16" ht="15" customHeight="1" outlineLevel="1">
      <c r="B37" s="704" t="s">
        <v>5</v>
      </c>
      <c r="C37" s="8">
        <f>C24</f>
        <v>2.34939335115458E-2</v>
      </c>
      <c r="D37" s="30">
        <f t="shared" ref="D37:H41" si="1">D24-$O$14</f>
        <v>407088625.50503838</v>
      </c>
      <c r="E37" s="29">
        <f t="shared" si="1"/>
        <v>407088625.50503838</v>
      </c>
      <c r="F37" s="29">
        <f t="shared" si="1"/>
        <v>407088625.50503838</v>
      </c>
      <c r="G37" s="29">
        <f t="shared" si="1"/>
        <v>407088625.50503838</v>
      </c>
      <c r="H37" s="28">
        <f t="shared" si="1"/>
        <v>407088625.50503838</v>
      </c>
      <c r="J37" s="704" t="s">
        <v>5</v>
      </c>
      <c r="K37" s="8">
        <f>C37</f>
        <v>2.34939335115458E-2</v>
      </c>
      <c r="L37" s="27">
        <f t="shared" ref="L37:P41" si="2">L24/$O$16-1</f>
        <v>1.7228314588449565</v>
      </c>
      <c r="M37" s="26">
        <f t="shared" si="2"/>
        <v>1.7228314588449565</v>
      </c>
      <c r="N37" s="26">
        <f t="shared" si="2"/>
        <v>1.7228314588449565</v>
      </c>
      <c r="O37" s="26">
        <f t="shared" si="2"/>
        <v>1.7228314588449565</v>
      </c>
      <c r="P37" s="25">
        <f t="shared" si="2"/>
        <v>1.7228314588449565</v>
      </c>
    </row>
    <row r="38" spans="1:16" ht="15" customHeight="1" outlineLevel="1">
      <c r="B38" s="704"/>
      <c r="C38" s="8">
        <f>C25</f>
        <v>3.3493933511545802E-2</v>
      </c>
      <c r="D38" s="22">
        <f t="shared" si="1"/>
        <v>378654214.55711979</v>
      </c>
      <c r="E38" s="21">
        <f t="shared" si="1"/>
        <v>378654214.55711979</v>
      </c>
      <c r="F38" s="21">
        <f t="shared" si="1"/>
        <v>378654214.55711979</v>
      </c>
      <c r="G38" s="21">
        <f t="shared" si="1"/>
        <v>378654214.55711979</v>
      </c>
      <c r="H38" s="20">
        <f t="shared" si="1"/>
        <v>378654214.55711979</v>
      </c>
      <c r="J38" s="704"/>
      <c r="K38" s="8">
        <f>C38</f>
        <v>3.3493933511545802E-2</v>
      </c>
      <c r="L38" s="19">
        <f t="shared" si="2"/>
        <v>1.5326465610314459</v>
      </c>
      <c r="M38" s="18">
        <f t="shared" si="2"/>
        <v>1.5326465610314459</v>
      </c>
      <c r="N38" s="18">
        <f t="shared" si="2"/>
        <v>1.5326465610314459</v>
      </c>
      <c r="O38" s="18">
        <f t="shared" si="2"/>
        <v>1.5326465610314459</v>
      </c>
      <c r="P38" s="17">
        <f t="shared" si="2"/>
        <v>1.5326465610314459</v>
      </c>
    </row>
    <row r="39" spans="1:16" ht="15" customHeight="1" outlineLevel="1">
      <c r="B39" s="704"/>
      <c r="C39" s="8">
        <f>C26</f>
        <v>4.3493933511545804E-2</v>
      </c>
      <c r="D39" s="22">
        <f t="shared" si="1"/>
        <v>352542357.88694185</v>
      </c>
      <c r="E39" s="21">
        <f t="shared" si="1"/>
        <v>352542357.88694185</v>
      </c>
      <c r="F39" s="24">
        <f t="shared" si="1"/>
        <v>352542357.88694185</v>
      </c>
      <c r="G39" s="21">
        <f t="shared" si="1"/>
        <v>352542357.88694185</v>
      </c>
      <c r="H39" s="20">
        <f t="shared" si="1"/>
        <v>352542357.88694185</v>
      </c>
      <c r="J39" s="704"/>
      <c r="K39" s="8">
        <f>C39</f>
        <v>4.3493933511545804E-2</v>
      </c>
      <c r="L39" s="19">
        <f t="shared" si="2"/>
        <v>1.3579961769726778</v>
      </c>
      <c r="M39" s="18">
        <f t="shared" si="2"/>
        <v>1.3579961769726778</v>
      </c>
      <c r="N39" s="23">
        <f t="shared" si="2"/>
        <v>1.3579961769726778</v>
      </c>
      <c r="O39" s="18">
        <f t="shared" si="2"/>
        <v>1.3579961769726778</v>
      </c>
      <c r="P39" s="17">
        <f t="shared" si="2"/>
        <v>1.3579961769726778</v>
      </c>
    </row>
    <row r="40" spans="1:16" ht="15" customHeight="1" outlineLevel="1">
      <c r="B40" s="704"/>
      <c r="C40" s="8">
        <f>C27</f>
        <v>5.3493933511545806E-2</v>
      </c>
      <c r="D40" s="22">
        <f t="shared" si="1"/>
        <v>328540364.50322747</v>
      </c>
      <c r="E40" s="21">
        <f t="shared" si="1"/>
        <v>328540364.50322747</v>
      </c>
      <c r="F40" s="21">
        <f t="shared" si="1"/>
        <v>328540364.50322747</v>
      </c>
      <c r="G40" s="21">
        <f t="shared" si="1"/>
        <v>328540364.50322747</v>
      </c>
      <c r="H40" s="20">
        <f t="shared" si="1"/>
        <v>328540364.50322747</v>
      </c>
      <c r="J40" s="704"/>
      <c r="K40" s="8">
        <f>C40</f>
        <v>5.3493933511545806E-2</v>
      </c>
      <c r="L40" s="19">
        <f t="shared" si="2"/>
        <v>1.1974577129488111</v>
      </c>
      <c r="M40" s="18">
        <f t="shared" si="2"/>
        <v>1.1974577129488111</v>
      </c>
      <c r="N40" s="18">
        <f t="shared" si="2"/>
        <v>1.1974577129488111</v>
      </c>
      <c r="O40" s="18">
        <f t="shared" si="2"/>
        <v>1.1974577129488111</v>
      </c>
      <c r="P40" s="17">
        <f t="shared" si="2"/>
        <v>1.1974577129488111</v>
      </c>
    </row>
    <row r="41" spans="1:16" ht="15" customHeight="1" outlineLevel="1">
      <c r="B41" s="704"/>
      <c r="C41" s="8">
        <f>C28</f>
        <v>6.3493933511545808E-2</v>
      </c>
      <c r="D41" s="16">
        <f t="shared" si="1"/>
        <v>306456930.18581432</v>
      </c>
      <c r="E41" s="15">
        <f t="shared" si="1"/>
        <v>306456930.18581432</v>
      </c>
      <c r="F41" s="15">
        <f t="shared" si="1"/>
        <v>306456930.18581432</v>
      </c>
      <c r="G41" s="15">
        <f t="shared" si="1"/>
        <v>306456930.18581432</v>
      </c>
      <c r="H41" s="14">
        <f t="shared" si="1"/>
        <v>306456930.18581432</v>
      </c>
      <c r="J41" s="704"/>
      <c r="K41" s="8">
        <f>C41</f>
        <v>6.3493933511545808E-2</v>
      </c>
      <c r="L41" s="13">
        <f t="shared" si="2"/>
        <v>1.0497516216666201</v>
      </c>
      <c r="M41" s="12">
        <f t="shared" si="2"/>
        <v>1.0497516216666201</v>
      </c>
      <c r="N41" s="12">
        <f t="shared" si="2"/>
        <v>1.0497516216666201</v>
      </c>
      <c r="O41" s="12">
        <f t="shared" si="2"/>
        <v>1.0497516216666201</v>
      </c>
      <c r="P41" s="11">
        <f t="shared" si="2"/>
        <v>1.0497516216666201</v>
      </c>
    </row>
    <row r="42" spans="1:16" ht="15" customHeight="1" outlineLevel="1">
      <c r="B42" s="9"/>
      <c r="C42" s="8"/>
      <c r="D42" s="10"/>
      <c r="E42" s="10"/>
      <c r="F42" s="10"/>
      <c r="G42" s="10"/>
      <c r="H42" s="10"/>
      <c r="I42" s="5"/>
      <c r="J42" s="9"/>
      <c r="K42" s="8"/>
      <c r="L42" s="7"/>
      <c r="M42" s="7"/>
      <c r="N42" s="7"/>
      <c r="O42" s="7"/>
      <c r="P42" s="7"/>
    </row>
    <row r="43" spans="1:16" ht="15" customHeight="1" outlineLevel="1">
      <c r="B43" s="9"/>
      <c r="C43" s="8"/>
      <c r="D43" s="10"/>
      <c r="E43" s="10"/>
      <c r="F43" s="10"/>
      <c r="G43" s="10"/>
      <c r="H43" s="10"/>
      <c r="I43" s="5"/>
      <c r="J43" s="9"/>
      <c r="K43" s="8"/>
      <c r="L43" s="7"/>
      <c r="M43" s="7"/>
      <c r="N43" s="7"/>
      <c r="O43" s="7"/>
      <c r="P43" s="6" t="s">
        <v>4</v>
      </c>
    </row>
    <row r="44" spans="1:16" ht="15" customHeight="1" outlineLevel="1">
      <c r="B44" s="5"/>
      <c r="C44" s="5"/>
      <c r="D44" s="4"/>
      <c r="E44" s="4"/>
      <c r="F44" s="4"/>
      <c r="G44" s="4"/>
      <c r="H44" s="4"/>
    </row>
    <row r="45" spans="1:16" ht="15" customHeight="1" outlineLevel="1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 t="s">
        <v>0</v>
      </c>
    </row>
    <row r="46" spans="1:16" ht="15" customHeight="1"/>
    <row r="47" spans="1:16" ht="15" customHeight="1">
      <c r="A47" s="2" t="s">
        <v>0</v>
      </c>
    </row>
    <row r="48" spans="1:16" ht="15" customHeight="1" outlineLevel="1"/>
    <row r="49" spans="3:18" ht="15" customHeight="1" outlineLevel="1">
      <c r="C49" s="476" t="s">
        <v>29</v>
      </c>
      <c r="D49" s="476"/>
      <c r="E49" s="476"/>
      <c r="F49" s="476"/>
      <c r="G49" s="476"/>
      <c r="H49" s="476"/>
      <c r="I49" s="476"/>
      <c r="J49" s="476"/>
      <c r="K49" s="476"/>
      <c r="L49" s="476"/>
      <c r="M49" s="476"/>
      <c r="N49" s="476"/>
      <c r="O49" s="476"/>
      <c r="P49" s="476"/>
      <c r="Q49" s="476"/>
    </row>
    <row r="50" spans="3:18" ht="15" customHeight="1" outlineLevel="1">
      <c r="C50" s="77"/>
      <c r="D50" s="93"/>
      <c r="E50" s="93"/>
      <c r="F50" s="92"/>
      <c r="G50" s="92"/>
      <c r="H50" s="91"/>
      <c r="I50" s="91"/>
      <c r="J50" s="91"/>
      <c r="K50" s="91"/>
      <c r="L50" s="91"/>
      <c r="M50" s="91"/>
      <c r="N50" s="91"/>
      <c r="O50" s="91"/>
      <c r="P50" s="91"/>
      <c r="Q50" s="91"/>
    </row>
    <row r="51" spans="3:18" ht="15" customHeight="1" outlineLevel="1">
      <c r="G51" s="87"/>
      <c r="H51" s="90"/>
      <c r="I51" s="87"/>
      <c r="J51" s="87"/>
      <c r="K51" s="89"/>
      <c r="L51" s="89"/>
      <c r="M51" s="56"/>
      <c r="N51" s="56"/>
      <c r="O51" s="56"/>
      <c r="P51" s="56"/>
    </row>
    <row r="52" spans="3:18" ht="15" customHeight="1" outlineLevel="1">
      <c r="E52" s="56" t="s">
        <v>23</v>
      </c>
      <c r="G52" s="98">
        <v>2</v>
      </c>
      <c r="M52" s="88" t="s">
        <v>22</v>
      </c>
      <c r="N52" s="37"/>
      <c r="O52" s="37"/>
      <c r="P52" s="37"/>
    </row>
    <row r="53" spans="3:18" ht="15" customHeight="1" outlineLevel="1"/>
    <row r="54" spans="3:18" ht="15" customHeight="1" outlineLevel="1"/>
    <row r="55" spans="3:18" ht="15" customHeight="1" outlineLevel="1">
      <c r="E55" s="478" t="s">
        <v>21</v>
      </c>
      <c r="F55" s="479"/>
      <c r="G55" s="479"/>
      <c r="H55" s="479"/>
      <c r="I55" s="479"/>
      <c r="M55" s="478" t="s">
        <v>20</v>
      </c>
      <c r="N55" s="479"/>
      <c r="O55" s="479"/>
      <c r="P55" s="479"/>
      <c r="R55" s="57"/>
    </row>
    <row r="56" spans="3:18" ht="15" customHeight="1" outlineLevel="1">
      <c r="C56" s="57"/>
      <c r="D56" s="57"/>
      <c r="E56" s="57"/>
      <c r="F56" s="57"/>
      <c r="G56" s="57"/>
      <c r="H56" s="57"/>
      <c r="I56" s="57"/>
      <c r="J56" s="87"/>
      <c r="K56" s="86"/>
      <c r="L56" s="86"/>
      <c r="Q56" s="57"/>
    </row>
    <row r="57" spans="3:18" ht="15" customHeight="1" outlineLevel="1">
      <c r="E57" s="97"/>
      <c r="F57" s="57"/>
      <c r="G57" s="85" t="s">
        <v>19</v>
      </c>
      <c r="H57" s="85" t="s">
        <v>18</v>
      </c>
      <c r="I57" s="85" t="s">
        <v>18</v>
      </c>
      <c r="J57" s="81"/>
      <c r="K57" s="81"/>
      <c r="L57" s="81"/>
    </row>
    <row r="58" spans="3:18" ht="15" customHeight="1" outlineLevel="1">
      <c r="E58" s="57"/>
      <c r="F58" s="57"/>
      <c r="G58" s="85" t="s">
        <v>17</v>
      </c>
      <c r="H58" s="85" t="s">
        <v>17</v>
      </c>
      <c r="I58" s="85" t="s">
        <v>16</v>
      </c>
      <c r="J58" s="81"/>
      <c r="K58" s="81"/>
      <c r="L58" s="81"/>
      <c r="M58" s="56" t="s">
        <v>25</v>
      </c>
      <c r="N58" s="56"/>
      <c r="O58" s="55"/>
      <c r="P58" s="4">
        <f>Inputs!F107</f>
        <v>0.01</v>
      </c>
    </row>
    <row r="59" spans="3:18" ht="15" customHeight="1" outlineLevel="1">
      <c r="G59" s="83">
        <f>Model!$J$348</f>
        <v>526347430.30260146</v>
      </c>
      <c r="H59" s="82"/>
      <c r="I59" s="82"/>
      <c r="J59" s="81"/>
      <c r="K59" s="81"/>
      <c r="L59" s="81"/>
      <c r="M59" s="56" t="s">
        <v>5</v>
      </c>
      <c r="O59" s="55"/>
      <c r="P59" s="4">
        <f>Inputs!$L$84</f>
        <v>4.3493933511545804E-2</v>
      </c>
      <c r="Q59" s="60"/>
    </row>
    <row r="60" spans="3:18" ht="15" customHeight="1" outlineLevel="1">
      <c r="C60" s="77"/>
      <c r="E60" s="171" t="s">
        <v>28</v>
      </c>
      <c r="F60" s="68">
        <v>1</v>
      </c>
      <c r="G60" s="80">
        <f t="dataTable" ref="G60:G62" dt2D="0" dtr="0" r1="G52" ca="1"/>
        <v>891223632.51709342</v>
      </c>
      <c r="H60" s="79">
        <f>G60-$P$60</f>
        <v>885983632.51709342</v>
      </c>
      <c r="I60" s="78">
        <f>H60/$P$61</f>
        <v>68.740942103942928</v>
      </c>
      <c r="J60" s="73"/>
      <c r="K60" s="72"/>
      <c r="L60" s="72"/>
      <c r="M60" s="56" t="s">
        <v>15</v>
      </c>
      <c r="O60" s="71" t="str">
        <f>CONCATENATE("(End of ",Model!$J$5,")")</f>
        <v>(End of 2024)</v>
      </c>
      <c r="P60" s="96">
        <f>Inputs!$L$94</f>
        <v>5240000</v>
      </c>
      <c r="Q60" s="60"/>
    </row>
    <row r="61" spans="3:18" ht="15" customHeight="1" outlineLevel="1">
      <c r="C61" s="77"/>
      <c r="E61" s="171" t="s">
        <v>27</v>
      </c>
      <c r="F61" s="68">
        <v>2</v>
      </c>
      <c r="G61" s="76">
        <v>526347430.30260146</v>
      </c>
      <c r="H61" s="75">
        <f>G61-$P$60</f>
        <v>521107430.30260146</v>
      </c>
      <c r="I61" s="74">
        <f>H61/$P$61</f>
        <v>40.431238661369392</v>
      </c>
      <c r="J61" s="73"/>
      <c r="K61" s="72"/>
      <c r="L61" s="72"/>
      <c r="M61" s="56" t="s">
        <v>14</v>
      </c>
      <c r="N61" s="56"/>
      <c r="O61" s="71" t="s">
        <v>13</v>
      </c>
      <c r="P61" s="96">
        <f>Inputs!F105</f>
        <v>12888732.761</v>
      </c>
      <c r="Q61" s="60"/>
      <c r="R61" s="57"/>
    </row>
    <row r="62" spans="3:18" ht="15" customHeight="1" outlineLevel="1">
      <c r="C62" s="69"/>
      <c r="D62" s="57"/>
      <c r="E62" s="171" t="s">
        <v>26</v>
      </c>
      <c r="F62" s="68">
        <v>3</v>
      </c>
      <c r="G62" s="67">
        <v>265312276.65247476</v>
      </c>
      <c r="H62" s="66">
        <f>G62-$P$60</f>
        <v>260072276.65247476</v>
      </c>
      <c r="I62" s="65">
        <f>H62/$P$61</f>
        <v>20.178265891230762</v>
      </c>
      <c r="J62" s="58"/>
      <c r="K62" s="58"/>
      <c r="L62" s="57"/>
      <c r="M62" s="64" t="s">
        <v>12</v>
      </c>
      <c r="N62" s="63"/>
      <c r="O62" s="62" t="s">
        <v>11</v>
      </c>
      <c r="P62" s="61">
        <f>Inputs!$F$106</f>
        <v>11.6</v>
      </c>
      <c r="Q62" s="60"/>
      <c r="R62" s="57"/>
    </row>
    <row r="63" spans="3:18" ht="15" customHeight="1" outlineLevel="1">
      <c r="C63" s="59"/>
      <c r="D63" s="57"/>
      <c r="E63" s="57"/>
      <c r="J63" s="58"/>
      <c r="K63" s="58"/>
      <c r="L63" s="57"/>
      <c r="M63" s="56"/>
      <c r="P63" s="55"/>
      <c r="Q63" s="54"/>
    </row>
    <row r="64" spans="3:18" ht="15" customHeight="1" outlineLevel="1"/>
    <row r="65" spans="3:18" ht="15" customHeight="1" outlineLevel="1"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3:18" ht="15" customHeight="1" outlineLevel="1">
      <c r="E66" s="480" t="s">
        <v>10</v>
      </c>
      <c r="F66" s="479"/>
      <c r="G66" s="479"/>
      <c r="H66" s="479"/>
      <c r="I66" s="479"/>
      <c r="L66" s="5"/>
      <c r="M66" s="481" t="s">
        <v>9</v>
      </c>
      <c r="N66" s="482"/>
      <c r="O66" s="482"/>
      <c r="P66" s="482"/>
      <c r="Q66" s="482"/>
    </row>
    <row r="67" spans="3:18" ht="15" customHeight="1" outlineLevel="1">
      <c r="L67" s="5"/>
      <c r="M67" s="5"/>
      <c r="N67" s="5"/>
      <c r="O67" s="5"/>
      <c r="P67" s="5"/>
      <c r="Q67" s="5"/>
      <c r="R67" s="36"/>
    </row>
    <row r="68" spans="3:18" ht="15" customHeight="1" outlineLevel="1">
      <c r="C68" s="36"/>
      <c r="D68" s="52"/>
      <c r="E68" s="38" t="s">
        <v>25</v>
      </c>
      <c r="F68" s="37"/>
      <c r="G68" s="37"/>
      <c r="H68" s="37"/>
      <c r="I68" s="37"/>
      <c r="J68" s="36"/>
      <c r="L68" s="35"/>
      <c r="M68" s="34" t="s">
        <v>25</v>
      </c>
      <c r="N68" s="33"/>
      <c r="O68" s="33"/>
      <c r="P68" s="33"/>
      <c r="Q68" s="33"/>
    </row>
    <row r="69" spans="3:18" ht="15" customHeight="1" outlineLevel="1">
      <c r="D69" s="51">
        <f>Model!$J$348</f>
        <v>526347430.30260146</v>
      </c>
      <c r="E69" s="8">
        <f>F69-0.005</f>
        <v>0</v>
      </c>
      <c r="F69" s="8">
        <f>G69-0.005</f>
        <v>5.0000000000000001E-3</v>
      </c>
      <c r="G69" s="8">
        <f>Inputs!$F$107</f>
        <v>0.01</v>
      </c>
      <c r="H69" s="8">
        <f>G69+0.005</f>
        <v>1.4999999999999999E-2</v>
      </c>
      <c r="I69" s="8">
        <f>H69+0.005</f>
        <v>0.02</v>
      </c>
      <c r="J69" s="5"/>
      <c r="L69" s="50"/>
      <c r="M69" s="8">
        <f>E69</f>
        <v>0</v>
      </c>
      <c r="N69" s="8">
        <f>F69</f>
        <v>5.0000000000000001E-3</v>
      </c>
      <c r="O69" s="8">
        <f>G69</f>
        <v>0.01</v>
      </c>
      <c r="P69" s="8">
        <f>H69</f>
        <v>1.4999999999999999E-2</v>
      </c>
      <c r="Q69" s="8">
        <f>I69</f>
        <v>0.02</v>
      </c>
    </row>
    <row r="70" spans="3:18" ht="15" customHeight="1" outlineLevel="1">
      <c r="C70" s="705" t="s">
        <v>5</v>
      </c>
      <c r="D70" s="8">
        <f>D71-0.01</f>
        <v>2.34939335115458E-2</v>
      </c>
      <c r="E70" s="30">
        <f t="dataTable" ref="E70:I74" dt2D="1" dtr="1" r1="P58" r2="P59"/>
        <v>818966240.06542051</v>
      </c>
      <c r="F70" s="29">
        <v>1009545231.4072999</v>
      </c>
      <c r="G70" s="29">
        <v>1341357311.8101368</v>
      </c>
      <c r="H70" s="29">
        <v>2063815351.4164507</v>
      </c>
      <c r="I70" s="28">
        <v>4854023212.8752184</v>
      </c>
      <c r="J70" s="5"/>
      <c r="K70" s="705" t="s">
        <v>5</v>
      </c>
      <c r="L70" s="8">
        <f>D70</f>
        <v>2.34939335115458E-2</v>
      </c>
      <c r="M70" s="49">
        <f t="shared" ref="M70:Q74" si="3">E83/$P$61</f>
        <v>63.134697192859306</v>
      </c>
      <c r="N70" s="48">
        <f t="shared" si="3"/>
        <v>77.921177359361948</v>
      </c>
      <c r="O70" s="48">
        <f t="shared" si="3"/>
        <v>103.66552993115758</v>
      </c>
      <c r="P70" s="48">
        <f t="shared" si="3"/>
        <v>159.71898786244458</v>
      </c>
      <c r="Q70" s="47">
        <f t="shared" si="3"/>
        <v>376.20325464014161</v>
      </c>
    </row>
    <row r="71" spans="3:18" ht="15" customHeight="1" outlineLevel="1">
      <c r="C71" s="705"/>
      <c r="D71" s="8">
        <f>D72-0.01</f>
        <v>3.3493933511545802E-2</v>
      </c>
      <c r="E71" s="22">
        <v>565676701.63028479</v>
      </c>
      <c r="F71" s="21">
        <v>645877454.52693343</v>
      </c>
      <c r="G71" s="21">
        <v>760214999.73945177</v>
      </c>
      <c r="H71" s="21">
        <v>936376896.78125334</v>
      </c>
      <c r="I71" s="20">
        <v>1243087752.6504219</v>
      </c>
      <c r="J71" s="5"/>
      <c r="K71" s="705"/>
      <c r="L71" s="8">
        <f>D71</f>
        <v>3.3493933511545802E-2</v>
      </c>
      <c r="M71" s="45">
        <f t="shared" si="3"/>
        <v>43.482684606985529</v>
      </c>
      <c r="N71" s="44">
        <f t="shared" si="3"/>
        <v>49.705232190509641</v>
      </c>
      <c r="O71" s="44">
        <f t="shared" si="3"/>
        <v>58.576356088624138</v>
      </c>
      <c r="P71" s="44">
        <f t="shared" si="3"/>
        <v>72.244255044124998</v>
      </c>
      <c r="Q71" s="43">
        <f t="shared" si="3"/>
        <v>96.041075224712841</v>
      </c>
    </row>
    <row r="72" spans="3:18" ht="15" customHeight="1" outlineLevel="1">
      <c r="C72" s="705"/>
      <c r="D72" s="8">
        <f>Inputs!$L$84</f>
        <v>4.3493933511545804E-2</v>
      </c>
      <c r="E72" s="22">
        <v>429140307.6753782</v>
      </c>
      <c r="F72" s="21">
        <v>471430723.39956421</v>
      </c>
      <c r="G72" s="24">
        <v>526347430.30260146</v>
      </c>
      <c r="H72" s="21">
        <v>600537259.63388634</v>
      </c>
      <c r="I72" s="20">
        <v>706305380.99312198</v>
      </c>
      <c r="J72" s="5"/>
      <c r="K72" s="705"/>
      <c r="L72" s="8">
        <f>D72</f>
        <v>4.3493933511545804E-2</v>
      </c>
      <c r="M72" s="45">
        <f t="shared" si="3"/>
        <v>32.889215374071341</v>
      </c>
      <c r="N72" s="44">
        <f t="shared" si="3"/>
        <v>36.170408064492584</v>
      </c>
      <c r="O72" s="46">
        <f t="shared" si="3"/>
        <v>40.431238661369392</v>
      </c>
      <c r="P72" s="44">
        <f t="shared" si="3"/>
        <v>46.187415836194198</v>
      </c>
      <c r="Q72" s="43">
        <f t="shared" si="3"/>
        <v>54.393662588340327</v>
      </c>
    </row>
    <row r="73" spans="3:18" ht="15" customHeight="1" outlineLevel="1">
      <c r="C73" s="705"/>
      <c r="D73" s="8">
        <f>D72+0.01</f>
        <v>5.3493933511545806E-2</v>
      </c>
      <c r="E73" s="22">
        <v>343867625.08783942</v>
      </c>
      <c r="F73" s="21">
        <v>369134970.07088447</v>
      </c>
      <c r="G73" s="21">
        <v>400211710.28288424</v>
      </c>
      <c r="H73" s="21">
        <v>439361603.16520774</v>
      </c>
      <c r="I73" s="20">
        <v>490200147.92499071</v>
      </c>
      <c r="J73" s="5"/>
      <c r="K73" s="705"/>
      <c r="L73" s="8">
        <f>D73</f>
        <v>5.3493933511545806E-2</v>
      </c>
      <c r="M73" s="45">
        <f t="shared" si="3"/>
        <v>26.273151237373181</v>
      </c>
      <c r="N73" s="44">
        <f t="shared" si="3"/>
        <v>28.233572440263004</v>
      </c>
      <c r="O73" s="44">
        <f t="shared" si="3"/>
        <v>30.644728043243216</v>
      </c>
      <c r="P73" s="44">
        <f t="shared" si="3"/>
        <v>33.682256527097508</v>
      </c>
      <c r="Q73" s="43">
        <f t="shared" si="3"/>
        <v>37.626674159342571</v>
      </c>
    </row>
    <row r="74" spans="3:18" ht="15" customHeight="1" outlineLevel="1">
      <c r="C74" s="705"/>
      <c r="D74" s="8">
        <f>D73+0.01</f>
        <v>6.3493933511545808E-2</v>
      </c>
      <c r="E74" s="16">
        <v>285627110.94834822</v>
      </c>
      <c r="F74" s="15">
        <v>301976958.95096397</v>
      </c>
      <c r="G74" s="15">
        <v>321383199.88065565</v>
      </c>
      <c r="H74" s="15">
        <v>344791228.15248388</v>
      </c>
      <c r="I74" s="14">
        <v>373581162.90688276</v>
      </c>
      <c r="J74" s="5"/>
      <c r="K74" s="705"/>
      <c r="L74" s="8">
        <f>D74</f>
        <v>6.3493933511545808E-2</v>
      </c>
      <c r="M74" s="42">
        <f t="shared" si="3"/>
        <v>21.754435920711401</v>
      </c>
      <c r="N74" s="41">
        <f t="shared" si="3"/>
        <v>23.022973976841225</v>
      </c>
      <c r="O74" s="41">
        <f t="shared" si="3"/>
        <v>24.528648839494366</v>
      </c>
      <c r="P74" s="41">
        <f t="shared" si="3"/>
        <v>26.344810963877809</v>
      </c>
      <c r="Q74" s="40">
        <f t="shared" si="3"/>
        <v>28.578539856256917</v>
      </c>
    </row>
    <row r="75" spans="3:18" ht="15" customHeight="1" outlineLevel="1">
      <c r="D75" s="5"/>
      <c r="E75" s="5"/>
      <c r="F75" s="5"/>
      <c r="G75" s="5"/>
      <c r="H75" s="5"/>
      <c r="I75" s="5"/>
      <c r="J75" s="5"/>
    </row>
    <row r="76" spans="3:18" ht="15" customHeight="1" outlineLevel="1">
      <c r="D76" s="5"/>
      <c r="E76" s="5"/>
      <c r="F76" s="5"/>
      <c r="G76" s="5"/>
      <c r="H76" s="5"/>
      <c r="I76" s="5"/>
      <c r="J76" s="5"/>
      <c r="K76" s="5"/>
      <c r="L76" s="5"/>
      <c r="M76" s="39"/>
      <c r="N76" s="33"/>
      <c r="O76" s="33"/>
      <c r="P76" s="33"/>
      <c r="Q76" s="33"/>
    </row>
    <row r="77" spans="3:18" ht="15" customHeight="1" outlineLevel="1"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3:18" ht="15" customHeight="1" outlineLevel="1"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3:18" ht="15" customHeight="1" outlineLevel="1">
      <c r="E79" s="480" t="s">
        <v>8</v>
      </c>
      <c r="F79" s="479"/>
      <c r="G79" s="479"/>
      <c r="H79" s="479"/>
      <c r="I79" s="479"/>
      <c r="J79" s="5"/>
      <c r="K79" s="5"/>
      <c r="L79" s="5"/>
      <c r="M79" s="481" t="s">
        <v>7</v>
      </c>
      <c r="N79" s="482"/>
      <c r="O79" s="482"/>
      <c r="P79" s="482"/>
      <c r="Q79" s="482"/>
    </row>
    <row r="80" spans="3:18" ht="15" customHeight="1" outlineLevel="1">
      <c r="J80" s="5"/>
      <c r="K80" s="5"/>
      <c r="L80" s="5"/>
      <c r="M80" s="5"/>
      <c r="N80" s="5"/>
      <c r="O80" s="5"/>
      <c r="P80" s="5"/>
      <c r="Q80" s="5"/>
    </row>
    <row r="81" spans="3:17" ht="15" customHeight="1" outlineLevel="1">
      <c r="C81" s="36"/>
      <c r="D81" s="36"/>
      <c r="E81" s="38" t="s">
        <v>25</v>
      </c>
      <c r="F81" s="37"/>
      <c r="G81" s="37"/>
      <c r="H81" s="37"/>
      <c r="I81" s="37"/>
      <c r="J81" s="35"/>
      <c r="K81" s="35"/>
      <c r="L81" s="35"/>
      <c r="M81" s="34" t="s">
        <v>25</v>
      </c>
      <c r="N81" s="33"/>
      <c r="O81" s="33"/>
      <c r="P81" s="33"/>
      <c r="Q81" s="33"/>
    </row>
    <row r="82" spans="3:17" ht="15" customHeight="1" outlineLevel="1">
      <c r="C82" s="5"/>
      <c r="D82" s="32"/>
      <c r="E82" s="95">
        <f>E69</f>
        <v>0</v>
      </c>
      <c r="F82" s="95">
        <f>F69</f>
        <v>5.0000000000000001E-3</v>
      </c>
      <c r="G82" s="95">
        <f>G69</f>
        <v>0.01</v>
      </c>
      <c r="H82" s="95">
        <f>H69</f>
        <v>1.4999999999999999E-2</v>
      </c>
      <c r="I82" s="95">
        <f>I69</f>
        <v>0.02</v>
      </c>
      <c r="J82" s="5"/>
      <c r="K82" s="5"/>
      <c r="L82" s="32"/>
      <c r="M82" s="8">
        <f>E82</f>
        <v>0</v>
      </c>
      <c r="N82" s="8">
        <f>F82</f>
        <v>5.0000000000000001E-3</v>
      </c>
      <c r="O82" s="8">
        <f>G82</f>
        <v>0.01</v>
      </c>
      <c r="P82" s="8">
        <f>H82</f>
        <v>1.4999999999999999E-2</v>
      </c>
      <c r="Q82" s="8">
        <f>I82</f>
        <v>0.02</v>
      </c>
    </row>
    <row r="83" spans="3:17" ht="15" customHeight="1" outlineLevel="1">
      <c r="C83" s="704" t="s">
        <v>5</v>
      </c>
      <c r="D83" s="8">
        <f>D70</f>
        <v>2.34939335115458E-2</v>
      </c>
      <c r="E83" s="22">
        <f t="shared" ref="E83:I87" si="4">E70-$P$60</f>
        <v>813726240.06542051</v>
      </c>
      <c r="F83" s="94">
        <f t="shared" si="4"/>
        <v>1004305231.4072999</v>
      </c>
      <c r="G83" s="94">
        <f t="shared" si="4"/>
        <v>1336117311.8101368</v>
      </c>
      <c r="H83" s="29">
        <f t="shared" si="4"/>
        <v>2058575351.4164507</v>
      </c>
      <c r="I83" s="28">
        <f t="shared" si="4"/>
        <v>4848783212.8752184</v>
      </c>
      <c r="J83" s="5"/>
      <c r="K83" s="704" t="s">
        <v>5</v>
      </c>
      <c r="L83" s="8">
        <f>D83</f>
        <v>2.34939335115458E-2</v>
      </c>
      <c r="M83" s="27">
        <f t="shared" ref="M83:Q87" si="5">M70/$P$62-1</f>
        <v>4.442646309729251</v>
      </c>
      <c r="N83" s="26">
        <f t="shared" si="5"/>
        <v>5.7173428758070646</v>
      </c>
      <c r="O83" s="26">
        <f t="shared" si="5"/>
        <v>7.9366836147549638</v>
      </c>
      <c r="P83" s="26">
        <f t="shared" si="5"/>
        <v>12.768878264003844</v>
      </c>
      <c r="Q83" s="25">
        <f t="shared" si="5"/>
        <v>31.431315055184619</v>
      </c>
    </row>
    <row r="84" spans="3:17" ht="15" customHeight="1" outlineLevel="1">
      <c r="C84" s="704"/>
      <c r="D84" s="8">
        <f>D71</f>
        <v>3.3493933511545802E-2</v>
      </c>
      <c r="E84" s="22">
        <f t="shared" si="4"/>
        <v>560436701.63028479</v>
      </c>
      <c r="F84" s="21">
        <f t="shared" si="4"/>
        <v>640637454.52693343</v>
      </c>
      <c r="G84" s="21">
        <f t="shared" si="4"/>
        <v>754974999.73945177</v>
      </c>
      <c r="H84" s="21">
        <f t="shared" si="4"/>
        <v>931136896.78125334</v>
      </c>
      <c r="I84" s="20">
        <f t="shared" si="4"/>
        <v>1237847752.6504219</v>
      </c>
      <c r="J84" s="5"/>
      <c r="K84" s="704"/>
      <c r="L84" s="8">
        <f>D84</f>
        <v>3.3493933511545802E-2</v>
      </c>
      <c r="M84" s="19">
        <f t="shared" si="5"/>
        <v>2.7485072937056492</v>
      </c>
      <c r="N84" s="18">
        <f t="shared" si="5"/>
        <v>3.2849338095266933</v>
      </c>
      <c r="O84" s="18">
        <f t="shared" si="5"/>
        <v>4.0496858697089779</v>
      </c>
      <c r="P84" s="18">
        <f t="shared" si="5"/>
        <v>5.2279530210452583</v>
      </c>
      <c r="Q84" s="17">
        <f t="shared" si="5"/>
        <v>7.2794030366131768</v>
      </c>
    </row>
    <row r="85" spans="3:17" ht="15" customHeight="1" outlineLevel="1">
      <c r="C85" s="704"/>
      <c r="D85" s="8">
        <f>D72</f>
        <v>4.3493933511545804E-2</v>
      </c>
      <c r="E85" s="22">
        <f t="shared" si="4"/>
        <v>423900307.6753782</v>
      </c>
      <c r="F85" s="21">
        <f t="shared" si="4"/>
        <v>466190723.39956421</v>
      </c>
      <c r="G85" s="24">
        <f t="shared" si="4"/>
        <v>521107430.30260146</v>
      </c>
      <c r="H85" s="21">
        <f t="shared" si="4"/>
        <v>595297259.63388634</v>
      </c>
      <c r="I85" s="20">
        <f t="shared" si="4"/>
        <v>701065380.99312198</v>
      </c>
      <c r="J85" s="5"/>
      <c r="K85" s="704"/>
      <c r="L85" s="8">
        <f>D85</f>
        <v>4.3493933511545804E-2</v>
      </c>
      <c r="M85" s="19">
        <f t="shared" si="5"/>
        <v>1.8352771874199432</v>
      </c>
      <c r="N85" s="18">
        <f t="shared" si="5"/>
        <v>2.1181386262493609</v>
      </c>
      <c r="O85" s="23">
        <f t="shared" si="5"/>
        <v>2.4854516087387406</v>
      </c>
      <c r="P85" s="18">
        <f t="shared" si="5"/>
        <v>2.9816737789822585</v>
      </c>
      <c r="Q85" s="17">
        <f t="shared" si="5"/>
        <v>3.6891088438224422</v>
      </c>
    </row>
    <row r="86" spans="3:17" ht="15" customHeight="1" outlineLevel="1">
      <c r="C86" s="704"/>
      <c r="D86" s="8">
        <f>D73</f>
        <v>5.3493933511545806E-2</v>
      </c>
      <c r="E86" s="22">
        <f t="shared" si="4"/>
        <v>338627625.08783942</v>
      </c>
      <c r="F86" s="21">
        <f t="shared" si="4"/>
        <v>363894970.07088447</v>
      </c>
      <c r="G86" s="21">
        <f t="shared" si="4"/>
        <v>394971710.28288424</v>
      </c>
      <c r="H86" s="21">
        <f t="shared" si="4"/>
        <v>434121603.16520774</v>
      </c>
      <c r="I86" s="20">
        <f t="shared" si="4"/>
        <v>484960147.92499071</v>
      </c>
      <c r="J86" s="5"/>
      <c r="K86" s="704"/>
      <c r="L86" s="8">
        <f>D86</f>
        <v>5.3493933511545806E-2</v>
      </c>
      <c r="M86" s="19">
        <f t="shared" si="5"/>
        <v>1.264926830808033</v>
      </c>
      <c r="N86" s="18">
        <f t="shared" si="5"/>
        <v>1.4339286586433624</v>
      </c>
      <c r="O86" s="18">
        <f t="shared" si="5"/>
        <v>1.6417869002795875</v>
      </c>
      <c r="P86" s="18">
        <f t="shared" si="5"/>
        <v>1.9036428040601301</v>
      </c>
      <c r="Q86" s="17">
        <f t="shared" si="5"/>
        <v>2.2436788068398767</v>
      </c>
    </row>
    <row r="87" spans="3:17" ht="15" customHeight="1" outlineLevel="1">
      <c r="C87" s="704"/>
      <c r="D87" s="8">
        <f>D74</f>
        <v>6.3493933511545808E-2</v>
      </c>
      <c r="E87" s="16">
        <f t="shared" si="4"/>
        <v>280387110.94834822</v>
      </c>
      <c r="F87" s="15">
        <f t="shared" si="4"/>
        <v>296736958.95096397</v>
      </c>
      <c r="G87" s="15">
        <f t="shared" si="4"/>
        <v>316143199.88065565</v>
      </c>
      <c r="H87" s="15">
        <f t="shared" si="4"/>
        <v>339551228.15248388</v>
      </c>
      <c r="I87" s="14">
        <f t="shared" si="4"/>
        <v>368341162.90688276</v>
      </c>
      <c r="J87" s="5"/>
      <c r="K87" s="704"/>
      <c r="L87" s="8">
        <f>D87</f>
        <v>6.3493933511545808E-2</v>
      </c>
      <c r="M87" s="13">
        <f t="shared" si="5"/>
        <v>0.8753824069578795</v>
      </c>
      <c r="N87" s="12">
        <f t="shared" si="5"/>
        <v>0.98473913593458851</v>
      </c>
      <c r="O87" s="12">
        <f t="shared" si="5"/>
        <v>1.1145386930598593</v>
      </c>
      <c r="P87" s="12">
        <f t="shared" si="5"/>
        <v>1.2711043934377422</v>
      </c>
      <c r="Q87" s="11">
        <f t="shared" si="5"/>
        <v>1.4636672289876653</v>
      </c>
    </row>
    <row r="88" spans="3:17" ht="15" customHeight="1" outlineLevel="1">
      <c r="C88" s="9"/>
      <c r="D88" s="8"/>
      <c r="E88" s="10"/>
      <c r="F88" s="10"/>
      <c r="G88" s="10"/>
      <c r="H88" s="10"/>
      <c r="I88" s="10"/>
      <c r="J88" s="5"/>
      <c r="K88" s="9"/>
      <c r="L88" s="8"/>
      <c r="M88" s="7"/>
      <c r="N88" s="7"/>
      <c r="O88" s="7"/>
      <c r="P88" s="7"/>
      <c r="Q88" s="7"/>
    </row>
    <row r="89" spans="3:17" ht="15" customHeight="1" outlineLevel="1">
      <c r="C89" s="9"/>
      <c r="D89" s="8"/>
      <c r="E89" s="10"/>
      <c r="F89" s="10"/>
      <c r="G89" s="10"/>
      <c r="H89" s="10"/>
      <c r="I89" s="10"/>
      <c r="J89" s="5"/>
      <c r="K89" s="9"/>
      <c r="L89" s="8"/>
      <c r="M89" s="7"/>
      <c r="N89" s="7"/>
      <c r="O89" s="7"/>
      <c r="P89" s="7"/>
      <c r="Q89" s="6" t="s">
        <v>4</v>
      </c>
    </row>
    <row r="91" spans="3:17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</sheetData>
  <mergeCells count="8">
    <mergeCell ref="C83:C87"/>
    <mergeCell ref="K70:K74"/>
    <mergeCell ref="K83:K87"/>
    <mergeCell ref="B24:B28"/>
    <mergeCell ref="B37:B41"/>
    <mergeCell ref="J24:J28"/>
    <mergeCell ref="J37:J41"/>
    <mergeCell ref="C70:C74"/>
  </mergeCells>
  <printOptions horizontalCentered="1"/>
  <pageMargins left="0.11811023622047245" right="0.11811023622047245" top="0.11811023622047245" bottom="0.11811023622047245" header="0.11811023622047245" footer="0.11811023622047245"/>
  <pageSetup scale="88" orientation="landscape" r:id="rId1"/>
  <headerFooter>
    <oddFooter>&amp;L&amp;"Open Sans,Bold"&amp;10&amp;K002060DCF Valuation Modeling&amp;C&amp;"Open Sans,Bold"&amp;10&amp;K002060Page &amp;P of &amp;N&amp;R&amp;G</oddFooter>
  </headerFooter>
  <rowBreaks count="1" manualBreakCount="1">
    <brk id="46" min="1" max="17" man="1"/>
  </rowBreaks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5" name="Drop Down 1">
              <controlPr defaultSize="0" autoLine="0" autoPict="0">
                <anchor moveWithCells="1" sizeWithCells="1">
                  <from>
                    <xdr:col>6</xdr:col>
                    <xdr:colOff>0</xdr:colOff>
                    <xdr:row>51</xdr:row>
                    <xdr:rowOff>0</xdr:rowOff>
                  </from>
                  <to>
                    <xdr:col>7</xdr:col>
                    <xdr:colOff>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6" name="Drop Down 2">
              <controlPr defaultSize="0" autoLine="0" autoPict="0">
                <anchor moveWithCells="1" sizeWithCells="1">
                  <from>
                    <xdr:col>5</xdr:col>
                    <xdr:colOff>0</xdr:colOff>
                    <xdr:row>5</xdr:row>
                    <xdr:rowOff>0</xdr:rowOff>
                  </from>
                  <to>
                    <xdr:col>6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77756-A2B2-46A9-ADDA-1F6595EF7C7E}">
  <sheetPr codeName="Sheet5">
    <pageSetUpPr autoPageBreaks="0"/>
  </sheetPr>
  <dimension ref="A1:R114"/>
  <sheetViews>
    <sheetView showGridLines="0" zoomScale="83" zoomScaleNormal="100" zoomScaleSheetLayoutView="100" workbookViewId="0">
      <pane ySplit="1" topLeftCell="A93" activePane="bottomLeft" state="frozen"/>
      <selection pane="bottomLeft"/>
    </sheetView>
  </sheetViews>
  <sheetFormatPr defaultColWidth="9.109375" defaultRowHeight="15" customHeight="1" outlineLevelRow="1"/>
  <cols>
    <col min="1" max="1" width="9.109375" style="2"/>
    <col min="2" max="2" width="12.77734375" style="2" customWidth="1"/>
    <col min="3" max="5" width="11.77734375" style="2" customWidth="1"/>
    <col min="6" max="6" width="15.77734375" style="2" bestFit="1" customWidth="1"/>
    <col min="7" max="12" width="11.77734375" style="2" customWidth="1"/>
    <col min="13" max="13" width="11.6640625" style="2" bestFit="1" customWidth="1"/>
    <col min="14" max="14" width="15.6640625" style="2" bestFit="1" customWidth="1"/>
    <col min="15" max="15" width="11.6640625" style="2" bestFit="1" customWidth="1"/>
    <col min="16" max="16" width="9.109375" style="2"/>
    <col min="17" max="17" width="10.6640625" style="2" bestFit="1" customWidth="1"/>
    <col min="18" max="16384" width="9.109375" style="2"/>
  </cols>
  <sheetData>
    <row r="1" spans="1:18" ht="49.95" customHeight="1">
      <c r="A1" s="57"/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  <c r="O1" s="477"/>
    </row>
    <row r="2" spans="1:18" ht="15" customHeight="1">
      <c r="A2" s="99"/>
      <c r="B2" s="99"/>
      <c r="C2" s="131"/>
      <c r="D2" s="131"/>
      <c r="E2" s="131"/>
      <c r="F2" s="131"/>
      <c r="G2" s="104"/>
      <c r="H2" s="130"/>
      <c r="I2" s="130"/>
      <c r="J2" s="130"/>
      <c r="K2" s="130"/>
      <c r="L2" s="130"/>
      <c r="M2" s="129"/>
    </row>
    <row r="3" spans="1:18" ht="15" customHeight="1">
      <c r="A3" s="99" t="s">
        <v>0</v>
      </c>
      <c r="B3" s="476" t="s">
        <v>95</v>
      </c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</row>
    <row r="4" spans="1:18" ht="15" customHeight="1" outlineLevel="1">
      <c r="A4" s="99"/>
      <c r="B4" s="148"/>
      <c r="C4" s="93"/>
      <c r="D4" s="92"/>
      <c r="E4" s="92"/>
      <c r="F4" s="91"/>
      <c r="G4" s="91"/>
      <c r="H4" s="91"/>
      <c r="I4" s="91"/>
      <c r="J4" s="91"/>
      <c r="K4" s="91"/>
      <c r="L4" s="91"/>
      <c r="M4" s="91"/>
      <c r="P4" s="1"/>
      <c r="Q4" s="1"/>
      <c r="R4" s="1"/>
    </row>
    <row r="5" spans="1:18" ht="15" customHeight="1" outlineLevel="1" thickBot="1">
      <c r="A5" s="99"/>
      <c r="B5" s="77" t="s">
        <v>22</v>
      </c>
      <c r="C5" s="93"/>
      <c r="D5" s="87"/>
      <c r="E5" s="87"/>
      <c r="F5" s="90"/>
      <c r="G5" s="488">
        <f>$F$97</f>
        <v>2025</v>
      </c>
      <c r="H5" s="488">
        <f>G5+1</f>
        <v>2026</v>
      </c>
      <c r="I5" s="488">
        <f>H5+1</f>
        <v>2027</v>
      </c>
      <c r="J5" s="488">
        <f>I5+1</f>
        <v>2028</v>
      </c>
      <c r="K5" s="488">
        <f>J5+1</f>
        <v>2029</v>
      </c>
      <c r="L5" s="488">
        <f t="shared" ref="L5:N5" si="0">K5+1</f>
        <v>2030</v>
      </c>
      <c r="M5" s="488">
        <f t="shared" si="0"/>
        <v>2031</v>
      </c>
      <c r="N5" s="488">
        <f t="shared" si="0"/>
        <v>2032</v>
      </c>
      <c r="O5" s="488" t="s">
        <v>94</v>
      </c>
      <c r="P5" s="1"/>
      <c r="Q5" s="1"/>
      <c r="R5" s="1"/>
    </row>
    <row r="6" spans="1:18" s="1" customFormat="1" ht="15" customHeight="1" outlineLevel="1">
      <c r="B6" s="69"/>
      <c r="D6" s="56"/>
      <c r="E6" s="56"/>
      <c r="F6" s="56"/>
      <c r="G6" s="56"/>
      <c r="H6" s="56"/>
      <c r="I6" s="174"/>
      <c r="J6" s="173"/>
    </row>
    <row r="7" spans="1:18" s="1" customFormat="1" ht="15" customHeight="1" outlineLevel="1">
      <c r="B7" s="151" t="s">
        <v>93</v>
      </c>
      <c r="D7" s="175">
        <f>Outputs!G52</f>
        <v>2</v>
      </c>
      <c r="E7" s="56"/>
      <c r="F7" s="56"/>
      <c r="G7" s="56"/>
      <c r="H7" s="56"/>
      <c r="I7" s="174"/>
      <c r="J7" s="173"/>
    </row>
    <row r="8" spans="1:18" s="1" customFormat="1" ht="15" customHeight="1" outlineLevel="1">
      <c r="C8" s="56"/>
      <c r="D8" s="56"/>
      <c r="E8" s="56"/>
      <c r="F8" s="56"/>
      <c r="G8" s="56"/>
      <c r="H8" s="174"/>
      <c r="I8" s="173"/>
    </row>
    <row r="9" spans="1:18" s="1" customFormat="1" ht="15" customHeight="1" outlineLevel="1">
      <c r="C9" s="56"/>
      <c r="D9" s="56"/>
      <c r="E9" s="56"/>
      <c r="F9" s="56"/>
      <c r="G9" s="56"/>
      <c r="H9" s="174"/>
      <c r="I9" s="173"/>
    </row>
    <row r="10" spans="1:18" s="1" customFormat="1" ht="15" customHeight="1" outlineLevel="1">
      <c r="B10" s="151" t="s">
        <v>202</v>
      </c>
      <c r="D10" s="64"/>
      <c r="E10" s="64"/>
      <c r="F10" s="64"/>
      <c r="G10" s="166" cm="1">
        <f t="array" ref="G10">INDEX(G12:G14,$D$7)</f>
        <v>0.12</v>
      </c>
      <c r="H10" s="165" cm="1">
        <f t="array" ref="H10">INDEX(H12:H14,$D$7)</f>
        <v>0.11200000000000002</v>
      </c>
      <c r="I10" s="165" cm="1">
        <f t="array" ref="I10">INDEX(I12:I14,$D$7)</f>
        <v>0.10400000000000001</v>
      </c>
      <c r="J10" s="165" cm="1">
        <f t="array" ref="J10">INDEX(J12:J14,$D$7)</f>
        <v>4.8000000000000001E-2</v>
      </c>
      <c r="K10" s="165" cm="1">
        <f t="array" ref="K10">INDEX(K12:K14,$D$7)</f>
        <v>4.0000000000000008E-2</v>
      </c>
      <c r="L10" s="165" cm="1">
        <f t="array" ref="L10">INDEX(L12:L14,$D$7)</f>
        <v>3.2000000000000001E-2</v>
      </c>
      <c r="M10" s="165" cm="1">
        <f t="array" ref="M10">INDEX(M12:M14,$D$7)</f>
        <v>2.8000000000000004E-2</v>
      </c>
      <c r="N10" s="165" cm="1">
        <f t="array" ref="N10">INDEX(N12:N14,$D$7)</f>
        <v>2.8000000000000004E-2</v>
      </c>
      <c r="O10" s="165" cm="1">
        <f t="array" ref="O10">INDEX(O12:O14,$D$7)</f>
        <v>2.8000000000000004E-2</v>
      </c>
    </row>
    <row r="11" spans="1:18" s="1" customFormat="1" ht="15" customHeight="1" outlineLevel="1">
      <c r="C11" s="56"/>
      <c r="D11" s="56"/>
      <c r="E11" s="56"/>
      <c r="F11" s="56"/>
      <c r="G11" s="170"/>
      <c r="H11" s="172"/>
      <c r="I11" s="168"/>
      <c r="J11" s="167"/>
      <c r="K11" s="167"/>
      <c r="L11" s="167"/>
    </row>
    <row r="12" spans="1:18" s="1" customFormat="1" ht="15" customHeight="1" outlineLevel="1">
      <c r="B12" s="154" t="str">
        <f>Outputs!E60</f>
        <v>Best Case</v>
      </c>
      <c r="C12" s="171"/>
      <c r="D12" s="56"/>
      <c r="E12" s="56"/>
      <c r="F12" s="56"/>
      <c r="G12" s="553">
        <v>0.15</v>
      </c>
      <c r="H12" s="554">
        <v>0.14000000000000001</v>
      </c>
      <c r="I12" s="554">
        <v>0.13</v>
      </c>
      <c r="J12" s="554">
        <v>0.06</v>
      </c>
      <c r="K12" s="554">
        <v>0.05</v>
      </c>
      <c r="L12" s="554">
        <v>0.04</v>
      </c>
      <c r="M12" s="554">
        <v>3.5000000000000003E-2</v>
      </c>
      <c r="N12" s="554">
        <v>3.5000000000000003E-2</v>
      </c>
      <c r="O12" s="555">
        <v>3.5000000000000003E-2</v>
      </c>
    </row>
    <row r="13" spans="1:18" s="1" customFormat="1" ht="15" customHeight="1" outlineLevel="1">
      <c r="B13" s="154" t="str">
        <f>Outputs!E61</f>
        <v>Base Case</v>
      </c>
      <c r="C13" s="56"/>
      <c r="D13" s="56"/>
      <c r="E13" s="56"/>
      <c r="F13" s="56"/>
      <c r="G13" s="556">
        <f>G12*0.8</f>
        <v>0.12</v>
      </c>
      <c r="H13" s="531">
        <f t="shared" ref="H13:I13" si="1">H12*0.8</f>
        <v>0.11200000000000002</v>
      </c>
      <c r="I13" s="531">
        <f t="shared" si="1"/>
        <v>0.10400000000000001</v>
      </c>
      <c r="J13" s="531">
        <f>J12*0.8</f>
        <v>4.8000000000000001E-2</v>
      </c>
      <c r="K13" s="531">
        <f t="shared" ref="K13:O13" si="2">K12*0.8</f>
        <v>4.0000000000000008E-2</v>
      </c>
      <c r="L13" s="531">
        <f t="shared" si="2"/>
        <v>3.2000000000000001E-2</v>
      </c>
      <c r="M13" s="531">
        <f t="shared" si="2"/>
        <v>2.8000000000000004E-2</v>
      </c>
      <c r="N13" s="531">
        <f t="shared" si="2"/>
        <v>2.8000000000000004E-2</v>
      </c>
      <c r="O13" s="557">
        <f t="shared" si="2"/>
        <v>2.8000000000000004E-2</v>
      </c>
    </row>
    <row r="14" spans="1:18" s="1" customFormat="1" ht="15" customHeight="1" outlineLevel="1">
      <c r="B14" s="154" t="str">
        <f>Outputs!E62</f>
        <v>Worst Case</v>
      </c>
      <c r="C14" s="56"/>
      <c r="D14" s="56"/>
      <c r="E14" s="56"/>
      <c r="F14" s="56"/>
      <c r="G14" s="558">
        <f>G13*0.7</f>
        <v>8.3999999999999991E-2</v>
      </c>
      <c r="H14" s="532">
        <f t="shared" ref="H14:J14" si="3">H13*0.7</f>
        <v>7.8400000000000011E-2</v>
      </c>
      <c r="I14" s="532">
        <f t="shared" si="3"/>
        <v>7.2800000000000004E-2</v>
      </c>
      <c r="J14" s="532">
        <f t="shared" si="3"/>
        <v>3.3599999999999998E-2</v>
      </c>
      <c r="K14" s="532">
        <f t="shared" ref="K14" si="4">K13*0.7</f>
        <v>2.8000000000000004E-2</v>
      </c>
      <c r="L14" s="532">
        <f t="shared" ref="L14:M14" si="5">L13*0.7</f>
        <v>2.24E-2</v>
      </c>
      <c r="M14" s="532">
        <f t="shared" si="5"/>
        <v>1.9600000000000003E-2</v>
      </c>
      <c r="N14" s="532">
        <f t="shared" ref="N14" si="6">N13*0.7</f>
        <v>1.9600000000000003E-2</v>
      </c>
      <c r="O14" s="559">
        <f t="shared" ref="O14" si="7">O13*0.7</f>
        <v>1.9600000000000003E-2</v>
      </c>
    </row>
    <row r="15" spans="1:18" s="1" customFormat="1" ht="15" customHeight="1" outlineLevel="1">
      <c r="B15" s="69"/>
      <c r="C15" s="153"/>
      <c r="D15" s="153"/>
      <c r="E15" s="153"/>
      <c r="F15" s="153"/>
      <c r="G15" s="170"/>
      <c r="H15" s="169"/>
      <c r="I15" s="168"/>
      <c r="J15" s="167"/>
      <c r="K15" s="167"/>
      <c r="L15" s="167"/>
    </row>
    <row r="16" spans="1:18" s="1" customFormat="1" ht="15" customHeight="1" outlineLevel="1">
      <c r="B16" s="69"/>
      <c r="C16" s="153"/>
      <c r="D16" s="153"/>
      <c r="E16" s="153"/>
      <c r="F16" s="153"/>
      <c r="G16" s="170"/>
      <c r="H16" s="169"/>
      <c r="I16" s="168"/>
      <c r="J16" s="167"/>
      <c r="K16" s="167"/>
      <c r="L16" s="167"/>
    </row>
    <row r="17" spans="2:15" s="1" customFormat="1" ht="15" customHeight="1" outlineLevel="1">
      <c r="B17" s="151" t="s">
        <v>218</v>
      </c>
      <c r="C17" s="153"/>
      <c r="D17" s="153"/>
      <c r="E17" s="153"/>
      <c r="F17" s="153"/>
      <c r="G17" s="166" cm="1">
        <f t="array" ref="G17">INDEX(G19:G21,$D$7)</f>
        <v>0.49</v>
      </c>
      <c r="H17" s="165" cm="1">
        <f t="array" ref="H17">INDEX(H19:H21,$D$7)</f>
        <v>0.49</v>
      </c>
      <c r="I17" s="165" cm="1">
        <f t="array" ref="I17">INDEX(I19:I21,$D$7)</f>
        <v>0.49</v>
      </c>
      <c r="J17" s="165" cm="1">
        <f t="array" ref="J17">INDEX(J19:J21,$D$7)</f>
        <v>0.49</v>
      </c>
      <c r="K17" s="165" cm="1">
        <f t="array" ref="K17">INDEX(K19:K21,$D$7)</f>
        <v>0.49</v>
      </c>
      <c r="L17" s="165" cm="1">
        <f t="array" ref="L17">INDEX(L19:L21,$D$7)</f>
        <v>0.49</v>
      </c>
      <c r="M17" s="165" cm="1">
        <f t="array" ref="M17">INDEX(M19:M21,$D$7)</f>
        <v>0.49</v>
      </c>
      <c r="N17" s="165" cm="1">
        <f t="array" ref="N17">INDEX(N19:N21,$D$7)</f>
        <v>0.49</v>
      </c>
      <c r="O17" s="165" cm="1">
        <f t="array" ref="O17">INDEX(O19:O21,$D$7)</f>
        <v>0.49</v>
      </c>
    </row>
    <row r="18" spans="2:15" s="1" customFormat="1" ht="15" customHeight="1" outlineLevel="1">
      <c r="B18" s="69"/>
      <c r="C18" s="153"/>
      <c r="D18" s="153"/>
      <c r="E18" s="153"/>
      <c r="F18" s="153"/>
      <c r="G18" s="164"/>
      <c r="H18" s="163"/>
      <c r="I18" s="162"/>
      <c r="J18" s="161"/>
      <c r="K18" s="161"/>
      <c r="L18" s="161"/>
    </row>
    <row r="19" spans="2:15" s="1" customFormat="1" ht="15" customHeight="1" outlineLevel="1">
      <c r="B19" s="154" t="str">
        <f>$B$12</f>
        <v>Best Case</v>
      </c>
      <c r="C19" s="56"/>
      <c r="D19" s="56"/>
      <c r="E19" s="56"/>
      <c r="F19" s="56"/>
      <c r="G19" s="553">
        <v>0.45</v>
      </c>
      <c r="H19" s="554">
        <v>0.45</v>
      </c>
      <c r="I19" s="554">
        <v>0.45</v>
      </c>
      <c r="J19" s="554">
        <v>0.45</v>
      </c>
      <c r="K19" s="554">
        <v>0.45</v>
      </c>
      <c r="L19" s="554">
        <v>0.45</v>
      </c>
      <c r="M19" s="554">
        <v>0.45</v>
      </c>
      <c r="N19" s="554">
        <v>0.45</v>
      </c>
      <c r="O19" s="555">
        <v>0.45</v>
      </c>
    </row>
    <row r="20" spans="2:15" s="1" customFormat="1" ht="15" customHeight="1" outlineLevel="1">
      <c r="B20" s="154" t="str">
        <f>$B$13</f>
        <v>Base Case</v>
      </c>
      <c r="C20" s="56"/>
      <c r="D20" s="56"/>
      <c r="E20" s="56"/>
      <c r="F20" s="56"/>
      <c r="G20" s="556">
        <v>0.49</v>
      </c>
      <c r="H20" s="531">
        <v>0.49</v>
      </c>
      <c r="I20" s="531">
        <v>0.49</v>
      </c>
      <c r="J20" s="531">
        <v>0.49</v>
      </c>
      <c r="K20" s="531">
        <v>0.49</v>
      </c>
      <c r="L20" s="531">
        <v>0.49</v>
      </c>
      <c r="M20" s="531">
        <v>0.49</v>
      </c>
      <c r="N20" s="531">
        <v>0.49</v>
      </c>
      <c r="O20" s="557">
        <v>0.49</v>
      </c>
    </row>
    <row r="21" spans="2:15" s="1" customFormat="1" ht="15" customHeight="1" outlineLevel="1">
      <c r="B21" s="154" t="str">
        <f>$B$14</f>
        <v>Worst Case</v>
      </c>
      <c r="C21" s="56"/>
      <c r="D21" s="56"/>
      <c r="E21" s="56"/>
      <c r="F21" s="56"/>
      <c r="G21" s="558">
        <v>0.5</v>
      </c>
      <c r="H21" s="532">
        <v>0.502</v>
      </c>
      <c r="I21" s="532">
        <v>0.505</v>
      </c>
      <c r="J21" s="532">
        <v>0.50800000000000001</v>
      </c>
      <c r="K21" s="532">
        <v>0.51</v>
      </c>
      <c r="L21" s="532">
        <v>0.51</v>
      </c>
      <c r="M21" s="532">
        <v>0.51</v>
      </c>
      <c r="N21" s="532">
        <v>0.51</v>
      </c>
      <c r="O21" s="559">
        <v>0.51</v>
      </c>
    </row>
    <row r="22" spans="2:15" s="1" customFormat="1" ht="15" customHeight="1" outlineLevel="1"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</row>
    <row r="23" spans="2:15" s="1" customFormat="1" ht="15" customHeight="1" outlineLevel="1">
      <c r="C23" s="153"/>
      <c r="D23" s="153"/>
      <c r="E23" s="153"/>
      <c r="F23" s="153"/>
      <c r="G23" s="101"/>
      <c r="H23" s="101"/>
      <c r="I23" s="101"/>
      <c r="J23" s="101"/>
      <c r="K23" s="101"/>
      <c r="L23" s="101"/>
    </row>
    <row r="24" spans="2:15" s="1" customFormat="1" ht="15" customHeight="1" outlineLevel="1">
      <c r="B24" s="151" t="s">
        <v>92</v>
      </c>
      <c r="C24" s="153"/>
      <c r="D24" s="153"/>
      <c r="E24" s="153"/>
      <c r="F24" s="153"/>
      <c r="G24" s="160" cm="1">
        <f t="array" ref="G24">INDEX(G26:G28,$D$7)</f>
        <v>18840000</v>
      </c>
      <c r="H24" s="159" cm="1">
        <f t="array" ref="H24">INDEX(H26:H28,$D$7)</f>
        <v>19544000</v>
      </c>
      <c r="I24" s="159" cm="1">
        <f t="array" ref="I24">INDEX(I26:I28,$D$7)</f>
        <v>19480000</v>
      </c>
      <c r="J24" s="159" cm="1">
        <f t="array" ref="J24">INDEX(J26:J28,$D$7)</f>
        <v>20376000</v>
      </c>
      <c r="K24" s="159" cm="1">
        <f t="array" ref="K24">INDEX(K26:K28,$D$7)</f>
        <v>19608000</v>
      </c>
      <c r="L24" s="159" cm="1">
        <f t="array" ref="L24">INDEX(L26:L28,$D$7)</f>
        <v>19520000</v>
      </c>
      <c r="M24" s="159" cm="1">
        <f t="array" ref="M24">INDEX(M26:M28,$D$7)</f>
        <v>19520000</v>
      </c>
      <c r="N24" s="159" cm="1">
        <f t="array" ref="N24">INDEX(N26:N28,$D$7)</f>
        <v>19520000</v>
      </c>
      <c r="O24" s="159" cm="1">
        <f t="array" ref="O24">INDEX(O26:O28,$D$7)</f>
        <v>19520000</v>
      </c>
    </row>
    <row r="25" spans="2:15" s="1" customFormat="1" ht="15" customHeight="1" outlineLevel="1">
      <c r="B25" s="69"/>
      <c r="C25" s="153"/>
      <c r="D25" s="153"/>
      <c r="E25" s="153"/>
      <c r="F25" s="153"/>
      <c r="G25" s="158"/>
      <c r="H25" s="157"/>
      <c r="I25" s="156"/>
      <c r="J25" s="155"/>
      <c r="K25" s="155"/>
      <c r="L25" s="155"/>
    </row>
    <row r="26" spans="2:15" s="1" customFormat="1" ht="15" customHeight="1" outlineLevel="1">
      <c r="B26" s="154" t="str">
        <f>$B$12</f>
        <v>Best Case</v>
      </c>
      <c r="C26" s="56"/>
      <c r="D26" s="56"/>
      <c r="E26" s="56"/>
      <c r="F26" s="56"/>
      <c r="G26" s="542">
        <f>G27*0.8</f>
        <v>15072000</v>
      </c>
      <c r="H26" s="543">
        <f t="shared" ref="H26:O26" si="8">H27*0.8</f>
        <v>15635200</v>
      </c>
      <c r="I26" s="543">
        <f t="shared" si="8"/>
        <v>15584000</v>
      </c>
      <c r="J26" s="543">
        <f t="shared" si="8"/>
        <v>16300800</v>
      </c>
      <c r="K26" s="543">
        <f t="shared" si="8"/>
        <v>15686400</v>
      </c>
      <c r="L26" s="543">
        <f t="shared" si="8"/>
        <v>15616000</v>
      </c>
      <c r="M26" s="543">
        <f t="shared" si="8"/>
        <v>15616000</v>
      </c>
      <c r="N26" s="543">
        <f t="shared" si="8"/>
        <v>15616000</v>
      </c>
      <c r="O26" s="544">
        <f t="shared" si="8"/>
        <v>15616000</v>
      </c>
    </row>
    <row r="27" spans="2:15" s="1" customFormat="1" ht="15" customHeight="1" outlineLevel="1">
      <c r="B27" s="154" t="str">
        <f>$B$13</f>
        <v>Base Case</v>
      </c>
      <c r="C27" s="56"/>
      <c r="D27" s="56"/>
      <c r="E27" s="56"/>
      <c r="F27" s="56"/>
      <c r="G27" s="545">
        <v>18840000</v>
      </c>
      <c r="H27" s="546">
        <v>19544000</v>
      </c>
      <c r="I27" s="546">
        <v>19480000</v>
      </c>
      <c r="J27" s="546">
        <v>20376000</v>
      </c>
      <c r="K27" s="546">
        <v>19608000</v>
      </c>
      <c r="L27" s="546">
        <v>19520000</v>
      </c>
      <c r="M27" s="546">
        <v>19520000</v>
      </c>
      <c r="N27" s="546">
        <v>19520000</v>
      </c>
      <c r="O27" s="547">
        <v>19520000</v>
      </c>
    </row>
    <row r="28" spans="2:15" s="1" customFormat="1" ht="15" customHeight="1" outlineLevel="1">
      <c r="B28" s="154" t="str">
        <f>$B$14</f>
        <v>Worst Case</v>
      </c>
      <c r="C28" s="56"/>
      <c r="D28" s="56"/>
      <c r="E28" s="56"/>
      <c r="F28" s="56"/>
      <c r="G28" s="548">
        <f>G27*1.1</f>
        <v>20724000</v>
      </c>
      <c r="H28" s="549">
        <f t="shared" ref="H28:O28" si="9">H27*1.1</f>
        <v>21498400</v>
      </c>
      <c r="I28" s="549">
        <f t="shared" si="9"/>
        <v>21428000</v>
      </c>
      <c r="J28" s="549">
        <f t="shared" si="9"/>
        <v>22413600</v>
      </c>
      <c r="K28" s="549">
        <f t="shared" si="9"/>
        <v>21568800</v>
      </c>
      <c r="L28" s="549">
        <f t="shared" si="9"/>
        <v>21472000</v>
      </c>
      <c r="M28" s="549">
        <f t="shared" si="9"/>
        <v>21472000</v>
      </c>
      <c r="N28" s="549">
        <f t="shared" si="9"/>
        <v>21472000</v>
      </c>
      <c r="O28" s="550">
        <f t="shared" si="9"/>
        <v>21472000</v>
      </c>
    </row>
    <row r="29" spans="2:15" s="1" customFormat="1" ht="15" customHeight="1" outlineLevel="1"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</row>
    <row r="30" spans="2:15" s="1" customFormat="1" ht="15" customHeight="1" outlineLevel="1"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</row>
    <row r="31" spans="2:15" s="1" customFormat="1" ht="15" customHeight="1" outlineLevel="1">
      <c r="B31" s="151" t="s">
        <v>91</v>
      </c>
      <c r="C31" s="153"/>
      <c r="D31" s="153"/>
      <c r="E31" s="153"/>
      <c r="F31" s="153"/>
      <c r="G31" s="551">
        <v>5.3100000000000001E-2</v>
      </c>
      <c r="H31" s="552">
        <v>4.3200000000000002E-2</v>
      </c>
      <c r="I31" s="552">
        <v>3.39E-2</v>
      </c>
      <c r="J31" s="552">
        <v>2.9600000000000001E-2</v>
      </c>
      <c r="K31" s="552">
        <v>2.9600000000000001E-2</v>
      </c>
      <c r="L31" s="552">
        <v>2.9600000000000001E-2</v>
      </c>
      <c r="M31" s="552">
        <v>2.9600000000000001E-2</v>
      </c>
      <c r="N31" s="552">
        <v>2.9600000000000001E-2</v>
      </c>
      <c r="O31" s="552">
        <v>2.9600000000000001E-2</v>
      </c>
    </row>
    <row r="32" spans="2:15" s="1" customFormat="1" ht="15" customHeight="1" outlineLevel="1">
      <c r="B32" s="69"/>
      <c r="C32" s="153"/>
      <c r="D32" s="153"/>
      <c r="E32" s="153"/>
      <c r="F32" s="153"/>
      <c r="G32" s="152"/>
      <c r="H32" s="152"/>
      <c r="I32" s="152"/>
      <c r="J32" s="152"/>
      <c r="K32" s="152"/>
      <c r="L32" s="152"/>
    </row>
    <row r="33" spans="1:15" s="1" customFormat="1" ht="15" customHeight="1" outlineLevel="1">
      <c r="B33" s="69"/>
      <c r="C33" s="153"/>
      <c r="D33" s="153"/>
      <c r="E33" s="153"/>
      <c r="F33" s="153"/>
      <c r="G33" s="152"/>
      <c r="H33" s="152"/>
      <c r="I33" s="152"/>
      <c r="J33" s="152"/>
      <c r="K33" s="152"/>
      <c r="L33" s="152"/>
    </row>
    <row r="34" spans="1:15" s="1" customFormat="1" ht="15" customHeight="1" outlineLevel="1">
      <c r="B34" s="151" t="s">
        <v>90</v>
      </c>
      <c r="C34" s="101"/>
      <c r="D34" s="101"/>
      <c r="E34" s="101"/>
      <c r="F34" s="101"/>
      <c r="G34" s="101"/>
      <c r="H34" s="101"/>
      <c r="I34" s="101"/>
      <c r="J34" s="101"/>
      <c r="K34" s="101"/>
      <c r="L34" s="101"/>
    </row>
    <row r="35" spans="1:15" s="1" customFormat="1" ht="15" customHeight="1" outlineLevel="1">
      <c r="B35" s="150" t="s">
        <v>89</v>
      </c>
      <c r="C35" s="101"/>
      <c r="D35" s="101"/>
      <c r="E35" s="125" t="s">
        <v>86</v>
      </c>
      <c r="F35" s="101"/>
      <c r="G35" s="542">
        <v>33.532739442155162</v>
      </c>
      <c r="H35" s="543">
        <v>34</v>
      </c>
      <c r="I35" s="543">
        <v>34</v>
      </c>
      <c r="J35" s="543">
        <v>34</v>
      </c>
      <c r="K35" s="543">
        <v>34</v>
      </c>
      <c r="L35" s="543">
        <v>34</v>
      </c>
      <c r="M35" s="543">
        <v>34</v>
      </c>
      <c r="N35" s="543">
        <v>34</v>
      </c>
      <c r="O35" s="544">
        <v>34</v>
      </c>
    </row>
    <row r="36" spans="1:15" s="1" customFormat="1" ht="15" customHeight="1" outlineLevel="1">
      <c r="B36" s="150" t="s">
        <v>88</v>
      </c>
      <c r="C36" s="101"/>
      <c r="D36" s="101"/>
      <c r="E36" s="125" t="s">
        <v>86</v>
      </c>
      <c r="F36" s="101"/>
      <c r="G36" s="545">
        <v>60</v>
      </c>
      <c r="H36" s="546">
        <v>60</v>
      </c>
      <c r="I36" s="546">
        <v>60</v>
      </c>
      <c r="J36" s="546">
        <v>60</v>
      </c>
      <c r="K36" s="546">
        <v>60</v>
      </c>
      <c r="L36" s="546">
        <v>60</v>
      </c>
      <c r="M36" s="546">
        <v>60</v>
      </c>
      <c r="N36" s="546">
        <v>60</v>
      </c>
      <c r="O36" s="547">
        <v>60</v>
      </c>
    </row>
    <row r="37" spans="1:15" s="1" customFormat="1" ht="15" customHeight="1" outlineLevel="1">
      <c r="B37" s="150" t="s">
        <v>87</v>
      </c>
      <c r="C37" s="101"/>
      <c r="D37" s="101"/>
      <c r="E37" s="125" t="s">
        <v>86</v>
      </c>
      <c r="F37" s="101"/>
      <c r="G37" s="548">
        <v>131.91008734372323</v>
      </c>
      <c r="H37" s="549">
        <v>86.39618663701232</v>
      </c>
      <c r="I37" s="549">
        <v>95.511380829102649</v>
      </c>
      <c r="J37" s="549">
        <v>95.511380829102649</v>
      </c>
      <c r="K37" s="549">
        <v>95.511380829102649</v>
      </c>
      <c r="L37" s="549">
        <v>95.511380829102649</v>
      </c>
      <c r="M37" s="549">
        <v>95.511380829102649</v>
      </c>
      <c r="N37" s="549">
        <v>95.511380829102649</v>
      </c>
      <c r="O37" s="550">
        <v>95.511380829102649</v>
      </c>
    </row>
    <row r="38" spans="1:15" s="1" customFormat="1" ht="15" customHeight="1" outlineLevel="1">
      <c r="C38" s="101"/>
      <c r="D38" s="101"/>
      <c r="E38" s="101"/>
      <c r="F38" s="101"/>
      <c r="G38" s="101"/>
      <c r="H38" s="101"/>
      <c r="I38" s="101"/>
      <c r="J38" s="101"/>
      <c r="K38" s="101"/>
      <c r="L38" s="101"/>
    </row>
    <row r="39" spans="1:15" s="1" customFormat="1" ht="15" customHeight="1" outlineLevel="1">
      <c r="B39" s="149"/>
      <c r="C39" s="101"/>
      <c r="D39" s="101"/>
      <c r="E39" s="101"/>
      <c r="F39" s="101"/>
      <c r="G39" s="101"/>
      <c r="H39" s="101"/>
      <c r="I39" s="101"/>
      <c r="J39" s="101"/>
      <c r="K39" s="101"/>
      <c r="L39" s="101"/>
    </row>
    <row r="40" spans="1:15" s="86" customFormat="1" ht="15" customHeight="1" outlineLevel="1">
      <c r="C40" s="93"/>
      <c r="D40" s="87"/>
      <c r="E40" s="87"/>
      <c r="F40" s="87"/>
      <c r="G40" s="87"/>
      <c r="H40" s="87"/>
      <c r="I40" s="89"/>
      <c r="J40" s="89"/>
      <c r="K40" s="89"/>
      <c r="L40" s="6" t="s">
        <v>85</v>
      </c>
    </row>
    <row r="41" spans="1:15" s="1" customFormat="1" ht="15" customHeight="1" outlineLevel="1">
      <c r="B41" s="56"/>
      <c r="C41" s="56"/>
      <c r="D41" s="56"/>
      <c r="E41" s="56"/>
      <c r="F41" s="56"/>
      <c r="G41" s="56"/>
      <c r="H41" s="132"/>
      <c r="I41" s="132"/>
      <c r="J41" s="132"/>
      <c r="K41" s="132"/>
      <c r="L41" s="132"/>
      <c r="M41" s="132"/>
    </row>
    <row r="42" spans="1:15" s="1" customFormat="1" ht="15" customHeight="1" outlineLevel="1">
      <c r="B42" s="134"/>
      <c r="C42" s="134"/>
      <c r="D42" s="134"/>
      <c r="E42" s="134"/>
      <c r="F42" s="134"/>
      <c r="G42" s="134"/>
      <c r="H42" s="133"/>
      <c r="I42" s="133"/>
      <c r="J42" s="133"/>
      <c r="K42" s="133"/>
      <c r="L42" s="133"/>
      <c r="M42" s="132"/>
    </row>
    <row r="43" spans="1:15" s="1" customFormat="1" ht="15" customHeight="1">
      <c r="B43" s="56"/>
      <c r="C43" s="56"/>
      <c r="D43" s="56"/>
      <c r="E43" s="56"/>
      <c r="F43" s="56"/>
      <c r="G43" s="56"/>
      <c r="H43" s="132"/>
      <c r="I43" s="132"/>
      <c r="J43" s="132"/>
      <c r="K43" s="132"/>
      <c r="L43" s="132"/>
      <c r="M43" s="132"/>
    </row>
    <row r="44" spans="1:15" ht="19.05" customHeight="1">
      <c r="A44" s="86" t="s">
        <v>0</v>
      </c>
      <c r="B44" s="489" t="s">
        <v>56</v>
      </c>
      <c r="C44" s="93"/>
      <c r="D44" s="93"/>
      <c r="E44" s="93"/>
      <c r="F44" s="92"/>
      <c r="G44" s="91"/>
      <c r="H44" s="91"/>
      <c r="I44" s="91"/>
      <c r="J44" s="91"/>
      <c r="K44" s="91"/>
      <c r="L44" s="91"/>
      <c r="M44" s="91"/>
    </row>
    <row r="45" spans="1:15" ht="15" customHeight="1" outlineLevel="1">
      <c r="A45" s="86"/>
      <c r="B45" s="148"/>
      <c r="C45" s="93"/>
      <c r="D45" s="93"/>
      <c r="E45" s="93"/>
      <c r="F45" s="92"/>
      <c r="G45" s="91"/>
      <c r="H45" s="91"/>
      <c r="I45" s="91"/>
      <c r="J45" s="91"/>
      <c r="K45" s="91"/>
      <c r="L45" s="91"/>
      <c r="M45" s="91"/>
    </row>
    <row r="46" spans="1:15" ht="15" customHeight="1" outlineLevel="1">
      <c r="A46" s="86"/>
      <c r="B46" s="77" t="s">
        <v>22</v>
      </c>
      <c r="C46" s="93"/>
      <c r="D46" s="93"/>
      <c r="E46" s="93"/>
      <c r="F46" s="87"/>
      <c r="G46" s="87"/>
      <c r="H46" s="87"/>
      <c r="I46" s="89"/>
      <c r="J46" s="89"/>
      <c r="K46" s="89"/>
      <c r="L46" s="89"/>
      <c r="M46" s="89"/>
    </row>
    <row r="47" spans="1:15" ht="15" customHeight="1" outlineLevel="1">
      <c r="A47" s="86"/>
      <c r="C47" s="93"/>
      <c r="D47" s="93"/>
      <c r="E47" s="93"/>
      <c r="F47" s="87"/>
      <c r="G47" s="128"/>
      <c r="H47" s="128"/>
      <c r="I47" s="127"/>
      <c r="J47" s="127"/>
      <c r="K47" s="127"/>
      <c r="L47" s="127"/>
      <c r="M47" s="127"/>
    </row>
    <row r="48" spans="1:15" ht="15" customHeight="1" outlineLevel="1">
      <c r="A48" s="86"/>
      <c r="B48" s="417"/>
      <c r="C48" s="418"/>
      <c r="D48" s="418"/>
      <c r="E48" s="418"/>
      <c r="F48" s="419"/>
      <c r="G48" s="420"/>
      <c r="H48" s="505" t="s">
        <v>74</v>
      </c>
      <c r="I48" s="506" t="s">
        <v>84</v>
      </c>
      <c r="J48" s="506" t="s">
        <v>84</v>
      </c>
      <c r="K48" s="505" t="s">
        <v>83</v>
      </c>
      <c r="L48" s="507" t="s">
        <v>82</v>
      </c>
    </row>
    <row r="49" spans="1:13" ht="21.75" customHeight="1" outlineLevel="1" thickBot="1">
      <c r="A49" s="86"/>
      <c r="B49" s="513" t="s">
        <v>81</v>
      </c>
      <c r="C49" s="513"/>
      <c r="D49" s="514" t="s">
        <v>80</v>
      </c>
      <c r="E49" s="513"/>
      <c r="F49" s="515" t="s">
        <v>79</v>
      </c>
      <c r="G49" s="515" t="s">
        <v>18</v>
      </c>
      <c r="H49" s="516" t="s">
        <v>78</v>
      </c>
      <c r="I49" s="517" t="s">
        <v>18</v>
      </c>
      <c r="J49" s="517" t="s">
        <v>77</v>
      </c>
      <c r="K49" s="516" t="s">
        <v>76</v>
      </c>
      <c r="L49" s="516" t="s">
        <v>75</v>
      </c>
    </row>
    <row r="50" spans="1:13" ht="15" customHeight="1" outlineLevel="1">
      <c r="A50" s="86"/>
      <c r="B50" s="69"/>
      <c r="C50" s="69"/>
      <c r="D50" s="69"/>
      <c r="E50" s="69"/>
      <c r="F50" s="147" t="s">
        <v>70</v>
      </c>
      <c r="G50" s="147" t="s">
        <v>302</v>
      </c>
      <c r="H50" s="509"/>
      <c r="I50" s="510"/>
      <c r="J50" s="510"/>
      <c r="K50" s="511"/>
      <c r="L50" s="147"/>
    </row>
    <row r="51" spans="1:13" ht="15" customHeight="1" outlineLevel="1">
      <c r="A51" s="86"/>
      <c r="B51" s="421" t="s">
        <v>231</v>
      </c>
      <c r="C51" s="114"/>
      <c r="D51" s="528" t="s">
        <v>304</v>
      </c>
      <c r="E51" s="528"/>
      <c r="F51" s="529">
        <v>7.3800000000000004E-2</v>
      </c>
      <c r="G51" s="529">
        <v>0.10559081894751669</v>
      </c>
      <c r="H51" s="529">
        <v>0.20852008233382777</v>
      </c>
      <c r="I51" s="146">
        <v>0.13320997155196032</v>
      </c>
      <c r="J51" s="146">
        <v>0.11755100545887875</v>
      </c>
      <c r="K51" s="530">
        <v>0.97960023383128569</v>
      </c>
      <c r="L51" s="422">
        <f>K51/(1+(1-H51)*I51)</f>
        <v>0.88616878497942231</v>
      </c>
    </row>
    <row r="52" spans="1:13" ht="15" customHeight="1" outlineLevel="1">
      <c r="A52" s="86"/>
      <c r="B52" s="421" t="s">
        <v>232</v>
      </c>
      <c r="C52" s="114"/>
      <c r="D52" s="528" t="s">
        <v>304</v>
      </c>
      <c r="E52" s="528"/>
      <c r="F52" s="529">
        <v>7.3800000000000004E-2</v>
      </c>
      <c r="G52" s="529">
        <v>0.10323197804260453</v>
      </c>
      <c r="H52" s="529">
        <v>0.17395945137224214</v>
      </c>
      <c r="I52" s="146">
        <v>0.27987953668701093</v>
      </c>
      <c r="J52" s="146">
        <v>0.21867646810846253</v>
      </c>
      <c r="K52" s="530">
        <v>1.0441717264243051</v>
      </c>
      <c r="L52" s="422">
        <f>K52/(1+(1-H52)*I52)</f>
        <v>0.84809831204400532</v>
      </c>
    </row>
    <row r="53" spans="1:13" ht="15" customHeight="1" outlineLevel="1">
      <c r="A53" s="86"/>
      <c r="B53" s="421" t="s">
        <v>233</v>
      </c>
      <c r="C53" s="114"/>
      <c r="D53" s="528" t="s">
        <v>304</v>
      </c>
      <c r="E53" s="528"/>
      <c r="F53" s="529">
        <v>6.93E-2</v>
      </c>
      <c r="G53" s="529">
        <v>7.5875359509034818E-2</v>
      </c>
      <c r="H53" s="529">
        <v>0.12889609919478173</v>
      </c>
      <c r="I53" s="146">
        <v>0.56946738518872275</v>
      </c>
      <c r="J53" s="146">
        <v>0.36284117182864961</v>
      </c>
      <c r="K53" s="530">
        <v>0.64524476923497431</v>
      </c>
      <c r="L53" s="422">
        <f>K53/(1+(1-H53)*I53)</f>
        <v>0.43129453388142819</v>
      </c>
    </row>
    <row r="54" spans="1:13" ht="15" customHeight="1" outlineLevel="1">
      <c r="A54" s="86"/>
      <c r="B54" s="421" t="s">
        <v>234</v>
      </c>
      <c r="C54" s="114"/>
      <c r="D54" s="528" t="s">
        <v>304</v>
      </c>
      <c r="E54" s="528"/>
      <c r="F54" s="529">
        <v>7.3800000000000004E-2</v>
      </c>
      <c r="G54" s="529">
        <v>8.8695919921316452E-2</v>
      </c>
      <c r="H54" s="529">
        <v>0.14623911339836326</v>
      </c>
      <c r="I54" s="146">
        <v>0.48347252053193018</v>
      </c>
      <c r="J54" s="146">
        <v>0.32590594961514419</v>
      </c>
      <c r="K54" s="530">
        <v>0.87086793439734922</v>
      </c>
      <c r="L54" s="422">
        <f>K54/(1+(1-H54)*I54)</f>
        <v>0.61642587181038377</v>
      </c>
    </row>
    <row r="55" spans="1:13" ht="15" customHeight="1" outlineLevel="1">
      <c r="A55" s="86"/>
      <c r="B55" s="421"/>
      <c r="C55" s="421"/>
      <c r="D55" s="518"/>
      <c r="E55" s="518"/>
      <c r="F55" s="487"/>
      <c r="G55" s="487"/>
      <c r="H55" s="519"/>
      <c r="I55" s="146"/>
      <c r="J55" s="146"/>
      <c r="K55" s="520"/>
      <c r="L55" s="422"/>
    </row>
    <row r="56" spans="1:13" ht="15" customHeight="1" outlineLevel="1">
      <c r="A56" s="86"/>
      <c r="B56" s="521"/>
      <c r="C56" s="522"/>
      <c r="D56" s="523"/>
      <c r="E56" s="523"/>
      <c r="F56" s="524"/>
      <c r="G56" s="524"/>
      <c r="H56" s="525"/>
      <c r="I56" s="526"/>
      <c r="J56" s="526"/>
      <c r="K56" s="527"/>
      <c r="L56" s="504"/>
    </row>
    <row r="57" spans="1:13" ht="15" customHeight="1" outlineLevel="1">
      <c r="A57" s="86"/>
      <c r="B57" s="77"/>
      <c r="C57" s="93"/>
      <c r="D57" s="93"/>
      <c r="E57" s="501" t="s">
        <v>74</v>
      </c>
      <c r="F57" s="502">
        <f t="shared" ref="F57:G57" si="10">AVERAGE(F51:F55)</f>
        <v>7.2675000000000003E-2</v>
      </c>
      <c r="G57" s="502">
        <f t="shared" si="10"/>
        <v>9.3348519105118127E-2</v>
      </c>
      <c r="H57" s="502">
        <f>AVERAGE(H51:H55)</f>
        <v>0.16440368657480373</v>
      </c>
      <c r="I57" s="503">
        <f>AVERAGE(I51:I55)</f>
        <v>0.36650735348990604</v>
      </c>
      <c r="J57" s="503">
        <f>AVERAGE(J51:J55)</f>
        <v>0.25624364875278377</v>
      </c>
      <c r="K57" s="504">
        <f>AVERAGE(K51:K55)</f>
        <v>0.88497116597197856</v>
      </c>
      <c r="L57" s="504">
        <f>AVERAGE(L51:L55)</f>
        <v>0.69549687567880991</v>
      </c>
    </row>
    <row r="58" spans="1:13" ht="15" customHeight="1" outlineLevel="1">
      <c r="A58" s="86"/>
      <c r="B58" s="77"/>
      <c r="C58" s="93"/>
      <c r="D58" s="93"/>
      <c r="E58" s="497" t="s">
        <v>73</v>
      </c>
      <c r="F58" s="498">
        <f t="shared" ref="F58:G58" si="11">MEDIAN(F51:F55)</f>
        <v>7.3800000000000004E-2</v>
      </c>
      <c r="G58" s="498">
        <f t="shared" si="11"/>
        <v>9.5963948981960492E-2</v>
      </c>
      <c r="H58" s="498">
        <f>MEDIAN(H51:H55)</f>
        <v>0.16009928238530269</v>
      </c>
      <c r="I58" s="499">
        <f>MEDIAN(I51:I55)</f>
        <v>0.38167602860947059</v>
      </c>
      <c r="J58" s="499">
        <f>MEDIAN(J51:J55)</f>
        <v>0.27229120886180336</v>
      </c>
      <c r="K58" s="500">
        <f>MEDIAN(K51:K55)</f>
        <v>0.9252340841143174</v>
      </c>
      <c r="L58" s="500">
        <f>MEDIAN(L51:L55)</f>
        <v>0.73226209192719449</v>
      </c>
    </row>
    <row r="59" spans="1:13" ht="15" customHeight="1" outlineLevel="1">
      <c r="A59" s="86"/>
      <c r="B59" s="77"/>
      <c r="C59" s="93"/>
      <c r="D59" s="93"/>
      <c r="E59" s="93"/>
      <c r="F59" s="87"/>
      <c r="G59" s="87"/>
      <c r="H59" s="423"/>
      <c r="I59" s="54"/>
      <c r="J59" s="54"/>
      <c r="K59" s="424"/>
      <c r="L59" s="424"/>
    </row>
    <row r="60" spans="1:13" ht="15" customHeight="1" outlineLevel="1">
      <c r="A60" s="86"/>
      <c r="B60" s="59"/>
      <c r="C60" s="93"/>
      <c r="D60" s="93"/>
      <c r="E60" s="93"/>
      <c r="F60" s="425"/>
      <c r="G60" s="144"/>
      <c r="H60" s="144"/>
      <c r="I60" s="143"/>
      <c r="J60" s="143"/>
      <c r="K60" s="143"/>
      <c r="L60" s="143"/>
      <c r="M60" s="143"/>
    </row>
    <row r="61" spans="1:13" ht="15" customHeight="1" outlineLevel="1">
      <c r="A61" s="86"/>
      <c r="B61" s="493" t="s">
        <v>262</v>
      </c>
      <c r="C61" s="492"/>
      <c r="D61" s="492"/>
      <c r="E61" s="492"/>
      <c r="F61" s="495"/>
      <c r="H61" s="493" t="s">
        <v>263</v>
      </c>
      <c r="I61" s="494"/>
      <c r="J61" s="492"/>
      <c r="K61" s="494"/>
      <c r="L61" s="495"/>
    </row>
    <row r="62" spans="1:13" s="57" customFormat="1" ht="15" customHeight="1" outlineLevel="1">
      <c r="B62" s="55"/>
      <c r="C62" s="55"/>
      <c r="D62" s="55"/>
      <c r="E62" s="55"/>
      <c r="F62" s="55"/>
      <c r="H62" s="55"/>
      <c r="I62" s="55"/>
      <c r="J62" s="55"/>
      <c r="K62" s="55"/>
      <c r="L62" s="55"/>
    </row>
    <row r="63" spans="1:13" s="57" customFormat="1" ht="15" customHeight="1" outlineLevel="1">
      <c r="B63" s="135" t="s">
        <v>297</v>
      </c>
      <c r="C63" s="2"/>
      <c r="D63" s="55"/>
      <c r="E63" s="55"/>
      <c r="F63" s="531" cm="1">
        <f t="array" ref="F63:G63">'CAPM Beta '!$AD$12:$AE$12</f>
        <v>0.15072760635516216</v>
      </c>
      <c r="G63" s="57">
        <v>0</v>
      </c>
      <c r="H63" s="135" t="s">
        <v>297</v>
      </c>
      <c r="I63" s="2"/>
      <c r="J63" s="2"/>
      <c r="K63" s="2"/>
      <c r="L63" s="531" cm="1">
        <f t="array" ref="L63:M63">'CAPM Beta '!$AD$12:$AE$12</f>
        <v>0.15072760635516216</v>
      </c>
      <c r="M63" s="57">
        <v>0</v>
      </c>
    </row>
    <row r="64" spans="1:13" ht="15" customHeight="1" outlineLevel="1">
      <c r="A64" s="86"/>
      <c r="B64" s="135" t="s">
        <v>296</v>
      </c>
      <c r="F64" s="531">
        <v>4.0399999999999998E-2</v>
      </c>
      <c r="H64" s="135" t="s">
        <v>296</v>
      </c>
      <c r="J64" s="57"/>
      <c r="L64" s="531">
        <v>4.0399999999999998E-2</v>
      </c>
    </row>
    <row r="65" spans="1:12" ht="15" customHeight="1" outlineLevel="1">
      <c r="A65" s="86"/>
      <c r="B65" s="426" t="s">
        <v>267</v>
      </c>
      <c r="F65" s="427">
        <f>'CAPM Beta '!$AD$13</f>
        <v>0.13000160080674361</v>
      </c>
      <c r="H65" s="426" t="s">
        <v>267</v>
      </c>
      <c r="L65" s="532">
        <f>'CAPM Beta '!$AE$13</f>
        <v>0</v>
      </c>
    </row>
    <row r="66" spans="1:12" ht="15" customHeight="1" outlineLevel="1">
      <c r="A66" s="86"/>
      <c r="B66" s="135" t="s">
        <v>72</v>
      </c>
      <c r="F66" s="423">
        <f>F64+F65*(F63-F64)</f>
        <v>5.4742765439347342E-2</v>
      </c>
      <c r="H66" s="135" t="s">
        <v>72</v>
      </c>
      <c r="J66" s="57"/>
      <c r="L66" s="423">
        <f>L64+L65*(L63-L64)</f>
        <v>4.0399999999999998E-2</v>
      </c>
    </row>
    <row r="67" spans="1:12" ht="15" customHeight="1" outlineLevel="1">
      <c r="A67" s="86"/>
    </row>
    <row r="68" spans="1:12" s="57" customFormat="1" ht="15" customHeight="1" outlineLevel="1"/>
    <row r="69" spans="1:12" s="57" customFormat="1" ht="15" customHeight="1" outlineLevel="1">
      <c r="I69" s="141"/>
      <c r="K69" s="141"/>
      <c r="L69" s="141"/>
    </row>
    <row r="70" spans="1:12" ht="15" customHeight="1" outlineLevel="1">
      <c r="A70" s="86"/>
      <c r="B70" s="493" t="s">
        <v>71</v>
      </c>
      <c r="C70" s="492"/>
      <c r="D70" s="492"/>
      <c r="E70" s="496"/>
      <c r="F70" s="496"/>
      <c r="H70" s="493" t="s">
        <v>70</v>
      </c>
      <c r="I70" s="492"/>
      <c r="J70" s="492"/>
      <c r="K70" s="492"/>
      <c r="L70" s="495"/>
    </row>
    <row r="71" spans="1:12" ht="15" customHeight="1" outlineLevel="1">
      <c r="A71" s="86"/>
      <c r="C71" s="55"/>
      <c r="D71" s="55"/>
      <c r="E71" s="55"/>
      <c r="F71" s="55"/>
      <c r="H71" s="55"/>
      <c r="I71" s="55"/>
      <c r="J71" s="55"/>
      <c r="K71" s="55"/>
      <c r="L71" s="55"/>
    </row>
    <row r="72" spans="1:12" ht="15" customHeight="1" outlineLevel="1" thickBot="1">
      <c r="A72" s="86"/>
      <c r="B72" s="77"/>
      <c r="E72" s="512" t="s">
        <v>69</v>
      </c>
      <c r="F72" s="512" t="s">
        <v>68</v>
      </c>
      <c r="H72" s="135" t="s">
        <v>67</v>
      </c>
      <c r="I72" s="57"/>
      <c r="K72" s="57"/>
      <c r="L72" s="531">
        <f>F57</f>
        <v>7.2675000000000003E-2</v>
      </c>
    </row>
    <row r="73" spans="1:12" ht="15" customHeight="1" outlineLevel="1">
      <c r="A73" s="86"/>
      <c r="B73" s="135" t="s">
        <v>66</v>
      </c>
      <c r="C73" s="57"/>
      <c r="D73" s="533">
        <v>52240</v>
      </c>
      <c r="E73" s="423">
        <f>D73/$D$75</f>
        <v>0.40895294581267727</v>
      </c>
      <c r="F73" s="531">
        <v>0.15</v>
      </c>
      <c r="H73" s="135" t="s">
        <v>65</v>
      </c>
      <c r="L73" s="532">
        <v>0.34</v>
      </c>
    </row>
    <row r="74" spans="1:12" ht="15" customHeight="1" outlineLevel="1">
      <c r="A74" s="86"/>
      <c r="B74" s="135" t="s">
        <v>295</v>
      </c>
      <c r="D74" s="533">
        <v>75500.857560490011</v>
      </c>
      <c r="E74" s="423">
        <f>D74/$D$75</f>
        <v>0.59104705418732273</v>
      </c>
      <c r="F74" s="423">
        <f>1-F73</f>
        <v>0.85</v>
      </c>
      <c r="H74" s="135" t="s">
        <v>64</v>
      </c>
      <c r="L74" s="423">
        <f>L72*(1-L73)</f>
        <v>4.7965499999999994E-2</v>
      </c>
    </row>
    <row r="75" spans="1:12" ht="15" customHeight="1" outlineLevel="1">
      <c r="A75" s="86"/>
      <c r="B75" s="135" t="s">
        <v>63</v>
      </c>
      <c r="D75" s="428">
        <f>SUM(D73:D74)</f>
        <v>127740.85756049001</v>
      </c>
      <c r="E75" s="423">
        <f>SUM(E73:E74)</f>
        <v>1</v>
      </c>
      <c r="F75" s="423">
        <f>SUM(F73:F74)</f>
        <v>1</v>
      </c>
    </row>
    <row r="76" spans="1:12" ht="15" customHeight="1" outlineLevel="1">
      <c r="A76" s="86"/>
      <c r="F76" s="87"/>
    </row>
    <row r="77" spans="1:12" ht="15" customHeight="1" outlineLevel="1">
      <c r="A77" s="86"/>
      <c r="B77" s="429" t="s">
        <v>62</v>
      </c>
      <c r="C77" s="430"/>
      <c r="D77" s="430"/>
      <c r="E77" s="139">
        <f>E73/E74</f>
        <v>0.69191267076862262</v>
      </c>
      <c r="F77" s="139">
        <f>F73/F74</f>
        <v>0.17647058823529413</v>
      </c>
      <c r="H77" s="493" t="s">
        <v>56</v>
      </c>
      <c r="I77" s="494"/>
      <c r="J77" s="492"/>
      <c r="K77" s="495"/>
      <c r="L77" s="492"/>
    </row>
    <row r="78" spans="1:12" s="57" customFormat="1" ht="15" customHeight="1" outlineLevel="1">
      <c r="B78" s="69"/>
      <c r="C78" s="2"/>
      <c r="D78" s="2"/>
      <c r="E78" s="2"/>
      <c r="F78" s="2"/>
      <c r="G78" s="93"/>
      <c r="H78" s="55"/>
      <c r="I78" s="55"/>
      <c r="J78" s="55"/>
      <c r="K78" s="55"/>
      <c r="L78" s="55"/>
    </row>
    <row r="79" spans="1:12" s="57" customFormat="1" ht="15" customHeight="1" outlineLevel="1" thickBot="1">
      <c r="B79" s="59"/>
      <c r="C79" s="2"/>
      <c r="D79" s="2"/>
      <c r="E79" s="2"/>
      <c r="F79" s="2"/>
      <c r="G79" s="93"/>
      <c r="K79" s="512" t="s">
        <v>61</v>
      </c>
      <c r="L79" s="512" t="s">
        <v>60</v>
      </c>
    </row>
    <row r="80" spans="1:12" ht="15" customHeight="1" outlineLevel="1">
      <c r="A80" s="86"/>
      <c r="B80" s="431" t="s">
        <v>59</v>
      </c>
      <c r="C80" s="57"/>
      <c r="D80" s="432"/>
      <c r="E80" s="432"/>
      <c r="F80" s="432"/>
      <c r="H80" s="135" t="s">
        <v>58</v>
      </c>
      <c r="J80" s="57"/>
      <c r="K80" s="423">
        <f>E73</f>
        <v>0.40895294581267727</v>
      </c>
      <c r="L80" s="423">
        <f>L74</f>
        <v>4.7965499999999994E-2</v>
      </c>
    </row>
    <row r="81" spans="1:13" ht="15" customHeight="1" outlineLevel="1">
      <c r="A81" s="86"/>
      <c r="B81" s="433"/>
      <c r="C81" s="57"/>
      <c r="D81" s="432"/>
      <c r="E81" s="432"/>
      <c r="F81" s="432"/>
      <c r="H81" s="135" t="s">
        <v>57</v>
      </c>
      <c r="K81" s="423">
        <f>E74</f>
        <v>0.59104705418732273</v>
      </c>
      <c r="L81" s="423">
        <f>L66</f>
        <v>4.0399999999999998E-2</v>
      </c>
    </row>
    <row r="82" spans="1:13" ht="15" customHeight="1" outlineLevel="1">
      <c r="A82" s="86"/>
      <c r="B82" s="434"/>
    </row>
    <row r="83" spans="1:13" ht="15" customHeight="1" outlineLevel="1">
      <c r="B83" s="435"/>
      <c r="H83" s="57"/>
      <c r="I83" s="57"/>
      <c r="J83" s="57"/>
      <c r="K83" s="57"/>
      <c r="L83" s="57"/>
    </row>
    <row r="84" spans="1:13" s="57" customFormat="1" ht="15" customHeight="1" outlineLevel="1">
      <c r="B84" s="136"/>
      <c r="H84" s="135" t="s">
        <v>56</v>
      </c>
      <c r="I84" s="2"/>
      <c r="J84" s="2"/>
      <c r="L84" s="508">
        <f>SUMPRODUCT(K80:K81,L80:L81)</f>
        <v>4.3493933511545804E-2</v>
      </c>
    </row>
    <row r="85" spans="1:13" ht="15" customHeight="1" outlineLevel="1"/>
    <row r="86" spans="1:13" s="1" customFormat="1" ht="15" customHeight="1" outlineLevel="1">
      <c r="B86" s="134"/>
      <c r="C86" s="134"/>
      <c r="D86" s="134"/>
      <c r="E86" s="134"/>
      <c r="F86" s="134"/>
      <c r="G86" s="134"/>
      <c r="H86" s="133"/>
      <c r="I86" s="133"/>
      <c r="J86" s="133"/>
      <c r="K86" s="133"/>
      <c r="L86" s="133"/>
      <c r="M86" s="132"/>
    </row>
    <row r="88" spans="1:13" ht="15" customHeight="1">
      <c r="A88" s="99" t="s">
        <v>0</v>
      </c>
      <c r="B88" s="476" t="s">
        <v>44</v>
      </c>
      <c r="C88" s="476"/>
      <c r="D88" s="476"/>
      <c r="E88" s="476"/>
      <c r="F88" s="476"/>
      <c r="G88" s="476"/>
      <c r="H88" s="476"/>
      <c r="I88" s="476"/>
      <c r="J88" s="476"/>
      <c r="K88" s="476"/>
      <c r="L88" s="476"/>
      <c r="M88" s="91"/>
    </row>
    <row r="89" spans="1:13" ht="15" customHeight="1" outlineLevel="1">
      <c r="A89" s="99"/>
      <c r="B89" s="77"/>
      <c r="C89" s="131"/>
      <c r="D89" s="131"/>
      <c r="E89" s="131"/>
      <c r="F89" s="131"/>
      <c r="G89" s="104"/>
      <c r="H89" s="130"/>
      <c r="I89" s="130"/>
      <c r="J89" s="130"/>
      <c r="K89" s="130"/>
      <c r="L89" s="130"/>
      <c r="M89" s="129"/>
    </row>
    <row r="90" spans="1:13" ht="15" customHeight="1" outlineLevel="1">
      <c r="A90" s="86"/>
      <c r="B90" s="77" t="s">
        <v>22</v>
      </c>
      <c r="C90" s="93"/>
      <c r="D90" s="93"/>
      <c r="E90" s="93"/>
      <c r="F90" s="87"/>
      <c r="G90" s="87"/>
      <c r="H90" s="87"/>
      <c r="I90" s="89"/>
      <c r="J90" s="89"/>
      <c r="K90" s="89"/>
      <c r="L90" s="89"/>
      <c r="M90" s="89"/>
    </row>
    <row r="91" spans="1:13" ht="15" customHeight="1" outlineLevel="1">
      <c r="A91" s="86"/>
      <c r="C91" s="93"/>
      <c r="D91" s="93"/>
      <c r="E91" s="93"/>
      <c r="F91" s="87"/>
      <c r="G91" s="128"/>
      <c r="H91" s="128"/>
      <c r="I91" s="127"/>
      <c r="J91" s="127"/>
      <c r="K91" s="127"/>
      <c r="L91" s="127"/>
      <c r="M91" s="127"/>
    </row>
    <row r="92" spans="1:13" ht="15" customHeight="1" outlineLevel="1">
      <c r="A92" s="86"/>
      <c r="C92" s="93"/>
      <c r="D92" s="93"/>
      <c r="E92" s="93"/>
      <c r="F92" s="87"/>
      <c r="G92" s="128"/>
      <c r="H92" s="128"/>
      <c r="I92" s="127"/>
      <c r="J92" s="127"/>
      <c r="K92" s="127"/>
      <c r="L92" s="127"/>
      <c r="M92" s="127"/>
    </row>
    <row r="93" spans="1:13" ht="15" customHeight="1" outlineLevel="1">
      <c r="A93" s="99"/>
      <c r="B93" s="490" t="s">
        <v>55</v>
      </c>
      <c r="C93" s="491"/>
      <c r="D93" s="491"/>
      <c r="E93" s="491"/>
      <c r="F93" s="491"/>
      <c r="G93" s="119"/>
      <c r="H93" s="490" t="str">
        <f>CONCATENATE("End of ",G5-1," Balances")</f>
        <v>End of 2024 Balances</v>
      </c>
      <c r="I93" s="492"/>
      <c r="J93" s="492"/>
      <c r="K93" s="492"/>
      <c r="L93" s="492"/>
    </row>
    <row r="94" spans="1:13" ht="15" customHeight="1" outlineLevel="1">
      <c r="A94" s="99"/>
      <c r="B94" s="112" t="s">
        <v>54</v>
      </c>
      <c r="C94" s="56"/>
      <c r="D94" s="114"/>
      <c r="E94" s="125" t="s">
        <v>50</v>
      </c>
      <c r="F94" s="535">
        <v>45931</v>
      </c>
      <c r="G94" s="119"/>
      <c r="H94" s="56" t="s">
        <v>15</v>
      </c>
      <c r="I94" s="56"/>
      <c r="J94" s="119"/>
      <c r="L94" s="534">
        <v>5240000</v>
      </c>
    </row>
    <row r="95" spans="1:13" ht="15" customHeight="1" outlineLevel="1">
      <c r="A95" s="99"/>
      <c r="B95" s="112" t="s">
        <v>53</v>
      </c>
      <c r="C95" s="56"/>
      <c r="D95" s="114"/>
      <c r="E95" s="125" t="s">
        <v>50</v>
      </c>
      <c r="F95" s="535">
        <v>45962</v>
      </c>
      <c r="G95" s="119"/>
      <c r="H95" s="119" t="s">
        <v>52</v>
      </c>
      <c r="I95" s="126"/>
      <c r="J95" s="119"/>
      <c r="L95" s="534">
        <v>136285000</v>
      </c>
    </row>
    <row r="96" spans="1:13" ht="15" customHeight="1" outlineLevel="1">
      <c r="A96" s="99"/>
      <c r="B96" s="56" t="s">
        <v>51</v>
      </c>
      <c r="C96" s="114"/>
      <c r="D96" s="114"/>
      <c r="E96" s="125" t="s">
        <v>50</v>
      </c>
      <c r="F96" s="535">
        <v>46022</v>
      </c>
      <c r="G96" s="119"/>
      <c r="H96" s="119" t="s">
        <v>49</v>
      </c>
      <c r="I96" s="126"/>
      <c r="J96" s="126"/>
      <c r="L96" s="534">
        <v>97716941.176470593</v>
      </c>
    </row>
    <row r="97" spans="1:13" ht="15" customHeight="1" outlineLevel="1">
      <c r="A97" s="99"/>
      <c r="B97" s="56" t="s">
        <v>48</v>
      </c>
      <c r="C97" s="56"/>
      <c r="D97" s="114"/>
      <c r="E97" s="125" t="s">
        <v>47</v>
      </c>
      <c r="F97" s="124">
        <f>YEAR(F96)</f>
        <v>2025</v>
      </c>
      <c r="G97" s="119"/>
      <c r="H97" s="119" t="s">
        <v>46</v>
      </c>
      <c r="I97" s="119"/>
      <c r="J97" s="119"/>
      <c r="L97" s="123">
        <v>0</v>
      </c>
    </row>
    <row r="98" spans="1:13" ht="15" customHeight="1" outlineLevel="1">
      <c r="A98" s="99"/>
      <c r="B98" s="112" t="s">
        <v>3</v>
      </c>
      <c r="C98" s="114"/>
      <c r="D98" s="114"/>
      <c r="E98" s="114"/>
      <c r="F98" s="122">
        <f>IF(F94&gt;F95,1,0)</f>
        <v>0</v>
      </c>
      <c r="G98" s="115"/>
    </row>
    <row r="99" spans="1:13" ht="15" customHeight="1" outlineLevel="1">
      <c r="A99" s="99"/>
      <c r="B99" s="112" t="s">
        <v>2</v>
      </c>
      <c r="C99" s="56"/>
      <c r="D99" s="56"/>
      <c r="E99" s="114"/>
      <c r="F99" s="122">
        <f>IF(F95&gt;F96,1,0)</f>
        <v>0</v>
      </c>
    </row>
    <row r="100" spans="1:13" ht="15" customHeight="1" outlineLevel="1">
      <c r="A100" s="99"/>
      <c r="B100" s="56" t="s">
        <v>45</v>
      </c>
      <c r="C100" s="121"/>
      <c r="D100" s="121"/>
      <c r="E100" s="114"/>
      <c r="F100" s="533">
        <v>365</v>
      </c>
    </row>
    <row r="101" spans="1:13" ht="15" customHeight="1" outlineLevel="1">
      <c r="A101" s="99"/>
      <c r="B101" s="56"/>
      <c r="C101" s="121"/>
      <c r="D101" s="121"/>
      <c r="E101" s="114"/>
      <c r="F101" s="120"/>
    </row>
    <row r="102" spans="1:13" ht="15" customHeight="1" outlineLevel="1">
      <c r="A102" s="99"/>
    </row>
    <row r="103" spans="1:13" ht="15" customHeight="1" outlineLevel="1">
      <c r="A103" s="99"/>
      <c r="H103" s="490" t="s">
        <v>44</v>
      </c>
      <c r="I103" s="492"/>
      <c r="J103" s="492"/>
      <c r="K103" s="492"/>
      <c r="L103" s="492"/>
    </row>
    <row r="104" spans="1:13" ht="15" customHeight="1" outlineLevel="1">
      <c r="A104" s="99"/>
      <c r="B104" s="490" t="s">
        <v>43</v>
      </c>
      <c r="C104" s="491"/>
      <c r="D104" s="491"/>
      <c r="E104" s="491"/>
      <c r="F104" s="491"/>
      <c r="G104" s="115"/>
      <c r="H104" s="56" t="s">
        <v>42</v>
      </c>
      <c r="I104" s="56"/>
      <c r="J104" s="56"/>
      <c r="K104" s="103" t="s">
        <v>41</v>
      </c>
      <c r="L104" s="116">
        <v>0</v>
      </c>
    </row>
    <row r="105" spans="1:13" ht="15" customHeight="1" outlineLevel="1">
      <c r="A105" s="99"/>
      <c r="B105" s="56" t="s">
        <v>14</v>
      </c>
      <c r="C105" s="56"/>
      <c r="D105" s="56"/>
      <c r="E105" s="125" t="s">
        <v>13</v>
      </c>
      <c r="F105" s="534">
        <v>12888732.761</v>
      </c>
      <c r="G105" s="115"/>
      <c r="H105" s="56" t="s">
        <v>40</v>
      </c>
      <c r="I105" s="118"/>
      <c r="J105" s="56"/>
      <c r="K105" s="117"/>
      <c r="L105" s="534">
        <v>2520000</v>
      </c>
    </row>
    <row r="106" spans="1:13" s="1" customFormat="1" ht="15" customHeight="1" outlineLevel="1">
      <c r="B106" s="64" t="s">
        <v>12</v>
      </c>
      <c r="C106" s="64"/>
      <c r="D106" s="64"/>
      <c r="E106" s="107" t="s">
        <v>11</v>
      </c>
      <c r="F106" s="539">
        <v>11.6</v>
      </c>
      <c r="G106" s="115"/>
      <c r="H106" s="56" t="s">
        <v>39</v>
      </c>
      <c r="I106" s="56"/>
      <c r="J106" s="56"/>
      <c r="K106" s="56"/>
      <c r="L106" s="536">
        <v>0.5</v>
      </c>
      <c r="M106" s="2"/>
    </row>
    <row r="107" spans="1:13" s="1" customFormat="1" ht="15" customHeight="1" outlineLevel="1">
      <c r="B107" s="56" t="s">
        <v>25</v>
      </c>
      <c r="C107" s="56"/>
      <c r="D107" s="56"/>
      <c r="E107" s="114"/>
      <c r="F107" s="540">
        <v>0.01</v>
      </c>
      <c r="G107" s="115"/>
      <c r="H107" s="64" t="s">
        <v>38</v>
      </c>
      <c r="I107" s="111"/>
      <c r="J107" s="110"/>
      <c r="K107" s="109"/>
      <c r="L107" s="537">
        <v>0.15</v>
      </c>
      <c r="M107" s="101"/>
    </row>
    <row r="108" spans="1:13" s="1" customFormat="1" ht="15" customHeight="1" outlineLevel="1">
      <c r="B108" s="56" t="s">
        <v>37</v>
      </c>
      <c r="C108" s="56"/>
      <c r="D108" s="56"/>
      <c r="E108" s="103"/>
      <c r="F108" s="541">
        <f>'Assumption Origin'!H33</f>
        <v>6.9249443662970993</v>
      </c>
      <c r="G108" s="104"/>
      <c r="H108" s="56" t="s">
        <v>36</v>
      </c>
      <c r="I108" s="56"/>
      <c r="J108" s="56"/>
      <c r="K108" s="56"/>
      <c r="L108" s="536">
        <v>0.5</v>
      </c>
      <c r="M108" s="101"/>
    </row>
    <row r="109" spans="1:13" s="1" customFormat="1" ht="15" customHeight="1" outlineLevel="1">
      <c r="B109" s="56" t="s">
        <v>35</v>
      </c>
      <c r="C109" s="56"/>
      <c r="D109" s="56"/>
      <c r="E109" s="114"/>
      <c r="F109" s="113">
        <f>L84</f>
        <v>4.3493933511545804E-2</v>
      </c>
      <c r="G109" s="104"/>
      <c r="H109" s="56" t="s">
        <v>34</v>
      </c>
      <c r="I109" s="56"/>
      <c r="J109" s="56"/>
      <c r="K109" s="103" t="s">
        <v>31</v>
      </c>
      <c r="L109" s="538">
        <v>16</v>
      </c>
      <c r="M109" s="101"/>
    </row>
    <row r="110" spans="1:13" s="1" customFormat="1" ht="15" customHeight="1" outlineLevel="1">
      <c r="B110" s="112" t="s">
        <v>33</v>
      </c>
      <c r="C110" s="111"/>
      <c r="D110" s="110"/>
      <c r="E110" s="109"/>
      <c r="F110" s="108">
        <f>IF(F107&gt;=F109,1,0)</f>
        <v>0</v>
      </c>
      <c r="G110" s="104"/>
      <c r="H110" s="56" t="s">
        <v>32</v>
      </c>
      <c r="I110" s="56"/>
      <c r="J110" s="56"/>
      <c r="K110" s="103" t="s">
        <v>31</v>
      </c>
      <c r="L110" s="538">
        <v>20</v>
      </c>
      <c r="M110" s="101"/>
    </row>
    <row r="111" spans="1:13" s="1" customFormat="1" ht="15" customHeight="1" outlineLevel="1">
      <c r="B111" s="64"/>
      <c r="C111" s="64"/>
      <c r="D111" s="64"/>
      <c r="E111" s="107"/>
      <c r="F111" s="106"/>
      <c r="G111" s="104"/>
      <c r="H111" s="56"/>
      <c r="I111" s="56"/>
      <c r="J111" s="56"/>
      <c r="K111" s="103"/>
      <c r="L111" s="105"/>
      <c r="M111" s="101"/>
    </row>
    <row r="112" spans="1:13" s="1" customFormat="1" ht="15" customHeight="1" outlineLevel="1">
      <c r="G112" s="104"/>
      <c r="H112" s="56"/>
      <c r="I112" s="56"/>
      <c r="J112" s="56"/>
      <c r="K112" s="103"/>
      <c r="L112" s="102"/>
      <c r="M112" s="101"/>
    </row>
    <row r="113" spans="2:12" ht="15" customHeight="1" outlineLevel="1">
      <c r="L113" s="6" t="s">
        <v>30</v>
      </c>
    </row>
    <row r="114" spans="2:12" ht="15" customHeight="1" outlineLevel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 t="s">
        <v>0</v>
      </c>
    </row>
  </sheetData>
  <conditionalFormatting sqref="F98:F99 F110">
    <cfRule type="expression" dxfId="9" priority="1">
      <formula>F98=1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88" orientation="landscape" r:id="rId1"/>
  <headerFooter>
    <oddFooter>&amp;L&amp;"Open Sans,Bold"&amp;10&amp;K002060DCF Valuation Modeling&amp;C&amp;"Open Sans,Bold"&amp;10&amp;K002060Page &amp;P of &amp;N&amp;R&amp;G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5" name="Drop Down 1">
              <controlPr defaultSize="0" autoLine="0" autoPict="0">
                <anchor moveWithCells="1" sizeWithCells="1">
                  <from>
                    <xdr:col>2</xdr:col>
                    <xdr:colOff>518160</xdr:colOff>
                    <xdr:row>6</xdr:row>
                    <xdr:rowOff>0</xdr:rowOff>
                  </from>
                  <to>
                    <xdr:col>3</xdr:col>
                    <xdr:colOff>784860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8693-2F66-463C-899F-3DA57946A8A2}">
  <sheetPr codeName="Sheet6">
    <pageSetUpPr autoPageBreaks="0"/>
  </sheetPr>
  <dimension ref="A1:U402"/>
  <sheetViews>
    <sheetView showGridLines="0" zoomScale="71" zoomScaleNormal="71" zoomScaleSheetLayoutView="140" workbookViewId="0">
      <pane ySplit="1" topLeftCell="A141" activePane="bottomLeft" state="frozen"/>
      <selection activeCell="A3" sqref="A3"/>
      <selection pane="bottomLeft" activeCell="P341" sqref="P341"/>
    </sheetView>
  </sheetViews>
  <sheetFormatPr defaultColWidth="9.109375" defaultRowHeight="15" customHeight="1" outlineLevelRow="1"/>
  <cols>
    <col min="1" max="1" width="9.109375" style="2"/>
    <col min="2" max="2" width="17.6640625" style="2" customWidth="1"/>
    <col min="3" max="3" width="11.33203125" style="2" customWidth="1"/>
    <col min="4" max="6" width="15.6640625" style="2" customWidth="1"/>
    <col min="7" max="7" width="15.109375" style="2" bestFit="1" customWidth="1"/>
    <col min="8" max="8" width="16.109375" style="2" customWidth="1"/>
    <col min="9" max="9" width="13.109375" style="2" bestFit="1" customWidth="1"/>
    <col min="10" max="10" width="15" style="2" bestFit="1" customWidth="1"/>
    <col min="11" max="11" width="18" style="2" bestFit="1" customWidth="1"/>
    <col min="12" max="12" width="15" style="2" customWidth="1"/>
    <col min="13" max="13" width="17.6640625" style="2" bestFit="1" customWidth="1"/>
    <col min="14" max="14" width="17.109375" style="2" customWidth="1"/>
    <col min="15" max="15" width="15.44140625" style="2" customWidth="1"/>
    <col min="16" max="16" width="12.33203125" style="2" customWidth="1"/>
    <col min="17" max="17" width="18" style="2" bestFit="1" customWidth="1"/>
    <col min="18" max="18" width="17" style="2" bestFit="1" customWidth="1"/>
    <col min="19" max="19" width="17.44140625" style="2" bestFit="1" customWidth="1"/>
    <col min="20" max="20" width="9.109375" style="2"/>
    <col min="21" max="23" width="9.33203125" style="2" bestFit="1" customWidth="1"/>
    <col min="24" max="16384" width="9.109375" style="2"/>
  </cols>
  <sheetData>
    <row r="1" spans="1:21" ht="49.95" customHeight="1">
      <c r="A1" s="57"/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  <c r="O1" s="477"/>
      <c r="P1" s="477"/>
      <c r="Q1" s="477"/>
      <c r="R1" s="477"/>
      <c r="S1" s="477"/>
    </row>
    <row r="2" spans="1:21" ht="15" customHeight="1">
      <c r="A2" s="99"/>
      <c r="B2" s="366"/>
      <c r="C2" s="365"/>
      <c r="D2" s="364"/>
      <c r="E2" s="364"/>
      <c r="F2" s="364"/>
      <c r="G2" s="364"/>
      <c r="H2" s="363"/>
      <c r="I2" s="363"/>
      <c r="J2" s="363"/>
      <c r="K2" s="363"/>
      <c r="L2" s="363"/>
      <c r="M2" s="363"/>
      <c r="N2" s="363"/>
      <c r="O2" s="363"/>
      <c r="P2" s="363"/>
      <c r="Q2" s="53"/>
    </row>
    <row r="3" spans="1:21" ht="15" customHeight="1">
      <c r="A3" s="99" t="s">
        <v>0</v>
      </c>
      <c r="B3" s="476" t="s">
        <v>217</v>
      </c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</row>
    <row r="4" spans="1:21" ht="15" customHeight="1" outlineLevel="1">
      <c r="A4" s="100"/>
      <c r="B4" s="149"/>
      <c r="C4" s="93"/>
      <c r="D4" s="92"/>
      <c r="E4" s="92"/>
      <c r="F4" s="92"/>
      <c r="G4" s="92"/>
      <c r="H4" s="91"/>
      <c r="I4" s="91"/>
      <c r="J4" s="91"/>
      <c r="K4" s="91"/>
      <c r="L4" s="91"/>
      <c r="M4" s="91"/>
      <c r="N4" s="91"/>
      <c r="O4" s="91"/>
      <c r="P4" s="362"/>
    </row>
    <row r="5" spans="1:21" ht="15" customHeight="1" outlineLevel="1" thickBot="1">
      <c r="A5" s="99"/>
      <c r="B5" s="77" t="s">
        <v>22</v>
      </c>
      <c r="C5" s="93"/>
      <c r="D5" s="87"/>
      <c r="E5" s="87"/>
      <c r="F5" s="560">
        <f>G5-1</f>
        <v>2020</v>
      </c>
      <c r="G5" s="560">
        <f t="shared" ref="G5" si="0">H5-1</f>
        <v>2021</v>
      </c>
      <c r="H5" s="560">
        <f>I5-1</f>
        <v>2022</v>
      </c>
      <c r="I5" s="560">
        <f>J5-1</f>
        <v>2023</v>
      </c>
      <c r="J5" s="560">
        <f>K5-1</f>
        <v>2024</v>
      </c>
      <c r="K5" s="488">
        <f>Inputs!$F$97</f>
        <v>2025</v>
      </c>
      <c r="L5" s="488">
        <f>K5+1</f>
        <v>2026</v>
      </c>
      <c r="M5" s="488">
        <f>L5+1</f>
        <v>2027</v>
      </c>
      <c r="N5" s="488">
        <f>M5+1</f>
        <v>2028</v>
      </c>
      <c r="O5" s="488">
        <f>N5+1</f>
        <v>2029</v>
      </c>
      <c r="P5" s="488">
        <f t="shared" ref="P5:R5" si="1">O5+1</f>
        <v>2030</v>
      </c>
      <c r="Q5" s="488">
        <f t="shared" si="1"/>
        <v>2031</v>
      </c>
      <c r="R5" s="488">
        <f t="shared" si="1"/>
        <v>2032</v>
      </c>
      <c r="S5" s="488" t="s">
        <v>94</v>
      </c>
    </row>
    <row r="6" spans="1:21" ht="15" customHeight="1" outlineLevel="1">
      <c r="A6" s="99"/>
      <c r="B6" s="77" t="str" cm="1">
        <f t="array" ref="B6">CONCATENATE("Model Running: ",INDEX(Inputs!$B$12:$B$14,Inputs!$D$7)," Drivers")</f>
        <v>Model Running: Base Case Drivers</v>
      </c>
      <c r="C6" s="93"/>
      <c r="D6" s="87"/>
      <c r="E6" s="87"/>
      <c r="F6" s="87"/>
      <c r="G6" s="87"/>
      <c r="H6" s="87"/>
      <c r="I6" s="87"/>
      <c r="J6" s="87"/>
      <c r="K6" s="89"/>
      <c r="L6" s="89"/>
      <c r="M6" s="89"/>
      <c r="N6" s="89"/>
      <c r="O6" s="89"/>
      <c r="P6" s="89"/>
      <c r="Q6" s="89"/>
      <c r="R6" s="89"/>
      <c r="S6" s="89"/>
    </row>
    <row r="7" spans="1:21" ht="15" customHeight="1" outlineLevel="1">
      <c r="A7" s="99"/>
      <c r="C7" s="93"/>
      <c r="D7" s="87"/>
      <c r="E7" s="87"/>
      <c r="F7" s="87"/>
      <c r="G7" s="87"/>
      <c r="H7" s="87"/>
      <c r="I7" s="87"/>
      <c r="J7" s="87"/>
      <c r="K7" s="89"/>
      <c r="L7" s="89"/>
      <c r="M7" s="89"/>
      <c r="N7" s="89"/>
      <c r="O7" s="89"/>
      <c r="P7" s="89"/>
      <c r="Q7" s="89"/>
      <c r="R7" s="89"/>
      <c r="S7" s="89"/>
    </row>
    <row r="8" spans="1:21" s="57" customFormat="1" ht="15" customHeight="1" outlineLevel="1">
      <c r="B8" s="258" t="s">
        <v>45</v>
      </c>
      <c r="C8" s="337">
        <f>Inputs!$F$100</f>
        <v>365</v>
      </c>
      <c r="D8" s="60"/>
      <c r="E8" s="60"/>
      <c r="F8" s="674">
        <v>365</v>
      </c>
      <c r="G8" s="674">
        <v>365</v>
      </c>
      <c r="H8" s="674">
        <v>365</v>
      </c>
      <c r="I8" s="675">
        <v>365</v>
      </c>
      <c r="J8" s="675">
        <v>365</v>
      </c>
      <c r="K8" s="361">
        <f>$C$8</f>
        <v>365</v>
      </c>
      <c r="L8" s="361">
        <f t="shared" ref="L8:S8" si="2">$C$8</f>
        <v>365</v>
      </c>
      <c r="M8" s="361">
        <f t="shared" si="2"/>
        <v>365</v>
      </c>
      <c r="N8" s="361">
        <f t="shared" si="2"/>
        <v>365</v>
      </c>
      <c r="O8" s="361">
        <f t="shared" si="2"/>
        <v>365</v>
      </c>
      <c r="P8" s="361">
        <f t="shared" si="2"/>
        <v>365</v>
      </c>
      <c r="Q8" s="361">
        <f t="shared" si="2"/>
        <v>365</v>
      </c>
      <c r="R8" s="361">
        <f t="shared" si="2"/>
        <v>365</v>
      </c>
      <c r="S8" s="361">
        <f t="shared" si="2"/>
        <v>365</v>
      </c>
      <c r="T8" s="2"/>
      <c r="U8" s="2"/>
    </row>
    <row r="9" spans="1:21" ht="15" customHeight="1" outlineLevel="1">
      <c r="A9" s="86"/>
      <c r="B9" s="256" t="s">
        <v>42</v>
      </c>
      <c r="C9" s="183">
        <f>Inputs!$L$104</f>
        <v>0</v>
      </c>
      <c r="D9" s="60"/>
      <c r="E9" s="60"/>
      <c r="F9" s="60"/>
      <c r="G9" s="87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</row>
    <row r="10" spans="1:21" ht="15" customHeight="1" outlineLevel="1">
      <c r="A10" s="86"/>
      <c r="B10" s="77"/>
      <c r="C10" s="93"/>
      <c r="D10" s="87"/>
      <c r="E10" s="87"/>
      <c r="F10" s="87"/>
      <c r="G10" s="87"/>
      <c r="H10" s="87"/>
      <c r="I10" s="87"/>
      <c r="J10" s="87"/>
      <c r="K10" s="86"/>
      <c r="L10" s="86"/>
      <c r="M10" s="86"/>
      <c r="N10" s="86"/>
      <c r="O10" s="86"/>
      <c r="P10" s="86"/>
      <c r="Q10" s="86"/>
      <c r="R10" s="86"/>
      <c r="S10" s="86"/>
    </row>
    <row r="11" spans="1:21" ht="15" customHeight="1" outlineLevel="1">
      <c r="A11" s="86"/>
      <c r="B11" s="77"/>
      <c r="C11" s="93"/>
      <c r="D11" s="87"/>
      <c r="E11" s="87"/>
      <c r="F11" s="87"/>
      <c r="G11" s="87"/>
      <c r="H11" s="87"/>
      <c r="I11" s="87"/>
      <c r="J11" s="87"/>
      <c r="K11" s="86"/>
      <c r="L11" s="86"/>
      <c r="M11" s="86"/>
      <c r="N11" s="86"/>
      <c r="O11" s="86"/>
      <c r="P11" s="86"/>
      <c r="Q11" s="86"/>
      <c r="R11" s="86"/>
      <c r="S11" s="86"/>
    </row>
    <row r="12" spans="1:21" s="57" customFormat="1" ht="15" customHeight="1" outlineLevel="1">
      <c r="B12" s="69"/>
      <c r="C12" s="63"/>
      <c r="D12" s="323"/>
      <c r="E12" s="323"/>
      <c r="F12" s="323"/>
      <c r="G12" s="136"/>
      <c r="H12" s="360"/>
      <c r="I12" s="141"/>
      <c r="J12" s="141"/>
      <c r="K12" s="86"/>
      <c r="L12" s="86"/>
      <c r="M12" s="86"/>
      <c r="N12" s="86"/>
      <c r="O12" s="86"/>
      <c r="P12" s="86"/>
      <c r="Q12" s="86"/>
      <c r="R12" s="86"/>
      <c r="S12" s="86"/>
      <c r="T12" s="2"/>
      <c r="U12" s="2"/>
    </row>
    <row r="13" spans="1:21" ht="15" customHeight="1" outlineLevel="1">
      <c r="A13" s="86"/>
      <c r="C13" s="93"/>
      <c r="D13" s="323"/>
      <c r="E13" s="323"/>
      <c r="F13" s="323"/>
      <c r="G13" s="87"/>
      <c r="H13" s="144"/>
      <c r="I13" s="144"/>
      <c r="J13" s="144"/>
      <c r="K13" s="143"/>
      <c r="L13" s="143"/>
      <c r="M13" s="143"/>
      <c r="N13" s="143"/>
      <c r="O13" s="143"/>
      <c r="P13" s="143"/>
      <c r="Q13" s="143"/>
      <c r="R13" s="143"/>
      <c r="S13" s="143"/>
    </row>
    <row r="14" spans="1:21" ht="15" customHeight="1" outlineLevel="1">
      <c r="A14" s="86"/>
      <c r="C14" s="93"/>
      <c r="D14" s="323"/>
      <c r="E14" s="323"/>
      <c r="F14" s="323"/>
      <c r="G14" s="87"/>
      <c r="H14" s="144"/>
      <c r="I14" s="144"/>
      <c r="J14" s="144"/>
      <c r="K14" s="143"/>
      <c r="L14" s="143"/>
      <c r="M14" s="143"/>
      <c r="N14" s="143"/>
      <c r="O14" s="143"/>
      <c r="P14" s="143"/>
      <c r="Q14" s="143"/>
      <c r="R14" s="143"/>
      <c r="S14" s="143"/>
    </row>
    <row r="15" spans="1:21" s="57" customFormat="1" ht="15" customHeight="1" outlineLevel="1">
      <c r="B15" s="69" t="s">
        <v>216</v>
      </c>
      <c r="C15" s="63"/>
      <c r="D15" s="323"/>
      <c r="E15" s="323"/>
      <c r="F15" s="323"/>
      <c r="G15" s="136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2"/>
      <c r="U15" s="2"/>
    </row>
    <row r="16" spans="1:21" s="57" customFormat="1" ht="15" customHeight="1" outlineLevel="1">
      <c r="B16" s="59"/>
      <c r="C16" s="63"/>
      <c r="D16" s="323"/>
      <c r="E16" s="323"/>
      <c r="F16" s="323"/>
      <c r="G16" s="136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2"/>
      <c r="U16" s="2"/>
    </row>
    <row r="17" spans="1:21" ht="15" customHeight="1" outlineLevel="1">
      <c r="A17" s="86"/>
      <c r="B17" s="135" t="s">
        <v>219</v>
      </c>
      <c r="C17" s="93"/>
      <c r="D17" s="323" t="s">
        <v>215</v>
      </c>
      <c r="E17" s="323"/>
      <c r="F17" s="323"/>
      <c r="G17" s="128">
        <f>G19/F19-1</f>
        <v>0.56410781811746746</v>
      </c>
      <c r="H17" s="128">
        <f t="shared" ref="H17:I17" si="3">H19/G19-1</f>
        <v>0.48243336588619212</v>
      </c>
      <c r="I17" s="128">
        <f t="shared" si="3"/>
        <v>-0.17726593505471022</v>
      </c>
      <c r="J17" s="128">
        <f>J19/I19-1</f>
        <v>-0.1073440810866233</v>
      </c>
      <c r="K17" s="357">
        <f>Inputs!G10</f>
        <v>0.12</v>
      </c>
      <c r="L17" s="357">
        <f>Inputs!H10</f>
        <v>0.11200000000000002</v>
      </c>
      <c r="M17" s="357">
        <f>Inputs!I10</f>
        <v>0.10400000000000001</v>
      </c>
      <c r="N17" s="357">
        <f>Inputs!J10</f>
        <v>4.8000000000000001E-2</v>
      </c>
      <c r="O17" s="357">
        <f>Inputs!K10</f>
        <v>4.0000000000000008E-2</v>
      </c>
      <c r="P17" s="357">
        <f>Inputs!L10</f>
        <v>3.2000000000000001E-2</v>
      </c>
      <c r="Q17" s="357">
        <f>Inputs!M10</f>
        <v>2.8000000000000004E-2</v>
      </c>
      <c r="R17" s="357">
        <f>Inputs!N10</f>
        <v>2.8000000000000004E-2</v>
      </c>
      <c r="S17" s="357">
        <f>Inputs!O10</f>
        <v>2.8000000000000004E-2</v>
      </c>
    </row>
    <row r="18" spans="1:21" ht="15" customHeight="1" outlineLevel="1">
      <c r="A18" s="86"/>
      <c r="B18" s="135"/>
      <c r="C18" s="93"/>
      <c r="D18" s="323"/>
      <c r="E18" s="323"/>
      <c r="F18" s="323"/>
      <c r="G18" s="87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</row>
    <row r="19" spans="1:21" ht="15" customHeight="1" outlineLevel="1" thickBot="1">
      <c r="A19" s="86"/>
      <c r="B19" s="135" t="s">
        <v>202</v>
      </c>
      <c r="C19" s="93"/>
      <c r="D19" s="323"/>
      <c r="E19" s="323"/>
      <c r="F19" s="676">
        <v>53683000</v>
      </c>
      <c r="G19" s="676">
        <v>83966000</v>
      </c>
      <c r="H19" s="676">
        <v>124474000</v>
      </c>
      <c r="I19" s="676">
        <v>102409000</v>
      </c>
      <c r="J19" s="676">
        <v>91416000</v>
      </c>
      <c r="K19" s="359">
        <f>J19*(1+K17)</f>
        <v>102385920.00000001</v>
      </c>
      <c r="L19" s="359">
        <f t="shared" ref="L19:S19" si="4">K19*(1+L17)</f>
        <v>113853143.04000002</v>
      </c>
      <c r="M19" s="359">
        <f t="shared" si="4"/>
        <v>125693869.91616003</v>
      </c>
      <c r="N19" s="359">
        <f t="shared" si="4"/>
        <v>131727175.67213573</v>
      </c>
      <c r="O19" s="359">
        <f t="shared" si="4"/>
        <v>136996262.69902116</v>
      </c>
      <c r="P19" s="359">
        <f t="shared" si="4"/>
        <v>141380143.10538983</v>
      </c>
      <c r="Q19" s="359">
        <f t="shared" si="4"/>
        <v>145338787.11234075</v>
      </c>
      <c r="R19" s="359">
        <f t="shared" si="4"/>
        <v>149408273.15148631</v>
      </c>
      <c r="S19" s="359">
        <f t="shared" si="4"/>
        <v>153591704.79972792</v>
      </c>
    </row>
    <row r="20" spans="1:21" ht="15" customHeight="1" outlineLevel="1">
      <c r="A20" s="86"/>
      <c r="C20" s="93"/>
      <c r="D20" s="323"/>
      <c r="E20" s="323"/>
      <c r="F20" s="323"/>
      <c r="G20" s="87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</row>
    <row r="21" spans="1:21" ht="15" customHeight="1" outlineLevel="1">
      <c r="A21" s="86"/>
      <c r="C21" s="93"/>
      <c r="D21" s="323"/>
      <c r="E21" s="323"/>
      <c r="F21" s="323"/>
      <c r="G21" s="87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</row>
    <row r="22" spans="1:21" ht="15" customHeight="1" outlineLevel="1">
      <c r="A22" s="86"/>
      <c r="B22" s="77"/>
      <c r="C22" s="93"/>
      <c r="D22" s="87"/>
      <c r="E22" s="87"/>
      <c r="F22" s="87"/>
      <c r="G22" s="87"/>
      <c r="H22" s="87"/>
      <c r="I22" s="87"/>
      <c r="J22" s="87"/>
      <c r="K22" s="86"/>
      <c r="L22" s="86"/>
      <c r="M22" s="86"/>
      <c r="N22" s="86"/>
      <c r="O22" s="86"/>
      <c r="P22" s="220"/>
    </row>
    <row r="23" spans="1:21" ht="15" customHeight="1" outlineLevel="1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21" s="57" customFormat="1" ht="15" customHeight="1"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97"/>
      <c r="T24" s="2"/>
      <c r="U24" s="2"/>
    </row>
    <row r="25" spans="1:21" ht="15" customHeight="1">
      <c r="A25" s="57" t="s">
        <v>0</v>
      </c>
      <c r="B25" s="476" t="s">
        <v>214</v>
      </c>
      <c r="C25" s="476"/>
      <c r="D25" s="476"/>
      <c r="E25" s="476"/>
      <c r="F25" s="476"/>
      <c r="G25" s="476"/>
      <c r="H25" s="476"/>
      <c r="I25" s="476"/>
      <c r="J25" s="476"/>
      <c r="K25" s="476"/>
      <c r="L25" s="476"/>
      <c r="M25" s="476"/>
      <c r="N25" s="476"/>
      <c r="O25" s="476"/>
      <c r="P25" s="476"/>
      <c r="Q25" s="476"/>
      <c r="R25" s="476"/>
      <c r="S25" s="476"/>
    </row>
    <row r="26" spans="1:21" ht="15" customHeight="1" outlineLevel="1">
      <c r="A26" s="57"/>
      <c r="B26" s="148"/>
      <c r="C26" s="93"/>
      <c r="D26" s="92"/>
      <c r="E26" s="92"/>
      <c r="F26" s="92"/>
      <c r="G26" s="92"/>
      <c r="H26" s="91"/>
      <c r="I26" s="91"/>
      <c r="J26" s="91"/>
      <c r="K26" s="91"/>
      <c r="L26" s="91"/>
      <c r="M26" s="91"/>
      <c r="N26" s="91"/>
      <c r="O26" s="91"/>
      <c r="P26" s="91"/>
    </row>
    <row r="27" spans="1:21" ht="15" customHeight="1" outlineLevel="1" thickBot="1">
      <c r="A27" s="57"/>
      <c r="B27" s="77" t="s">
        <v>22</v>
      </c>
      <c r="C27" s="93"/>
      <c r="D27" s="87"/>
      <c r="E27" s="87"/>
      <c r="F27" s="560">
        <f t="shared" ref="F27:G27" si="5">F$5</f>
        <v>2020</v>
      </c>
      <c r="G27" s="560">
        <f t="shared" si="5"/>
        <v>2021</v>
      </c>
      <c r="H27" s="560">
        <f>H$5</f>
        <v>2022</v>
      </c>
      <c r="I27" s="560">
        <f t="shared" ref="I27:S27" si="6">I$5</f>
        <v>2023</v>
      </c>
      <c r="J27" s="560">
        <f t="shared" si="6"/>
        <v>2024</v>
      </c>
      <c r="K27" s="488">
        <f t="shared" si="6"/>
        <v>2025</v>
      </c>
      <c r="L27" s="488">
        <f t="shared" si="6"/>
        <v>2026</v>
      </c>
      <c r="M27" s="488">
        <f t="shared" si="6"/>
        <v>2027</v>
      </c>
      <c r="N27" s="488">
        <f t="shared" si="6"/>
        <v>2028</v>
      </c>
      <c r="O27" s="488">
        <f t="shared" si="6"/>
        <v>2029</v>
      </c>
      <c r="P27" s="488">
        <f t="shared" si="6"/>
        <v>2030</v>
      </c>
      <c r="Q27" s="488">
        <f t="shared" si="6"/>
        <v>2031</v>
      </c>
      <c r="R27" s="488">
        <f t="shared" si="6"/>
        <v>2032</v>
      </c>
      <c r="S27" s="488" t="str">
        <f t="shared" si="6"/>
        <v>Term</v>
      </c>
    </row>
    <row r="28" spans="1:21" s="57" customFormat="1" ht="15" customHeight="1" outlineLevel="1">
      <c r="B28" s="59"/>
      <c r="C28" s="63"/>
      <c r="D28" s="323"/>
      <c r="E28" s="323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356"/>
      <c r="Q28" s="356"/>
      <c r="R28" s="356"/>
      <c r="S28" s="356"/>
      <c r="T28" s="2"/>
      <c r="U28" s="2"/>
    </row>
    <row r="29" spans="1:21" s="57" customFormat="1" ht="15" customHeight="1" outlineLevel="1">
      <c r="B29" s="135" t="s">
        <v>220</v>
      </c>
      <c r="C29" s="63"/>
      <c r="D29" s="323"/>
      <c r="E29" s="323"/>
      <c r="F29" s="358"/>
      <c r="G29" s="357">
        <f t="shared" ref="G29:I29" si="7">G31/G30</f>
        <v>0.51406521687349638</v>
      </c>
      <c r="H29" s="357">
        <f t="shared" si="7"/>
        <v>0.47789899898774041</v>
      </c>
      <c r="I29" s="357">
        <f t="shared" si="7"/>
        <v>0.47295647843451261</v>
      </c>
      <c r="J29" s="357">
        <f>J31/J30</f>
        <v>0.4971121029141507</v>
      </c>
      <c r="K29" s="357">
        <f>Inputs!G17</f>
        <v>0.49</v>
      </c>
      <c r="L29" s="357">
        <f>Inputs!H17</f>
        <v>0.49</v>
      </c>
      <c r="M29" s="357">
        <f>Inputs!I17</f>
        <v>0.49</v>
      </c>
      <c r="N29" s="357">
        <f>Inputs!J17</f>
        <v>0.49</v>
      </c>
      <c r="O29" s="357">
        <f>Inputs!K17</f>
        <v>0.49</v>
      </c>
      <c r="P29" s="357">
        <f>Inputs!L17</f>
        <v>0.49</v>
      </c>
      <c r="Q29" s="357">
        <f>Inputs!M17</f>
        <v>0.49</v>
      </c>
      <c r="R29" s="357">
        <f>Inputs!N17</f>
        <v>0.49</v>
      </c>
      <c r="S29" s="357">
        <f>Inputs!O17</f>
        <v>0.49</v>
      </c>
      <c r="T29" s="2"/>
      <c r="U29" s="2"/>
    </row>
    <row r="30" spans="1:21" s="57" customFormat="1" ht="15" customHeight="1" outlineLevel="1">
      <c r="B30" s="135" t="s">
        <v>202</v>
      </c>
      <c r="C30" s="63"/>
      <c r="D30" s="323"/>
      <c r="E30" s="323"/>
      <c r="F30" s="252">
        <f t="shared" ref="F30:J30" si="8">F19</f>
        <v>53683000</v>
      </c>
      <c r="G30" s="252">
        <f t="shared" si="8"/>
        <v>83966000</v>
      </c>
      <c r="H30" s="252">
        <f t="shared" si="8"/>
        <v>124474000</v>
      </c>
      <c r="I30" s="252">
        <f t="shared" si="8"/>
        <v>102409000</v>
      </c>
      <c r="J30" s="252">
        <f t="shared" si="8"/>
        <v>91416000</v>
      </c>
      <c r="K30" s="252">
        <f>K19</f>
        <v>102385920.00000001</v>
      </c>
      <c r="L30" s="252">
        <f t="shared" ref="L30:O30" si="9">L19</f>
        <v>113853143.04000002</v>
      </c>
      <c r="M30" s="252">
        <f t="shared" si="9"/>
        <v>125693869.91616003</v>
      </c>
      <c r="N30" s="252">
        <f t="shared" si="9"/>
        <v>131727175.67213573</v>
      </c>
      <c r="O30" s="252">
        <f t="shared" si="9"/>
        <v>136996262.69902116</v>
      </c>
      <c r="P30" s="252">
        <f>P19</f>
        <v>141380143.10538983</v>
      </c>
      <c r="Q30" s="252">
        <f t="shared" ref="Q30:S30" si="10">Q19</f>
        <v>145338787.11234075</v>
      </c>
      <c r="R30" s="252">
        <f t="shared" si="10"/>
        <v>149408273.15148631</v>
      </c>
      <c r="S30" s="252">
        <f t="shared" si="10"/>
        <v>153591704.79972792</v>
      </c>
      <c r="T30" s="2"/>
      <c r="U30" s="2"/>
    </row>
    <row r="31" spans="1:21" s="57" customFormat="1" ht="15" customHeight="1" outlineLevel="1" thickBot="1">
      <c r="B31" s="135" t="s">
        <v>201</v>
      </c>
      <c r="C31" s="63"/>
      <c r="D31" s="323"/>
      <c r="E31" s="323"/>
      <c r="F31" s="676">
        <v>29195000</v>
      </c>
      <c r="G31" s="676">
        <v>43164000</v>
      </c>
      <c r="H31" s="676">
        <v>59486000</v>
      </c>
      <c r="I31" s="676">
        <v>48435000</v>
      </c>
      <c r="J31" s="676">
        <v>45444000</v>
      </c>
      <c r="K31" s="251">
        <f>K30*K29</f>
        <v>50169100.800000004</v>
      </c>
      <c r="L31" s="251">
        <f t="shared" ref="L31:S31" si="11">L30*L29</f>
        <v>55788040.089600012</v>
      </c>
      <c r="M31" s="251">
        <f t="shared" si="11"/>
        <v>61589996.258918412</v>
      </c>
      <c r="N31" s="251">
        <f t="shared" si="11"/>
        <v>64546316.079346508</v>
      </c>
      <c r="O31" s="251">
        <f t="shared" si="11"/>
        <v>67128168.722520366</v>
      </c>
      <c r="P31" s="251">
        <f t="shared" si="11"/>
        <v>69276270.12164101</v>
      </c>
      <c r="Q31" s="251">
        <f t="shared" si="11"/>
        <v>71216005.685046971</v>
      </c>
      <c r="R31" s="251">
        <f t="shared" si="11"/>
        <v>73210053.844228283</v>
      </c>
      <c r="S31" s="251">
        <f t="shared" si="11"/>
        <v>75259935.351866677</v>
      </c>
      <c r="T31" s="2"/>
      <c r="U31" s="2"/>
    </row>
    <row r="32" spans="1:21" s="57" customFormat="1" ht="15" customHeight="1" outlineLevel="1">
      <c r="B32" s="69"/>
      <c r="C32" s="63"/>
      <c r="D32" s="323"/>
      <c r="E32" s="323"/>
      <c r="F32" s="323"/>
      <c r="G32" s="136"/>
      <c r="H32" s="81"/>
      <c r="I32" s="81"/>
      <c r="J32" s="81"/>
      <c r="K32" s="81"/>
      <c r="L32" s="81"/>
      <c r="M32" s="81"/>
      <c r="N32" s="81"/>
      <c r="O32" s="81"/>
      <c r="P32" s="81"/>
      <c r="T32" s="2"/>
      <c r="U32" s="2"/>
    </row>
    <row r="33" spans="1:21" s="57" customFormat="1" ht="15" customHeight="1" outlineLevel="1">
      <c r="B33" s="355"/>
      <c r="C33" s="137"/>
      <c r="D33" s="354"/>
      <c r="E33" s="354"/>
      <c r="F33" s="354"/>
      <c r="G33" s="177"/>
      <c r="H33" s="209"/>
      <c r="I33" s="209"/>
      <c r="J33" s="353"/>
      <c r="K33" s="353"/>
      <c r="L33" s="353"/>
      <c r="M33" s="353"/>
      <c r="N33" s="353"/>
      <c r="O33" s="353"/>
      <c r="P33" s="353"/>
      <c r="Q33" s="53"/>
      <c r="T33" s="2"/>
      <c r="U33" s="2"/>
    </row>
    <row r="34" spans="1:21" s="57" customFormat="1" ht="15" customHeight="1">
      <c r="B34" s="59"/>
      <c r="C34" s="93"/>
      <c r="D34" s="323"/>
      <c r="E34" s="323"/>
      <c r="F34" s="323"/>
      <c r="G34" s="87"/>
      <c r="H34" s="210"/>
      <c r="I34" s="210"/>
      <c r="J34" s="210"/>
      <c r="K34" s="279"/>
      <c r="L34" s="279"/>
      <c r="M34" s="279"/>
      <c r="N34" s="279"/>
      <c r="O34" s="279"/>
      <c r="P34" s="279"/>
      <c r="Q34" s="53"/>
      <c r="T34" s="2"/>
      <c r="U34" s="2"/>
    </row>
    <row r="35" spans="1:21" s="86" customFormat="1" ht="15" customHeight="1">
      <c r="A35" s="57" t="s">
        <v>0</v>
      </c>
      <c r="B35" s="476" t="s">
        <v>213</v>
      </c>
      <c r="C35" s="476"/>
      <c r="D35" s="476"/>
      <c r="E35" s="476"/>
      <c r="F35" s="476"/>
      <c r="G35" s="476"/>
      <c r="H35" s="476"/>
      <c r="I35" s="476"/>
      <c r="J35" s="476"/>
      <c r="K35" s="476"/>
      <c r="L35" s="476"/>
      <c r="M35" s="476"/>
      <c r="N35" s="476"/>
      <c r="O35" s="476"/>
      <c r="P35" s="476"/>
      <c r="Q35" s="476"/>
      <c r="R35" s="476"/>
      <c r="S35" s="476"/>
      <c r="T35" s="2"/>
      <c r="U35" s="2"/>
    </row>
    <row r="36" spans="1:21" s="86" customFormat="1" ht="15" customHeight="1" outlineLevel="1">
      <c r="B36" s="148"/>
      <c r="C36" s="93"/>
      <c r="D36" s="92"/>
      <c r="E36" s="92"/>
      <c r="F36" s="92"/>
      <c r="G36" s="92"/>
      <c r="H36" s="91"/>
      <c r="I36" s="91"/>
      <c r="J36" s="91"/>
      <c r="K36" s="91"/>
      <c r="L36" s="91"/>
      <c r="M36" s="91"/>
      <c r="N36" s="91"/>
      <c r="O36" s="91"/>
      <c r="P36" s="91"/>
      <c r="T36" s="2"/>
      <c r="U36" s="2"/>
    </row>
    <row r="37" spans="1:21" s="86" customFormat="1" ht="15" customHeight="1" outlineLevel="1" thickBot="1">
      <c r="B37" s="77" t="s">
        <v>22</v>
      </c>
      <c r="C37" s="93"/>
      <c r="D37" s="87"/>
      <c r="E37" s="87"/>
      <c r="F37" s="560">
        <f t="shared" ref="F37:S37" si="12">F$5</f>
        <v>2020</v>
      </c>
      <c r="G37" s="560">
        <f t="shared" si="12"/>
        <v>2021</v>
      </c>
      <c r="H37" s="560">
        <f t="shared" si="12"/>
        <v>2022</v>
      </c>
      <c r="I37" s="560">
        <f t="shared" si="12"/>
        <v>2023</v>
      </c>
      <c r="J37" s="560">
        <f t="shared" si="12"/>
        <v>2024</v>
      </c>
      <c r="K37" s="488">
        <f t="shared" si="12"/>
        <v>2025</v>
      </c>
      <c r="L37" s="488">
        <f t="shared" si="12"/>
        <v>2026</v>
      </c>
      <c r="M37" s="488">
        <f t="shared" si="12"/>
        <v>2027</v>
      </c>
      <c r="N37" s="488">
        <f t="shared" si="12"/>
        <v>2028</v>
      </c>
      <c r="O37" s="488">
        <f t="shared" si="12"/>
        <v>2029</v>
      </c>
      <c r="P37" s="488">
        <f t="shared" si="12"/>
        <v>2030</v>
      </c>
      <c r="Q37" s="488">
        <f t="shared" si="12"/>
        <v>2031</v>
      </c>
      <c r="R37" s="488">
        <f t="shared" si="12"/>
        <v>2032</v>
      </c>
      <c r="S37" s="488" t="str">
        <f t="shared" si="12"/>
        <v>Term</v>
      </c>
      <c r="T37" s="2"/>
      <c r="U37" s="2"/>
    </row>
    <row r="38" spans="1:21" ht="15" customHeight="1" outlineLevel="1">
      <c r="A38" s="57"/>
      <c r="B38" s="77" t="str">
        <f>$B$6</f>
        <v>Model Running: Base Case Drivers</v>
      </c>
      <c r="C38" s="93"/>
      <c r="D38" s="87"/>
      <c r="E38" s="87"/>
      <c r="F38" s="87"/>
      <c r="G38" s="87"/>
      <c r="H38" s="87"/>
      <c r="I38" s="87"/>
      <c r="J38" s="87"/>
      <c r="K38" s="89"/>
      <c r="L38" s="89"/>
      <c r="M38" s="89"/>
      <c r="N38" s="89"/>
      <c r="O38" s="89"/>
      <c r="P38" s="89"/>
      <c r="Q38" s="89"/>
      <c r="R38" s="89"/>
      <c r="S38" s="89"/>
    </row>
    <row r="39" spans="1:21" s="86" customFormat="1" ht="15" customHeight="1" outlineLevel="1">
      <c r="B39" s="77"/>
      <c r="C39" s="93"/>
      <c r="D39" s="87"/>
      <c r="E39" s="87"/>
      <c r="F39" s="87"/>
      <c r="G39" s="87"/>
      <c r="H39" s="87"/>
      <c r="I39" s="87"/>
      <c r="J39" s="87"/>
      <c r="T39" s="2"/>
      <c r="U39" s="2"/>
    </row>
    <row r="40" spans="1:21" ht="15" customHeight="1" outlineLevel="1">
      <c r="A40" s="57"/>
      <c r="B40" s="59" t="s">
        <v>212</v>
      </c>
      <c r="C40" s="93"/>
      <c r="D40" s="87"/>
      <c r="E40" s="87"/>
      <c r="F40" s="677">
        <v>3.73E-2</v>
      </c>
      <c r="G40" s="677">
        <v>8.3000000000000004E-2</v>
      </c>
      <c r="H40" s="677">
        <v>9.2799999999999994E-2</v>
      </c>
      <c r="I40" s="677">
        <v>4.5900000000000003E-2</v>
      </c>
      <c r="J40" s="677">
        <v>4.8300000000000003E-2</v>
      </c>
      <c r="K40" s="352">
        <f>Inputs!G31</f>
        <v>5.3100000000000001E-2</v>
      </c>
      <c r="L40" s="352">
        <f>Inputs!H31</f>
        <v>4.3200000000000002E-2</v>
      </c>
      <c r="M40" s="352">
        <f>Inputs!I31</f>
        <v>3.39E-2</v>
      </c>
      <c r="N40" s="352">
        <f>Inputs!J31</f>
        <v>2.9600000000000001E-2</v>
      </c>
      <c r="O40" s="352">
        <f>Inputs!K31</f>
        <v>2.9600000000000001E-2</v>
      </c>
      <c r="P40" s="352">
        <f>Inputs!L31</f>
        <v>2.9600000000000001E-2</v>
      </c>
      <c r="Q40" s="352">
        <f>Inputs!M31</f>
        <v>2.9600000000000001E-2</v>
      </c>
      <c r="R40" s="352">
        <f>Inputs!N31</f>
        <v>2.9600000000000001E-2</v>
      </c>
      <c r="S40" s="352">
        <f>Inputs!O31</f>
        <v>2.9600000000000001E-2</v>
      </c>
    </row>
    <row r="41" spans="1:21" ht="15" customHeight="1" outlineLevel="1">
      <c r="A41" s="57"/>
      <c r="B41" s="59"/>
      <c r="C41" s="93"/>
      <c r="D41" s="87"/>
      <c r="E41" s="87"/>
      <c r="F41" s="351"/>
      <c r="G41" s="351"/>
      <c r="H41" s="351"/>
      <c r="I41" s="351"/>
      <c r="J41" s="351"/>
      <c r="K41" s="351"/>
      <c r="L41" s="351"/>
      <c r="M41" s="351"/>
      <c r="N41" s="351"/>
      <c r="O41" s="351"/>
      <c r="P41" s="351"/>
      <c r="Q41" s="351"/>
      <c r="R41" s="351"/>
      <c r="S41" s="351"/>
    </row>
    <row r="42" spans="1:21" s="86" customFormat="1" ht="15" customHeight="1" outlineLevel="1">
      <c r="B42" s="350" t="s">
        <v>132</v>
      </c>
      <c r="C42" s="349">
        <f>Inputs!$L$105</f>
        <v>2520000</v>
      </c>
      <c r="D42" s="87"/>
      <c r="E42" s="87"/>
      <c r="F42" s="87"/>
      <c r="G42" s="87"/>
      <c r="H42" s="87"/>
      <c r="I42" s="87"/>
      <c r="J42" s="87"/>
      <c r="T42" s="2"/>
      <c r="U42" s="2"/>
    </row>
    <row r="43" spans="1:21" s="86" customFormat="1" ht="15" customHeight="1" outlineLevel="1">
      <c r="B43" s="256" t="s">
        <v>65</v>
      </c>
      <c r="C43" s="348">
        <f>Inputs!$L$73</f>
        <v>0.34</v>
      </c>
      <c r="F43" s="87"/>
      <c r="G43" s="87"/>
      <c r="H43" s="87"/>
      <c r="I43" s="87"/>
      <c r="J43" s="87"/>
      <c r="K43" s="89"/>
      <c r="L43" s="89"/>
      <c r="M43" s="89"/>
      <c r="N43" s="89"/>
      <c r="O43" s="89"/>
      <c r="T43" s="2"/>
      <c r="U43" s="2"/>
    </row>
    <row r="44" spans="1:21" s="86" customFormat="1" ht="15" customHeight="1" outlineLevel="1">
      <c r="B44" s="56"/>
      <c r="C44" s="93"/>
      <c r="D44" s="87"/>
      <c r="E44" s="87"/>
      <c r="F44" s="87"/>
      <c r="G44" s="87"/>
      <c r="H44" s="87"/>
      <c r="I44" s="87"/>
      <c r="J44" s="87"/>
      <c r="T44" s="2"/>
      <c r="U44" s="2"/>
    </row>
    <row r="45" spans="1:21" s="57" customFormat="1" ht="15" customHeight="1" outlineLevel="1">
      <c r="B45" s="135" t="s">
        <v>202</v>
      </c>
      <c r="C45" s="136"/>
      <c r="D45" s="87"/>
      <c r="E45" s="87"/>
      <c r="F45" s="678">
        <f t="shared" ref="F45:I45" si="13">F19</f>
        <v>53683000</v>
      </c>
      <c r="G45" s="678">
        <f t="shared" si="13"/>
        <v>83966000</v>
      </c>
      <c r="H45" s="678">
        <f t="shared" si="13"/>
        <v>124474000</v>
      </c>
      <c r="I45" s="678">
        <f t="shared" si="13"/>
        <v>102409000</v>
      </c>
      <c r="J45" s="678">
        <f>J19</f>
        <v>91416000</v>
      </c>
      <c r="K45" s="260">
        <f>K19</f>
        <v>102385920.00000001</v>
      </c>
      <c r="L45" s="260">
        <f>L19</f>
        <v>113853143.04000002</v>
      </c>
      <c r="M45" s="260">
        <f>M19</f>
        <v>125693869.91616003</v>
      </c>
      <c r="N45" s="260">
        <f>N19</f>
        <v>131727175.67213573</v>
      </c>
      <c r="O45" s="260">
        <f t="shared" ref="O45:S45" si="14">O19</f>
        <v>136996262.69902116</v>
      </c>
      <c r="P45" s="260">
        <f t="shared" si="14"/>
        <v>141380143.10538983</v>
      </c>
      <c r="Q45" s="260">
        <f t="shared" si="14"/>
        <v>145338787.11234075</v>
      </c>
      <c r="R45" s="260">
        <f t="shared" si="14"/>
        <v>149408273.15148631</v>
      </c>
      <c r="S45" s="260">
        <f t="shared" si="14"/>
        <v>153591704.79972792</v>
      </c>
      <c r="T45" s="2"/>
      <c r="U45" s="2"/>
    </row>
    <row r="46" spans="1:21" s="57" customFormat="1" ht="15" customHeight="1" outlineLevel="1">
      <c r="B46" s="135" t="s">
        <v>201</v>
      </c>
      <c r="C46" s="136"/>
      <c r="D46" s="136"/>
      <c r="E46" s="136"/>
      <c r="F46" s="678">
        <f t="shared" ref="F46:J46" si="15">F31</f>
        <v>29195000</v>
      </c>
      <c r="G46" s="678">
        <f t="shared" si="15"/>
        <v>43164000</v>
      </c>
      <c r="H46" s="678">
        <f t="shared" si="15"/>
        <v>59486000</v>
      </c>
      <c r="I46" s="678">
        <f t="shared" si="15"/>
        <v>48435000</v>
      </c>
      <c r="J46" s="678">
        <f t="shared" si="15"/>
        <v>45444000</v>
      </c>
      <c r="K46" s="345">
        <f>K31</f>
        <v>50169100.800000004</v>
      </c>
      <c r="L46" s="345">
        <f>L31</f>
        <v>55788040.089600012</v>
      </c>
      <c r="M46" s="345">
        <f t="shared" ref="M46:N46" si="16">M31</f>
        <v>61589996.258918412</v>
      </c>
      <c r="N46" s="345">
        <f t="shared" si="16"/>
        <v>64546316.079346508</v>
      </c>
      <c r="O46" s="345">
        <f t="shared" ref="O46:R46" si="17">O31</f>
        <v>67128168.722520366</v>
      </c>
      <c r="P46" s="345">
        <f t="shared" si="17"/>
        <v>69276270.12164101</v>
      </c>
      <c r="Q46" s="345">
        <f t="shared" si="17"/>
        <v>71216005.685046971</v>
      </c>
      <c r="R46" s="345">
        <f t="shared" si="17"/>
        <v>73210053.844228283</v>
      </c>
      <c r="S46" s="345">
        <f>S31</f>
        <v>75259935.351866677</v>
      </c>
      <c r="T46" s="2"/>
      <c r="U46" s="2"/>
    </row>
    <row r="47" spans="1:21" s="57" customFormat="1" ht="15" customHeight="1" outlineLevel="1">
      <c r="B47" s="151" t="s">
        <v>211</v>
      </c>
      <c r="C47" s="278"/>
      <c r="D47" s="136"/>
      <c r="E47" s="136"/>
      <c r="F47" s="259">
        <f t="shared" ref="F47:G47" si="18">F45-F46</f>
        <v>24488000</v>
      </c>
      <c r="G47" s="259">
        <f t="shared" si="18"/>
        <v>40802000</v>
      </c>
      <c r="H47" s="259">
        <f>H45-H46</f>
        <v>64988000</v>
      </c>
      <c r="I47" s="259">
        <f t="shared" ref="I47:N47" si="19">I45-I46</f>
        <v>53974000</v>
      </c>
      <c r="J47" s="259">
        <f t="shared" si="19"/>
        <v>45972000</v>
      </c>
      <c r="K47" s="259">
        <f>K45-K46</f>
        <v>52216819.20000001</v>
      </c>
      <c r="L47" s="259">
        <f>L45-L46</f>
        <v>58065102.95040001</v>
      </c>
      <c r="M47" s="259">
        <f t="shared" si="19"/>
        <v>64103873.65724162</v>
      </c>
      <c r="N47" s="259">
        <f t="shared" si="19"/>
        <v>67180859.592789218</v>
      </c>
      <c r="O47" s="259">
        <f t="shared" ref="O47:S47" si="20">O45-O46</f>
        <v>69868093.976500794</v>
      </c>
      <c r="P47" s="259">
        <f t="shared" si="20"/>
        <v>72103872.983748823</v>
      </c>
      <c r="Q47" s="259">
        <f t="shared" si="20"/>
        <v>74122781.427293777</v>
      </c>
      <c r="R47" s="259">
        <f t="shared" si="20"/>
        <v>76198219.307258025</v>
      </c>
      <c r="S47" s="259">
        <f t="shared" si="20"/>
        <v>78331769.447861239</v>
      </c>
      <c r="T47" s="2"/>
      <c r="U47" s="2"/>
    </row>
    <row r="48" spans="1:21" s="57" customFormat="1" ht="15" customHeight="1" outlineLevel="1">
      <c r="B48" s="151"/>
      <c r="C48" s="278"/>
      <c r="D48" s="136"/>
      <c r="E48" s="136"/>
      <c r="F48" s="346"/>
      <c r="G48" s="346"/>
      <c r="H48" s="346"/>
      <c r="I48" s="346"/>
      <c r="J48" s="346"/>
      <c r="K48" s="259"/>
      <c r="L48" s="259"/>
      <c r="M48" s="259"/>
      <c r="N48" s="259"/>
      <c r="O48" s="259"/>
      <c r="P48" s="259"/>
      <c r="Q48" s="259"/>
      <c r="R48" s="259"/>
      <c r="S48" s="259"/>
      <c r="T48" s="2"/>
      <c r="U48" s="2"/>
    </row>
    <row r="49" spans="2:21" s="57" customFormat="1" ht="15" customHeight="1" outlineLevel="1">
      <c r="B49" s="135"/>
      <c r="C49" s="136"/>
      <c r="D49" s="136"/>
      <c r="E49" s="136"/>
      <c r="F49" s="347"/>
      <c r="G49" s="347"/>
      <c r="H49" s="347"/>
      <c r="I49" s="347"/>
      <c r="J49" s="347"/>
      <c r="K49" s="346"/>
      <c r="L49" s="346"/>
      <c r="M49" s="346"/>
      <c r="N49" s="346"/>
      <c r="O49" s="346"/>
      <c r="P49" s="346"/>
      <c r="Q49" s="346"/>
      <c r="R49" s="346"/>
      <c r="S49" s="346"/>
      <c r="T49" s="2"/>
      <c r="U49" s="2"/>
    </row>
    <row r="50" spans="2:21" s="57" customFormat="1" ht="15" customHeight="1" outlineLevel="1">
      <c r="B50" s="135" t="s">
        <v>210</v>
      </c>
      <c r="C50" s="136"/>
      <c r="D50" s="206"/>
      <c r="E50" s="206"/>
      <c r="F50" s="678">
        <v>4873000</v>
      </c>
      <c r="G50" s="678">
        <v>6313000</v>
      </c>
      <c r="H50" s="678">
        <v>6537000</v>
      </c>
      <c r="I50" s="678">
        <v>8061000</v>
      </c>
      <c r="J50" s="678">
        <v>9033000</v>
      </c>
      <c r="K50" s="260">
        <f>J50*(1+K$40)</f>
        <v>9512652.2999999989</v>
      </c>
      <c r="L50" s="260">
        <f t="shared" ref="L50:N51" si="21">K50*(1+L$40)</f>
        <v>9923598.8793599978</v>
      </c>
      <c r="M50" s="260">
        <f t="shared" si="21"/>
        <v>10260008.881370302</v>
      </c>
      <c r="N50" s="260">
        <f t="shared" si="21"/>
        <v>10563705.144258864</v>
      </c>
      <c r="O50" s="260">
        <f t="shared" ref="O50:O51" si="22">N50*(1+O$40)</f>
        <v>10876390.816528928</v>
      </c>
      <c r="P50" s="260">
        <f t="shared" ref="P50:P51" si="23">O50*(1+P$40)</f>
        <v>11198331.984698184</v>
      </c>
      <c r="Q50" s="260">
        <f t="shared" ref="Q50:Q51" si="24">P50*(1+Q$40)</f>
        <v>11529802.61144525</v>
      </c>
      <c r="R50" s="260">
        <f t="shared" ref="R50:R51" si="25">Q50*(1+R$40)</f>
        <v>11871084.768744031</v>
      </c>
      <c r="S50" s="260">
        <f t="shared" ref="S50:S51" si="26">R50*(1+S$40)</f>
        <v>12222468.877898855</v>
      </c>
      <c r="T50" s="2"/>
      <c r="U50" s="2"/>
    </row>
    <row r="51" spans="2:21" s="57" customFormat="1" ht="15" customHeight="1" outlineLevel="1">
      <c r="B51" s="135" t="s">
        <v>209</v>
      </c>
      <c r="C51" s="136"/>
      <c r="D51" s="136"/>
      <c r="E51" s="136"/>
      <c r="F51" s="679">
        <v>245000</v>
      </c>
      <c r="G51" s="679">
        <v>466000</v>
      </c>
      <c r="H51" s="679">
        <v>1926000</v>
      </c>
      <c r="I51" s="679">
        <v>5690000</v>
      </c>
      <c r="J51" s="679">
        <v>10432000</v>
      </c>
      <c r="K51" s="345">
        <f>J51*(1+K$40)</f>
        <v>10985939.199999999</v>
      </c>
      <c r="L51" s="345">
        <f t="shared" si="21"/>
        <v>11460531.773439998</v>
      </c>
      <c r="M51" s="345">
        <f t="shared" si="21"/>
        <v>11849043.800559614</v>
      </c>
      <c r="N51" s="345">
        <f t="shared" si="21"/>
        <v>12199775.497056179</v>
      </c>
      <c r="O51" s="345">
        <f t="shared" si="22"/>
        <v>12560888.851769043</v>
      </c>
      <c r="P51" s="345">
        <f t="shared" si="23"/>
        <v>12932691.161781408</v>
      </c>
      <c r="Q51" s="345">
        <f t="shared" si="24"/>
        <v>13315498.820170138</v>
      </c>
      <c r="R51" s="345">
        <f t="shared" si="25"/>
        <v>13709637.585247176</v>
      </c>
      <c r="S51" s="345">
        <f t="shared" si="26"/>
        <v>14115442.857770493</v>
      </c>
      <c r="T51" s="2"/>
    </row>
    <row r="52" spans="2:21" s="57" customFormat="1" ht="15" customHeight="1" outlineLevel="1">
      <c r="B52" s="151" t="s">
        <v>119</v>
      </c>
      <c r="C52" s="278"/>
      <c r="D52" s="136"/>
      <c r="E52" s="136"/>
      <c r="F52" s="259">
        <f t="shared" ref="F52:G52" si="27">F47-SUM(F50:F51)</f>
        <v>19370000</v>
      </c>
      <c r="G52" s="259">
        <f t="shared" si="27"/>
        <v>34023000</v>
      </c>
      <c r="H52" s="259">
        <f>H47-SUM(H50:H51)</f>
        <v>56525000</v>
      </c>
      <c r="I52" s="259">
        <f t="shared" ref="I52:N52" si="28">I47-SUM(I50:I51)</f>
        <v>40223000</v>
      </c>
      <c r="J52" s="259">
        <f t="shared" si="28"/>
        <v>26507000</v>
      </c>
      <c r="K52" s="259">
        <f t="shared" si="28"/>
        <v>31718227.70000001</v>
      </c>
      <c r="L52" s="259">
        <f t="shared" si="28"/>
        <v>36680972.297600016</v>
      </c>
      <c r="M52" s="259">
        <f t="shared" si="28"/>
        <v>41994820.975311704</v>
      </c>
      <c r="N52" s="259">
        <f t="shared" si="28"/>
        <v>44417378.951474175</v>
      </c>
      <c r="O52" s="259">
        <f t="shared" ref="O52:S52" si="29">O47-SUM(O50:O51)</f>
        <v>46430814.308202825</v>
      </c>
      <c r="P52" s="259">
        <f t="shared" si="29"/>
        <v>47972849.837269232</v>
      </c>
      <c r="Q52" s="259">
        <f t="shared" si="29"/>
        <v>49277479.995678388</v>
      </c>
      <c r="R52" s="259">
        <f t="shared" si="29"/>
        <v>50617496.953266814</v>
      </c>
      <c r="S52" s="259">
        <f t="shared" si="29"/>
        <v>51993857.712191895</v>
      </c>
      <c r="T52" s="2"/>
    </row>
    <row r="53" spans="2:21" s="57" customFormat="1" ht="15" customHeight="1" outlineLevel="1">
      <c r="B53" s="151"/>
      <c r="C53" s="278"/>
      <c r="D53" s="136"/>
      <c r="E53" s="136"/>
      <c r="F53" s="346"/>
      <c r="G53" s="346"/>
      <c r="H53" s="346"/>
      <c r="I53" s="346"/>
      <c r="J53" s="346"/>
      <c r="K53" s="259"/>
      <c r="L53" s="259"/>
      <c r="M53" s="259"/>
      <c r="N53" s="259"/>
      <c r="O53" s="259"/>
      <c r="P53" s="259"/>
      <c r="Q53" s="259"/>
      <c r="R53" s="259"/>
      <c r="S53" s="259"/>
      <c r="T53" s="2"/>
    </row>
    <row r="54" spans="2:21" s="57" customFormat="1" ht="15" customHeight="1" outlineLevel="1">
      <c r="B54" s="135"/>
      <c r="C54" s="136"/>
      <c r="D54" s="136"/>
      <c r="E54" s="136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259"/>
      <c r="R54" s="259"/>
      <c r="S54" s="259"/>
      <c r="T54" s="2"/>
    </row>
    <row r="55" spans="2:21" s="57" customFormat="1" ht="15" customHeight="1" outlineLevel="1">
      <c r="B55" s="135" t="s">
        <v>208</v>
      </c>
      <c r="C55" s="136"/>
      <c r="D55" s="136"/>
      <c r="E55" s="136"/>
      <c r="F55" s="679">
        <v>653000</v>
      </c>
      <c r="G55" s="679">
        <v>696000</v>
      </c>
      <c r="H55" s="679">
        <v>894000</v>
      </c>
      <c r="I55" s="679">
        <v>732000</v>
      </c>
      <c r="J55" s="679">
        <v>816000</v>
      </c>
      <c r="K55" s="345">
        <f>K149</f>
        <v>8988812.5</v>
      </c>
      <c r="L55" s="345">
        <f t="shared" ref="L55:R55" si="30">L149</f>
        <v>9948412.5</v>
      </c>
      <c r="M55" s="345">
        <f t="shared" si="30"/>
        <v>10924012.5</v>
      </c>
      <c r="N55" s="345">
        <f t="shared" si="30"/>
        <v>11920412.5</v>
      </c>
      <c r="O55" s="345">
        <f t="shared" si="30"/>
        <v>12920012.5</v>
      </c>
      <c r="P55" s="345">
        <f t="shared" si="30"/>
        <v>13410212.5</v>
      </c>
      <c r="Q55" s="345">
        <f t="shared" si="30"/>
        <v>13410212.5</v>
      </c>
      <c r="R55" s="345">
        <f t="shared" si="30"/>
        <v>13410212.5</v>
      </c>
      <c r="S55" s="345">
        <f>Inputs!O24</f>
        <v>19520000</v>
      </c>
      <c r="T55" s="2"/>
    </row>
    <row r="56" spans="2:21" s="57" customFormat="1" ht="15" customHeight="1" outlineLevel="1">
      <c r="B56" s="151" t="s">
        <v>142</v>
      </c>
      <c r="C56" s="278"/>
      <c r="D56" s="136"/>
      <c r="E56" s="136"/>
      <c r="F56" s="259">
        <f t="shared" ref="F56:G56" si="31">F52-F55</f>
        <v>18717000</v>
      </c>
      <c r="G56" s="259">
        <f t="shared" si="31"/>
        <v>33327000</v>
      </c>
      <c r="H56" s="259">
        <f>H52-H55</f>
        <v>55631000</v>
      </c>
      <c r="I56" s="259">
        <f t="shared" ref="I56:M56" si="32">I52-I55</f>
        <v>39491000</v>
      </c>
      <c r="J56" s="259">
        <f t="shared" si="32"/>
        <v>25691000</v>
      </c>
      <c r="K56" s="259">
        <f t="shared" si="32"/>
        <v>22729415.20000001</v>
      </c>
      <c r="L56" s="259">
        <f t="shared" si="32"/>
        <v>26732559.797600016</v>
      </c>
      <c r="M56" s="259">
        <f t="shared" si="32"/>
        <v>31070808.475311704</v>
      </c>
      <c r="N56" s="259">
        <f>N52-N55</f>
        <v>32496966.451474175</v>
      </c>
      <c r="O56" s="259">
        <f t="shared" ref="O56:S56" si="33">O52-O55</f>
        <v>33510801.808202825</v>
      </c>
      <c r="P56" s="259">
        <f t="shared" si="33"/>
        <v>34562637.337269232</v>
      </c>
      <c r="Q56" s="259">
        <f t="shared" si="33"/>
        <v>35867267.495678388</v>
      </c>
      <c r="R56" s="259">
        <f t="shared" si="33"/>
        <v>37207284.453266814</v>
      </c>
      <c r="S56" s="259">
        <f t="shared" si="33"/>
        <v>32473857.712191895</v>
      </c>
      <c r="T56" s="2"/>
    </row>
    <row r="57" spans="2:21" s="57" customFormat="1" ht="15" customHeight="1" outlineLevel="1">
      <c r="B57" s="151"/>
      <c r="C57" s="278"/>
      <c r="D57" s="136"/>
      <c r="E57" s="136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259"/>
      <c r="Q57" s="259"/>
      <c r="R57" s="259"/>
      <c r="S57" s="259"/>
      <c r="T57" s="2"/>
    </row>
    <row r="58" spans="2:21" s="57" customFormat="1" ht="15" customHeight="1" outlineLevel="1">
      <c r="B58" s="135" t="s">
        <v>207</v>
      </c>
      <c r="C58" s="136"/>
      <c r="D58" s="136"/>
      <c r="E58" s="136"/>
      <c r="F58" s="679">
        <v>16738000</v>
      </c>
      <c r="G58" s="679">
        <v>5102000</v>
      </c>
      <c r="H58" s="679">
        <v>2106000</v>
      </c>
      <c r="I58" s="679">
        <v>4095000</v>
      </c>
      <c r="J58" s="679">
        <v>14549000</v>
      </c>
      <c r="K58" s="345">
        <f>$C$42</f>
        <v>2520000</v>
      </c>
      <c r="L58" s="345">
        <f t="shared" ref="L58:S58" si="34">$C$42</f>
        <v>2520000</v>
      </c>
      <c r="M58" s="345">
        <f t="shared" si="34"/>
        <v>2520000</v>
      </c>
      <c r="N58" s="345">
        <f t="shared" si="34"/>
        <v>2520000</v>
      </c>
      <c r="O58" s="345">
        <f t="shared" si="34"/>
        <v>2520000</v>
      </c>
      <c r="P58" s="345">
        <f t="shared" si="34"/>
        <v>2520000</v>
      </c>
      <c r="Q58" s="345">
        <f t="shared" si="34"/>
        <v>2520000</v>
      </c>
      <c r="R58" s="345">
        <f t="shared" si="34"/>
        <v>2520000</v>
      </c>
      <c r="S58" s="345">
        <f t="shared" si="34"/>
        <v>2520000</v>
      </c>
      <c r="T58" s="2"/>
      <c r="U58" s="2"/>
    </row>
    <row r="59" spans="2:21" s="57" customFormat="1" ht="15" customHeight="1" outlineLevel="1">
      <c r="B59" s="151" t="s">
        <v>140</v>
      </c>
      <c r="C59" s="278"/>
      <c r="D59" s="136"/>
      <c r="E59" s="136"/>
      <c r="F59" s="259">
        <f t="shared" ref="F59:G59" si="35">F56-F58</f>
        <v>1979000</v>
      </c>
      <c r="G59" s="259">
        <f t="shared" si="35"/>
        <v>28225000</v>
      </c>
      <c r="H59" s="259">
        <f t="shared" ref="H59:N59" si="36">H56-H58</f>
        <v>53525000</v>
      </c>
      <c r="I59" s="259">
        <f t="shared" si="36"/>
        <v>35396000</v>
      </c>
      <c r="J59" s="259">
        <f t="shared" si="36"/>
        <v>11142000</v>
      </c>
      <c r="K59" s="259">
        <f t="shared" si="36"/>
        <v>20209415.20000001</v>
      </c>
      <c r="L59" s="259">
        <f t="shared" si="36"/>
        <v>24212559.797600016</v>
      </c>
      <c r="M59" s="259">
        <f t="shared" si="36"/>
        <v>28550808.475311704</v>
      </c>
      <c r="N59" s="259">
        <f t="shared" si="36"/>
        <v>29976966.451474175</v>
      </c>
      <c r="O59" s="259">
        <f t="shared" ref="O59:S59" si="37">O56-O58</f>
        <v>30990801.808202825</v>
      </c>
      <c r="P59" s="259">
        <f t="shared" si="37"/>
        <v>32042637.337269232</v>
      </c>
      <c r="Q59" s="259">
        <f t="shared" si="37"/>
        <v>33347267.495678388</v>
      </c>
      <c r="R59" s="259">
        <f t="shared" si="37"/>
        <v>34687284.453266814</v>
      </c>
      <c r="S59" s="259">
        <f t="shared" si="37"/>
        <v>29953857.712191895</v>
      </c>
      <c r="T59" s="2"/>
      <c r="U59" s="2"/>
    </row>
    <row r="60" spans="2:21" s="57" customFormat="1" ht="15" customHeight="1" outlineLevel="1">
      <c r="B60" s="151"/>
      <c r="C60" s="278"/>
      <c r="D60" s="136"/>
      <c r="E60" s="136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"/>
      <c r="U60" s="2"/>
    </row>
    <row r="61" spans="2:21" s="57" customFormat="1" ht="15" customHeight="1" outlineLevel="1">
      <c r="B61" s="135" t="s">
        <v>206</v>
      </c>
      <c r="C61" s="136"/>
      <c r="D61" s="136"/>
      <c r="E61" s="136"/>
      <c r="F61" s="678">
        <v>-1174000</v>
      </c>
      <c r="G61" s="678">
        <v>8239000</v>
      </c>
      <c r="H61" s="678">
        <v>16770000</v>
      </c>
      <c r="I61" s="678">
        <v>10401000</v>
      </c>
      <c r="J61" s="678">
        <v>3537000</v>
      </c>
      <c r="K61" s="260">
        <f>K218</f>
        <v>4463413.4180000033</v>
      </c>
      <c r="L61" s="260">
        <f>L218</f>
        <v>5991552.1811840059</v>
      </c>
      <c r="M61" s="260">
        <f>M218</f>
        <v>7646625.4916059803</v>
      </c>
      <c r="N61" s="260">
        <f t="shared" ref="L61:N62" si="38">N218</f>
        <v>8320189.2495012209</v>
      </c>
      <c r="O61" s="260">
        <f t="shared" ref="O61:R61" si="39">O218</f>
        <v>8873903.2098889612</v>
      </c>
      <c r="P61" s="260">
        <f t="shared" si="39"/>
        <v>9308797.3380065393</v>
      </c>
      <c r="Q61" s="260">
        <f t="shared" si="39"/>
        <v>9678627.3328654021</v>
      </c>
      <c r="R61" s="260">
        <f t="shared" si="39"/>
        <v>10071550.478295255</v>
      </c>
      <c r="S61" s="260">
        <f>S59*C43</f>
        <v>10184311.622145245</v>
      </c>
      <c r="T61" s="2"/>
      <c r="U61" s="2"/>
    </row>
    <row r="62" spans="2:21" s="57" customFormat="1" ht="15" customHeight="1" outlineLevel="1">
      <c r="B62" s="135" t="s">
        <v>205</v>
      </c>
      <c r="C62" s="136"/>
      <c r="D62" s="136"/>
      <c r="E62" s="136"/>
      <c r="F62" s="212">
        <v>0</v>
      </c>
      <c r="G62" s="212">
        <v>0</v>
      </c>
      <c r="H62" s="212">
        <v>0</v>
      </c>
      <c r="I62" s="212">
        <v>0</v>
      </c>
      <c r="J62" s="212">
        <v>0</v>
      </c>
      <c r="K62" s="345">
        <f>K219</f>
        <v>2407787.7500000009</v>
      </c>
      <c r="L62" s="345">
        <f t="shared" si="38"/>
        <v>2240718.1500000004</v>
      </c>
      <c r="M62" s="345">
        <f t="shared" si="38"/>
        <v>2060649.3900000006</v>
      </c>
      <c r="N62" s="345">
        <f t="shared" si="38"/>
        <v>1871979.3439999986</v>
      </c>
      <c r="O62" s="345">
        <f t="shared" ref="O62:S62" si="40">O219</f>
        <v>1662969.4048999995</v>
      </c>
      <c r="P62" s="345">
        <f t="shared" si="40"/>
        <v>1585699.3566650003</v>
      </c>
      <c r="Q62" s="345">
        <f t="shared" si="40"/>
        <v>1659443.6156652514</v>
      </c>
      <c r="R62" s="345">
        <f t="shared" si="40"/>
        <v>1722126.2358154617</v>
      </c>
      <c r="S62" s="345">
        <f t="shared" si="40"/>
        <v>0</v>
      </c>
      <c r="T62" s="2"/>
      <c r="U62" s="2"/>
    </row>
    <row r="63" spans="2:21" s="57" customFormat="1" ht="15" customHeight="1" outlineLevel="1">
      <c r="B63" s="135" t="s">
        <v>204</v>
      </c>
      <c r="C63" s="136"/>
      <c r="D63" s="136"/>
      <c r="E63" s="136"/>
      <c r="F63" s="204">
        <f t="shared" ref="F63:G63" si="41">SUM(F61:F62)</f>
        <v>-1174000</v>
      </c>
      <c r="G63" s="204">
        <f t="shared" si="41"/>
        <v>8239000</v>
      </c>
      <c r="H63" s="204">
        <f t="shared" ref="H63:N63" si="42">SUM(H61:H62)</f>
        <v>16770000</v>
      </c>
      <c r="I63" s="204">
        <f>SUM(I61:I62)</f>
        <v>10401000</v>
      </c>
      <c r="J63" s="204">
        <f t="shared" si="42"/>
        <v>3537000</v>
      </c>
      <c r="K63" s="204">
        <f t="shared" si="42"/>
        <v>6871201.1680000043</v>
      </c>
      <c r="L63" s="204">
        <f t="shared" si="42"/>
        <v>8232270.3311840063</v>
      </c>
      <c r="M63" s="204">
        <f t="shared" si="42"/>
        <v>9707274.8816059809</v>
      </c>
      <c r="N63" s="204">
        <f t="shared" si="42"/>
        <v>10192168.59350122</v>
      </c>
      <c r="O63" s="204">
        <f t="shared" ref="O63:S63" si="43">SUM(O61:O62)</f>
        <v>10536872.614788961</v>
      </c>
      <c r="P63" s="204">
        <f t="shared" si="43"/>
        <v>10894496.69467154</v>
      </c>
      <c r="Q63" s="204">
        <f t="shared" si="43"/>
        <v>11338070.948530653</v>
      </c>
      <c r="R63" s="204">
        <f t="shared" si="43"/>
        <v>11793676.714110717</v>
      </c>
      <c r="S63" s="204">
        <f t="shared" si="43"/>
        <v>10184311.622145245</v>
      </c>
      <c r="T63" s="2"/>
      <c r="U63" s="2"/>
    </row>
    <row r="64" spans="2:21" s="57" customFormat="1" ht="15" customHeight="1" outlineLevel="1">
      <c r="B64" s="135"/>
      <c r="C64" s="136"/>
      <c r="D64" s="136"/>
      <c r="E64" s="136"/>
      <c r="F64" s="344"/>
      <c r="G64" s="344"/>
      <c r="H64" s="344"/>
      <c r="I64" s="344"/>
      <c r="J64" s="344"/>
      <c r="K64" s="343"/>
      <c r="L64" s="343"/>
      <c r="M64" s="343"/>
      <c r="N64" s="343"/>
      <c r="O64" s="343"/>
      <c r="P64" s="343"/>
      <c r="Q64" s="343"/>
      <c r="R64" s="343"/>
      <c r="S64" s="343"/>
      <c r="T64" s="2"/>
      <c r="U64" s="2"/>
    </row>
    <row r="65" spans="1:21" s="57" customFormat="1" ht="15" customHeight="1" outlineLevel="1" thickBot="1">
      <c r="B65" s="151" t="s">
        <v>135</v>
      </c>
      <c r="C65" s="278"/>
      <c r="D65" s="136"/>
      <c r="E65" s="136"/>
      <c r="F65" s="342">
        <f>F59-F63</f>
        <v>3153000</v>
      </c>
      <c r="G65" s="342">
        <f>G59-G63</f>
        <v>19986000</v>
      </c>
      <c r="H65" s="342">
        <f>H59-H63</f>
        <v>36755000</v>
      </c>
      <c r="I65" s="342">
        <f t="shared" ref="I65:N65" si="44">I59-I63</f>
        <v>24995000</v>
      </c>
      <c r="J65" s="342">
        <f t="shared" si="44"/>
        <v>7605000</v>
      </c>
      <c r="K65" s="342">
        <f t="shared" si="44"/>
        <v>13338214.032000005</v>
      </c>
      <c r="L65" s="342">
        <f>L59-L63</f>
        <v>15980289.466416009</v>
      </c>
      <c r="M65" s="342">
        <f t="shared" si="44"/>
        <v>18843533.593705721</v>
      </c>
      <c r="N65" s="342">
        <f t="shared" si="44"/>
        <v>19784797.857972957</v>
      </c>
      <c r="O65" s="342">
        <f t="shared" ref="O65:S65" si="45">O59-O63</f>
        <v>20453929.193413865</v>
      </c>
      <c r="P65" s="342">
        <f t="shared" si="45"/>
        <v>21148140.64259769</v>
      </c>
      <c r="Q65" s="342">
        <f t="shared" si="45"/>
        <v>22009196.547147736</v>
      </c>
      <c r="R65" s="342">
        <f t="shared" si="45"/>
        <v>22893607.739156097</v>
      </c>
      <c r="S65" s="342">
        <f t="shared" si="45"/>
        <v>19769546.090046652</v>
      </c>
      <c r="T65" s="2"/>
      <c r="U65" s="2"/>
    </row>
    <row r="66" spans="1:21" s="57" customFormat="1" ht="15" customHeight="1" outlineLevel="1">
      <c r="B66" s="278"/>
      <c r="C66" s="278"/>
      <c r="D66" s="136"/>
      <c r="E66" s="136"/>
      <c r="F66" s="136"/>
      <c r="G66" s="136"/>
      <c r="H66" s="341"/>
      <c r="I66" s="341"/>
      <c r="J66" s="341"/>
      <c r="K66" s="341"/>
      <c r="L66" s="341"/>
      <c r="M66" s="341"/>
      <c r="N66" s="341"/>
      <c r="O66" s="341"/>
      <c r="P66" s="340"/>
      <c r="T66" s="2"/>
      <c r="U66" s="2"/>
    </row>
    <row r="67" spans="1:21" s="57" customFormat="1" ht="15" customHeight="1" outlineLevel="1">
      <c r="B67" s="243"/>
      <c r="C67" s="243"/>
      <c r="D67" s="242"/>
      <c r="E67" s="242"/>
      <c r="F67" s="242"/>
      <c r="G67" s="242"/>
      <c r="H67" s="339"/>
      <c r="I67" s="339"/>
      <c r="J67" s="339"/>
      <c r="K67" s="339"/>
      <c r="L67" s="339"/>
      <c r="M67" s="339"/>
      <c r="N67" s="339"/>
      <c r="O67" s="339"/>
      <c r="P67" s="339"/>
      <c r="T67" s="2"/>
      <c r="U67" s="2"/>
    </row>
    <row r="68" spans="1:21" s="57" customFormat="1" ht="15" customHeight="1">
      <c r="B68" s="59"/>
      <c r="C68" s="63"/>
      <c r="D68" s="323"/>
      <c r="E68" s="323"/>
      <c r="F68" s="323"/>
      <c r="G68" s="136"/>
      <c r="H68" s="141"/>
      <c r="I68" s="141"/>
      <c r="J68" s="141"/>
      <c r="K68" s="141"/>
      <c r="L68" s="141"/>
      <c r="M68" s="141"/>
      <c r="N68" s="141"/>
      <c r="O68" s="141"/>
      <c r="P68" s="141"/>
      <c r="Q68" s="53"/>
      <c r="T68" s="2"/>
      <c r="U68" s="2"/>
    </row>
    <row r="69" spans="1:21" s="86" customFormat="1" ht="15" customHeight="1">
      <c r="A69" s="86" t="s">
        <v>0</v>
      </c>
      <c r="B69" s="476" t="s">
        <v>203</v>
      </c>
      <c r="C69" s="476"/>
      <c r="D69" s="476"/>
      <c r="E69" s="476"/>
      <c r="F69" s="476"/>
      <c r="G69" s="476"/>
      <c r="H69" s="476"/>
      <c r="I69" s="476"/>
      <c r="J69" s="476"/>
      <c r="K69" s="476"/>
      <c r="L69" s="476"/>
      <c r="M69" s="476"/>
      <c r="N69" s="476"/>
      <c r="O69" s="476"/>
      <c r="P69" s="476"/>
      <c r="Q69" s="476"/>
      <c r="R69" s="476"/>
      <c r="S69" s="476"/>
      <c r="T69" s="2"/>
      <c r="U69" s="2"/>
    </row>
    <row r="70" spans="1:21" s="86" customFormat="1" ht="15" customHeight="1" outlineLevel="1">
      <c r="B70" s="148"/>
      <c r="C70" s="93"/>
      <c r="D70" s="92"/>
      <c r="E70" s="92"/>
      <c r="F70" s="92"/>
      <c r="G70" s="92"/>
      <c r="H70" s="91"/>
      <c r="I70" s="91"/>
      <c r="J70" s="91"/>
      <c r="K70" s="91"/>
      <c r="L70" s="91"/>
      <c r="M70" s="91"/>
      <c r="N70" s="91"/>
      <c r="O70" s="91"/>
      <c r="Q70" s="197"/>
      <c r="T70" s="2"/>
      <c r="U70" s="2"/>
    </row>
    <row r="71" spans="1:21" s="86" customFormat="1" ht="15" customHeight="1" outlineLevel="1" thickBot="1">
      <c r="B71" s="77" t="s">
        <v>22</v>
      </c>
      <c r="C71" s="93"/>
      <c r="D71" s="87"/>
      <c r="E71" s="87"/>
      <c r="F71" s="560">
        <f t="shared" ref="F71:R71" si="46">F$5</f>
        <v>2020</v>
      </c>
      <c r="G71" s="560">
        <f t="shared" si="46"/>
        <v>2021</v>
      </c>
      <c r="H71" s="560">
        <f t="shared" si="46"/>
        <v>2022</v>
      </c>
      <c r="I71" s="560">
        <f t="shared" si="46"/>
        <v>2023</v>
      </c>
      <c r="J71" s="560">
        <f t="shared" si="46"/>
        <v>2024</v>
      </c>
      <c r="K71" s="488">
        <f t="shared" si="46"/>
        <v>2025</v>
      </c>
      <c r="L71" s="488">
        <f t="shared" si="46"/>
        <v>2026</v>
      </c>
      <c r="M71" s="488">
        <f t="shared" si="46"/>
        <v>2027</v>
      </c>
      <c r="N71" s="488">
        <f t="shared" si="46"/>
        <v>2028</v>
      </c>
      <c r="O71" s="488">
        <f t="shared" si="46"/>
        <v>2029</v>
      </c>
      <c r="P71" s="488">
        <f t="shared" si="46"/>
        <v>2030</v>
      </c>
      <c r="Q71" s="488">
        <f t="shared" si="46"/>
        <v>2031</v>
      </c>
      <c r="R71" s="488">
        <f t="shared" si="46"/>
        <v>2032</v>
      </c>
      <c r="S71" s="579" t="s">
        <v>94</v>
      </c>
      <c r="T71" s="2"/>
      <c r="U71" s="2"/>
    </row>
    <row r="72" spans="1:21" ht="15" customHeight="1" outlineLevel="1">
      <c r="A72" s="57"/>
      <c r="B72" s="77" t="str">
        <f>$B$6</f>
        <v>Model Running: Base Case Drivers</v>
      </c>
      <c r="C72" s="93"/>
      <c r="D72" s="87"/>
      <c r="E72" s="87"/>
      <c r="F72" s="87"/>
      <c r="G72" s="87"/>
      <c r="H72" s="87"/>
      <c r="I72" s="87"/>
      <c r="J72" s="87"/>
      <c r="K72" s="89"/>
      <c r="L72" s="89"/>
      <c r="M72" s="89"/>
      <c r="N72" s="89"/>
      <c r="O72" s="89"/>
      <c r="P72" s="89"/>
    </row>
    <row r="73" spans="1:21" s="86" customFormat="1" ht="15" customHeight="1" outlineLevel="1">
      <c r="B73" s="77"/>
      <c r="C73" s="93"/>
      <c r="D73" s="87"/>
      <c r="E73" s="87"/>
      <c r="F73" s="87"/>
      <c r="G73" s="87"/>
      <c r="H73" s="87"/>
      <c r="I73" s="87"/>
      <c r="J73" s="87"/>
      <c r="Q73" s="197"/>
      <c r="T73" s="2"/>
      <c r="U73" s="2"/>
    </row>
    <row r="74" spans="1:21" s="57" customFormat="1" ht="15" customHeight="1" outlineLevel="1">
      <c r="B74" s="135" t="s">
        <v>45</v>
      </c>
      <c r="C74" s="63"/>
      <c r="D74" s="323"/>
      <c r="E74" s="323"/>
      <c r="F74" s="221">
        <f t="shared" ref="F74:H74" si="47">F$8</f>
        <v>365</v>
      </c>
      <c r="G74" s="221">
        <f t="shared" si="47"/>
        <v>365</v>
      </c>
      <c r="H74" s="221">
        <f t="shared" si="47"/>
        <v>365</v>
      </c>
      <c r="I74" s="221">
        <f t="shared" ref="I74:S74" si="48">I$8</f>
        <v>365</v>
      </c>
      <c r="J74" s="221">
        <f t="shared" si="48"/>
        <v>365</v>
      </c>
      <c r="K74" s="221">
        <f t="shared" si="48"/>
        <v>365</v>
      </c>
      <c r="L74" s="221">
        <f t="shared" si="48"/>
        <v>365</v>
      </c>
      <c r="M74" s="221">
        <f t="shared" si="48"/>
        <v>365</v>
      </c>
      <c r="N74" s="221">
        <f t="shared" si="48"/>
        <v>365</v>
      </c>
      <c r="O74" s="221">
        <f t="shared" si="48"/>
        <v>365</v>
      </c>
      <c r="P74" s="221">
        <f t="shared" si="48"/>
        <v>365</v>
      </c>
      <c r="Q74" s="221">
        <f t="shared" si="48"/>
        <v>365</v>
      </c>
      <c r="R74" s="221">
        <f t="shared" si="48"/>
        <v>365</v>
      </c>
      <c r="S74" s="221">
        <f t="shared" si="48"/>
        <v>365</v>
      </c>
      <c r="T74" s="2"/>
      <c r="U74" s="2"/>
    </row>
    <row r="75" spans="1:21" s="57" customFormat="1" ht="15" customHeight="1" outlineLevel="1">
      <c r="B75" s="135" t="s">
        <v>202</v>
      </c>
      <c r="C75" s="136"/>
      <c r="D75" s="136"/>
      <c r="E75" s="136"/>
      <c r="F75" s="81">
        <f t="shared" ref="F75:H75" si="49">F45</f>
        <v>53683000</v>
      </c>
      <c r="G75" s="81">
        <f t="shared" si="49"/>
        <v>83966000</v>
      </c>
      <c r="H75" s="81">
        <f t="shared" si="49"/>
        <v>124474000</v>
      </c>
      <c r="I75" s="81">
        <f>I45</f>
        <v>102409000</v>
      </c>
      <c r="J75" s="81">
        <f t="shared" ref="J75:O75" si="50">J45</f>
        <v>91416000</v>
      </c>
      <c r="K75" s="81">
        <f t="shared" si="50"/>
        <v>102385920.00000001</v>
      </c>
      <c r="L75" s="81">
        <f t="shared" si="50"/>
        <v>113853143.04000002</v>
      </c>
      <c r="M75" s="81">
        <f t="shared" si="50"/>
        <v>125693869.91616003</v>
      </c>
      <c r="N75" s="81">
        <f t="shared" si="50"/>
        <v>131727175.67213573</v>
      </c>
      <c r="O75" s="81">
        <f t="shared" si="50"/>
        <v>136996262.69902116</v>
      </c>
      <c r="P75" s="81">
        <f t="shared" ref="P75:R75" si="51">P45</f>
        <v>141380143.10538983</v>
      </c>
      <c r="Q75" s="81">
        <f t="shared" si="51"/>
        <v>145338787.11234075</v>
      </c>
      <c r="R75" s="81">
        <f t="shared" si="51"/>
        <v>149408273.15148631</v>
      </c>
      <c r="S75" s="81">
        <f t="shared" ref="S75" si="52">S45</f>
        <v>153591704.79972792</v>
      </c>
      <c r="T75" s="2"/>
      <c r="U75" s="2"/>
    </row>
    <row r="76" spans="1:21" s="57" customFormat="1" ht="15" customHeight="1" outlineLevel="1">
      <c r="B76" s="135" t="s">
        <v>201</v>
      </c>
      <c r="C76" s="136"/>
      <c r="D76" s="136"/>
      <c r="E76" s="136"/>
      <c r="F76" s="208">
        <f t="shared" ref="F76:H76" si="53">F46</f>
        <v>29195000</v>
      </c>
      <c r="G76" s="208">
        <f t="shared" si="53"/>
        <v>43164000</v>
      </c>
      <c r="H76" s="208">
        <f t="shared" si="53"/>
        <v>59486000</v>
      </c>
      <c r="I76" s="208">
        <f t="shared" ref="I76:O76" si="54">I46</f>
        <v>48435000</v>
      </c>
      <c r="J76" s="208">
        <f t="shared" si="54"/>
        <v>45444000</v>
      </c>
      <c r="K76" s="208">
        <f t="shared" si="54"/>
        <v>50169100.800000004</v>
      </c>
      <c r="L76" s="208">
        <f t="shared" si="54"/>
        <v>55788040.089600012</v>
      </c>
      <c r="M76" s="208">
        <f t="shared" si="54"/>
        <v>61589996.258918412</v>
      </c>
      <c r="N76" s="208">
        <f t="shared" si="54"/>
        <v>64546316.079346508</v>
      </c>
      <c r="O76" s="208">
        <f t="shared" si="54"/>
        <v>67128168.722520366</v>
      </c>
      <c r="P76" s="208">
        <f t="shared" ref="P76:R76" si="55">P46</f>
        <v>69276270.12164101</v>
      </c>
      <c r="Q76" s="208">
        <f t="shared" si="55"/>
        <v>71216005.685046971</v>
      </c>
      <c r="R76" s="208">
        <f t="shared" si="55"/>
        <v>73210053.844228283</v>
      </c>
      <c r="S76" s="208">
        <f t="shared" ref="S76" si="56">S46</f>
        <v>75259935.351866677</v>
      </c>
      <c r="T76" s="2"/>
      <c r="U76" s="2"/>
    </row>
    <row r="77" spans="1:21" s="57" customFormat="1" ht="15" customHeight="1" outlineLevel="1">
      <c r="C77" s="278"/>
      <c r="D77" s="136"/>
      <c r="E77" s="136"/>
      <c r="F77" s="136"/>
      <c r="G77" s="136"/>
      <c r="H77" s="136"/>
      <c r="I77" s="136"/>
      <c r="J77" s="136"/>
      <c r="K77" s="325"/>
      <c r="L77" s="325"/>
      <c r="M77" s="325"/>
      <c r="N77" s="325"/>
      <c r="O77" s="325"/>
      <c r="P77" s="325"/>
      <c r="Q77" s="197"/>
      <c r="T77" s="2"/>
      <c r="U77" s="2"/>
    </row>
    <row r="78" spans="1:21" s="57" customFormat="1" ht="15" customHeight="1" outlineLevel="1">
      <c r="C78" s="278"/>
      <c r="D78" s="136"/>
      <c r="E78" s="136"/>
      <c r="F78" s="136"/>
      <c r="G78" s="136"/>
      <c r="H78" s="136"/>
      <c r="I78" s="136"/>
      <c r="J78" s="136"/>
      <c r="K78" s="325"/>
      <c r="L78" s="325"/>
      <c r="M78" s="325"/>
      <c r="N78" s="325"/>
      <c r="O78" s="325"/>
      <c r="P78" s="325"/>
      <c r="Q78" s="197"/>
      <c r="T78" s="2"/>
      <c r="U78" s="2"/>
    </row>
    <row r="79" spans="1:21" s="57" customFormat="1" ht="15" customHeight="1" outlineLevel="1">
      <c r="B79" s="69" t="s">
        <v>200</v>
      </c>
      <c r="C79" s="278"/>
      <c r="D79" s="136"/>
      <c r="E79" s="136"/>
      <c r="F79" s="136"/>
      <c r="G79" s="136"/>
      <c r="H79" s="136"/>
      <c r="I79" s="136"/>
      <c r="J79" s="136"/>
      <c r="K79" s="325"/>
      <c r="L79" s="325"/>
      <c r="M79" s="325"/>
      <c r="N79" s="325"/>
      <c r="O79" s="325"/>
      <c r="P79" s="325"/>
      <c r="Q79" s="197"/>
      <c r="T79" s="2"/>
      <c r="U79" s="2"/>
    </row>
    <row r="80" spans="1:21" s="57" customFormat="1" ht="15" customHeight="1" outlineLevel="1">
      <c r="B80" s="196" t="s">
        <v>89</v>
      </c>
      <c r="C80" s="136"/>
      <c r="D80" s="323" t="s">
        <v>86</v>
      </c>
      <c r="E80" s="323"/>
      <c r="F80" s="279">
        <f t="shared" ref="F80:G80" si="57">(F86/F75)*F$74</f>
        <v>49.81074083043049</v>
      </c>
      <c r="G80" s="279">
        <f t="shared" si="57"/>
        <v>33.532739442155162</v>
      </c>
      <c r="H80" s="279">
        <f t="shared" ref="H80:J81" si="58">(H86/H75)*H$74</f>
        <v>18.523587255169755</v>
      </c>
      <c r="I80" s="279">
        <f t="shared" si="58"/>
        <v>26.064554873106854</v>
      </c>
      <c r="J80" s="279">
        <f t="shared" si="58"/>
        <v>22.08781832501969</v>
      </c>
      <c r="K80" s="279">
        <f>Inputs!G35</f>
        <v>33.532739442155162</v>
      </c>
      <c r="L80" s="279">
        <f>Inputs!H35</f>
        <v>34</v>
      </c>
      <c r="M80" s="279">
        <f>Inputs!I35</f>
        <v>34</v>
      </c>
      <c r="N80" s="279">
        <f>Inputs!J35</f>
        <v>34</v>
      </c>
      <c r="O80" s="279">
        <f>Inputs!K35</f>
        <v>34</v>
      </c>
      <c r="P80" s="279">
        <f>Inputs!L35</f>
        <v>34</v>
      </c>
      <c r="Q80" s="338">
        <f>Inputs!M35</f>
        <v>34</v>
      </c>
      <c r="R80" s="337">
        <f>Inputs!N35</f>
        <v>34</v>
      </c>
      <c r="S80" s="337">
        <f>Inputs!O35</f>
        <v>34</v>
      </c>
      <c r="T80" s="2"/>
      <c r="U80" s="2"/>
    </row>
    <row r="81" spans="2:21" s="57" customFormat="1" ht="15" customHeight="1" outlineLevel="1">
      <c r="B81" s="196" t="s">
        <v>88</v>
      </c>
      <c r="C81" s="136"/>
      <c r="D81" s="323" t="s">
        <v>86</v>
      </c>
      <c r="E81" s="323"/>
      <c r="F81" s="279">
        <f t="shared" ref="F81:G81" si="59">(F87/F76)*F$74</f>
        <v>70.974653194040073</v>
      </c>
      <c r="G81" s="279">
        <f t="shared" si="59"/>
        <v>61.349156704661297</v>
      </c>
      <c r="H81" s="279">
        <f t="shared" si="58"/>
        <v>53.867044346568939</v>
      </c>
      <c r="I81" s="279">
        <f t="shared" si="58"/>
        <v>57.883039124599982</v>
      </c>
      <c r="J81" s="279">
        <f t="shared" si="58"/>
        <v>53.893803362380076</v>
      </c>
      <c r="K81" s="279">
        <f>Inputs!G36</f>
        <v>60</v>
      </c>
      <c r="L81" s="279">
        <f>Inputs!H36</f>
        <v>60</v>
      </c>
      <c r="M81" s="279">
        <f>Inputs!I36</f>
        <v>60</v>
      </c>
      <c r="N81" s="279">
        <f>Inputs!J36</f>
        <v>60</v>
      </c>
      <c r="O81" s="279">
        <f>Inputs!K36</f>
        <v>60</v>
      </c>
      <c r="P81" s="279">
        <f>Inputs!L36</f>
        <v>60</v>
      </c>
      <c r="Q81" s="336">
        <f>Inputs!M36</f>
        <v>60</v>
      </c>
      <c r="R81" s="335">
        <f>Inputs!N36</f>
        <v>60</v>
      </c>
      <c r="S81" s="335">
        <f>Inputs!O36</f>
        <v>60</v>
      </c>
      <c r="T81" s="2"/>
      <c r="U81" s="2"/>
    </row>
    <row r="82" spans="2:21" s="57" customFormat="1" ht="15" customHeight="1" outlineLevel="1">
      <c r="B82" s="196" t="s">
        <v>87</v>
      </c>
      <c r="C82" s="136"/>
      <c r="D82" s="323" t="s">
        <v>86</v>
      </c>
      <c r="E82" s="323"/>
      <c r="F82" s="279">
        <f t="shared" ref="F82:G82" si="60">(F88/F76)*F$74</f>
        <v>131.91008734372323</v>
      </c>
      <c r="G82" s="279">
        <f t="shared" si="60"/>
        <v>86.39618663701232</v>
      </c>
      <c r="H82" s="279">
        <f>(H88/H76)*H$74</f>
        <v>95.511380829102649</v>
      </c>
      <c r="I82" s="279">
        <f>(I88/I76)*I$74</f>
        <v>104.13069061628988</v>
      </c>
      <c r="J82" s="279">
        <f>(J88/J76)*J$74</f>
        <v>107.81170231493707</v>
      </c>
      <c r="K82" s="279">
        <f>Inputs!G37</f>
        <v>131.91008734372323</v>
      </c>
      <c r="L82" s="279">
        <f>Inputs!H37</f>
        <v>86.39618663701232</v>
      </c>
      <c r="M82" s="279">
        <f>Inputs!I37</f>
        <v>95.511380829102649</v>
      </c>
      <c r="N82" s="279">
        <f>Inputs!J37</f>
        <v>95.511380829102649</v>
      </c>
      <c r="O82" s="279">
        <f>Inputs!K37</f>
        <v>95.511380829102649</v>
      </c>
      <c r="P82" s="279">
        <f>Inputs!L37</f>
        <v>95.511380829102649</v>
      </c>
      <c r="Q82" s="334">
        <f>Inputs!M37</f>
        <v>95.511380829102649</v>
      </c>
      <c r="R82" s="184">
        <f>Inputs!N37</f>
        <v>95.511380829102649</v>
      </c>
      <c r="S82" s="184">
        <f>Inputs!O37</f>
        <v>95.511380829102649</v>
      </c>
      <c r="T82" s="2"/>
      <c r="U82" s="2"/>
    </row>
    <row r="83" spans="2:21" s="57" customFormat="1" ht="15" customHeight="1" outlineLevel="1">
      <c r="C83" s="136"/>
      <c r="D83" s="333"/>
      <c r="E83" s="333"/>
      <c r="F83" s="333"/>
      <c r="G83" s="333"/>
      <c r="H83" s="332"/>
      <c r="I83" s="331"/>
      <c r="J83" s="331"/>
      <c r="K83" s="330"/>
      <c r="L83" s="330"/>
      <c r="M83" s="330"/>
      <c r="N83" s="330"/>
      <c r="O83" s="330"/>
      <c r="P83" s="330"/>
      <c r="Q83" s="338"/>
      <c r="R83" s="337"/>
      <c r="T83" s="2"/>
      <c r="U83" s="2"/>
    </row>
    <row r="84" spans="2:21" s="57" customFormat="1" ht="15" customHeight="1" outlineLevel="1">
      <c r="C84" s="136"/>
      <c r="D84" s="333"/>
      <c r="E84" s="333"/>
      <c r="F84" s="333"/>
      <c r="G84" s="136"/>
      <c r="H84" s="136"/>
      <c r="I84" s="136"/>
      <c r="J84" s="136"/>
      <c r="K84" s="330"/>
      <c r="L84" s="330"/>
      <c r="M84" s="330"/>
      <c r="N84" s="330"/>
      <c r="O84" s="330"/>
      <c r="P84" s="330"/>
      <c r="T84" s="2"/>
      <c r="U84" s="2"/>
    </row>
    <row r="85" spans="2:21" s="57" customFormat="1" ht="15" customHeight="1" outlineLevel="1">
      <c r="B85" s="69" t="s">
        <v>199</v>
      </c>
      <c r="C85" s="278"/>
      <c r="D85" s="136"/>
      <c r="E85" s="136"/>
      <c r="F85" s="136"/>
      <c r="K85" s="325"/>
      <c r="L85" s="325"/>
      <c r="M85" s="325"/>
      <c r="N85" s="325"/>
      <c r="O85" s="325"/>
      <c r="P85" s="325"/>
      <c r="Q85" s="197"/>
      <c r="T85" s="2"/>
      <c r="U85" s="2"/>
    </row>
    <row r="86" spans="2:21" s="57" customFormat="1" ht="15" customHeight="1" outlineLevel="1">
      <c r="B86" s="196" t="s">
        <v>89</v>
      </c>
      <c r="C86" s="136"/>
      <c r="D86" s="136"/>
      <c r="E86" s="136"/>
      <c r="F86" s="676">
        <v>7326000</v>
      </c>
      <c r="G86" s="676">
        <v>7714000</v>
      </c>
      <c r="H86" s="676">
        <v>6317000</v>
      </c>
      <c r="I86" s="676">
        <v>7313000</v>
      </c>
      <c r="J86" s="676">
        <v>5532000</v>
      </c>
      <c r="K86" s="81">
        <f>(K80/K$74)*K75</f>
        <v>9406247.6106995717</v>
      </c>
      <c r="L86" s="81">
        <f t="shared" ref="L86:N87" si="61">(L80/L$74)*L75</f>
        <v>10605498.255780825</v>
      </c>
      <c r="M86" s="81">
        <f t="shared" si="61"/>
        <v>11708470.074382031</v>
      </c>
      <c r="N86" s="81">
        <f t="shared" si="61"/>
        <v>12270476.637952371</v>
      </c>
      <c r="O86" s="81">
        <f t="shared" ref="O86:R86" si="62">(O80/O$74)*O75</f>
        <v>12761295.703470465</v>
      </c>
      <c r="P86" s="81">
        <f t="shared" si="62"/>
        <v>13169657.16598152</v>
      </c>
      <c r="Q86" s="275">
        <f t="shared" si="62"/>
        <v>13538407.566629002</v>
      </c>
      <c r="R86" s="188">
        <f t="shared" si="62"/>
        <v>13917482.978494616</v>
      </c>
      <c r="S86" s="188">
        <f t="shared" ref="S86" si="63">(S80/S$74)*S75</f>
        <v>14307172.501892464</v>
      </c>
      <c r="T86" s="2"/>
      <c r="U86" s="2"/>
    </row>
    <row r="87" spans="2:21" s="57" customFormat="1" ht="15" customHeight="1" outlineLevel="1">
      <c r="B87" s="196" t="s">
        <v>88</v>
      </c>
      <c r="C87" s="136"/>
      <c r="D87" s="136"/>
      <c r="E87" s="136"/>
      <c r="F87" s="676">
        <v>5677000</v>
      </c>
      <c r="G87" s="676">
        <v>7255000</v>
      </c>
      <c r="H87" s="676">
        <v>8779000</v>
      </c>
      <c r="I87" s="676">
        <v>7681000</v>
      </c>
      <c r="J87" s="676">
        <v>6710000</v>
      </c>
      <c r="K87" s="81">
        <f>(K81/K$74)*K76</f>
        <v>8246975.4739726027</v>
      </c>
      <c r="L87" s="81">
        <f t="shared" si="61"/>
        <v>9170636.7270575352</v>
      </c>
      <c r="M87" s="81">
        <f t="shared" si="61"/>
        <v>10124382.946671519</v>
      </c>
      <c r="N87" s="81">
        <f t="shared" si="61"/>
        <v>10610353.328111755</v>
      </c>
      <c r="O87" s="81">
        <f t="shared" ref="O87:R87" si="64">(O81/O$74)*O76</f>
        <v>11034767.461236224</v>
      </c>
      <c r="P87" s="81">
        <f t="shared" si="64"/>
        <v>11387880.019995783</v>
      </c>
      <c r="Q87" s="329">
        <f t="shared" si="64"/>
        <v>11706740.660555666</v>
      </c>
      <c r="R87" s="235">
        <f t="shared" si="64"/>
        <v>12034529.399051223</v>
      </c>
      <c r="S87" s="235">
        <f t="shared" ref="S87" si="65">(S81/S$74)*S76</f>
        <v>12371496.222224658</v>
      </c>
      <c r="T87" s="2"/>
      <c r="U87" s="2"/>
    </row>
    <row r="88" spans="2:21" s="57" customFormat="1" ht="15" customHeight="1" outlineLevel="1">
      <c r="B88" s="196" t="s">
        <v>87</v>
      </c>
      <c r="C88" s="136"/>
      <c r="D88" s="136"/>
      <c r="E88" s="136"/>
      <c r="F88" s="676">
        <v>10551000</v>
      </c>
      <c r="G88" s="676">
        <v>10217000</v>
      </c>
      <c r="H88" s="676">
        <v>15566000</v>
      </c>
      <c r="I88" s="676">
        <v>13818000</v>
      </c>
      <c r="J88" s="676">
        <v>13423000</v>
      </c>
      <c r="K88" s="81">
        <f>(K82/K$74)*K76</f>
        <v>18130987.584887825</v>
      </c>
      <c r="L88" s="81">
        <f t="shared" ref="L88:N88" si="66">(L82/L$74)*L76</f>
        <v>13205134.037518378</v>
      </c>
      <c r="M88" s="81">
        <f t="shared" si="66"/>
        <v>16116563.254653601</v>
      </c>
      <c r="N88" s="81">
        <f t="shared" si="66"/>
        <v>16890158.290876977</v>
      </c>
      <c r="O88" s="81">
        <f t="shared" ref="O88:R88" si="67">(O82/O$74)*O76</f>
        <v>17565764.622512054</v>
      </c>
      <c r="P88" s="81">
        <f t="shared" si="67"/>
        <v>18127869.090432439</v>
      </c>
      <c r="Q88" s="328">
        <f t="shared" si="67"/>
        <v>18635449.424964551</v>
      </c>
      <c r="R88" s="183">
        <f t="shared" si="67"/>
        <v>19157242.008863557</v>
      </c>
      <c r="S88" s="183">
        <f t="shared" ref="S88" si="68">(S82/S$74)*S76</f>
        <v>19693644.785111737</v>
      </c>
      <c r="T88" s="2"/>
      <c r="U88" s="2"/>
    </row>
    <row r="89" spans="2:21" s="57" customFormat="1" ht="15" customHeight="1" outlineLevel="1">
      <c r="C89" s="278"/>
      <c r="D89" s="136"/>
      <c r="E89" s="136"/>
      <c r="F89" s="136"/>
      <c r="G89" s="136"/>
      <c r="H89" s="136"/>
      <c r="I89" s="136"/>
      <c r="J89" s="136"/>
      <c r="K89" s="325"/>
      <c r="L89" s="325"/>
      <c r="M89" s="325"/>
      <c r="N89" s="325"/>
      <c r="O89" s="325"/>
      <c r="P89" s="325"/>
      <c r="Q89" s="197"/>
      <c r="T89" s="2"/>
      <c r="U89" s="2"/>
    </row>
    <row r="90" spans="2:21" s="57" customFormat="1" ht="15" customHeight="1" outlineLevel="1">
      <c r="C90" s="278"/>
      <c r="D90" s="136"/>
      <c r="E90" s="136"/>
      <c r="F90" s="136"/>
      <c r="G90" s="136"/>
      <c r="H90" s="136"/>
      <c r="I90" s="136"/>
      <c r="J90" s="136"/>
      <c r="K90" s="325"/>
      <c r="L90" s="325"/>
      <c r="M90" s="325"/>
      <c r="N90" s="325"/>
      <c r="O90" s="325"/>
      <c r="P90" s="325"/>
      <c r="Q90" s="197"/>
      <c r="T90" s="2"/>
      <c r="U90" s="2"/>
    </row>
    <row r="91" spans="2:21" s="57" customFormat="1" ht="15" customHeight="1" outlineLevel="1">
      <c r="B91" s="69" t="s">
        <v>198</v>
      </c>
      <c r="C91" s="278"/>
      <c r="D91" s="136"/>
      <c r="E91" s="136"/>
      <c r="F91" s="136"/>
      <c r="G91" s="136"/>
      <c r="H91" s="136"/>
      <c r="I91" s="136"/>
      <c r="J91" s="136"/>
      <c r="K91" s="325"/>
      <c r="L91" s="325"/>
      <c r="M91" s="325"/>
      <c r="N91" s="325"/>
      <c r="O91" s="325"/>
      <c r="P91" s="325"/>
      <c r="Q91" s="197"/>
      <c r="T91" s="2"/>
      <c r="U91" s="2"/>
    </row>
    <row r="92" spans="2:21" s="57" customFormat="1" ht="15" customHeight="1" outlineLevel="1">
      <c r="B92" s="196" t="s">
        <v>197</v>
      </c>
      <c r="C92" s="136"/>
      <c r="D92" s="136"/>
      <c r="E92" s="136"/>
      <c r="F92" s="81">
        <f>SUM(F86:F87)</f>
        <v>13003000</v>
      </c>
      <c r="G92" s="81">
        <f t="shared" ref="G92" si="69">SUM(G86:G87)</f>
        <v>14969000</v>
      </c>
      <c r="H92" s="81">
        <f>SUM(H86:H87)</f>
        <v>15096000</v>
      </c>
      <c r="I92" s="81">
        <f t="shared" ref="I92:M92" si="70">SUM(I86:I87)</f>
        <v>14994000</v>
      </c>
      <c r="J92" s="81">
        <f>SUM(J86:J87)</f>
        <v>12242000</v>
      </c>
      <c r="K92" s="81">
        <f t="shared" si="70"/>
        <v>17653223.084672175</v>
      </c>
      <c r="L92" s="81">
        <f t="shared" si="70"/>
        <v>19776134.982838362</v>
      </c>
      <c r="M92" s="81">
        <f t="shared" si="70"/>
        <v>21832853.021053553</v>
      </c>
      <c r="N92" s="81">
        <f>SUM(N86:N87)</f>
        <v>22880829.966064125</v>
      </c>
      <c r="O92" s="81">
        <f t="shared" ref="O92:R92" si="71">SUM(O86:O87)</f>
        <v>23796063.164706688</v>
      </c>
      <c r="P92" s="81">
        <f t="shared" si="71"/>
        <v>24557537.185977302</v>
      </c>
      <c r="Q92" s="275">
        <f t="shared" si="71"/>
        <v>25245148.227184668</v>
      </c>
      <c r="R92" s="188">
        <f t="shared" si="71"/>
        <v>25952012.377545841</v>
      </c>
      <c r="S92" s="188">
        <f t="shared" ref="S92" si="72">SUM(S86:S87)</f>
        <v>26678668.724117123</v>
      </c>
      <c r="T92" s="2"/>
      <c r="U92" s="2"/>
    </row>
    <row r="93" spans="2:21" s="57" customFormat="1" ht="15" customHeight="1" outlineLevel="1">
      <c r="B93" s="196" t="s">
        <v>196</v>
      </c>
      <c r="C93" s="136"/>
      <c r="D93" s="136"/>
      <c r="E93" s="136"/>
      <c r="F93" s="208">
        <f t="shared" ref="F93:G93" si="73">SUM(F88)</f>
        <v>10551000</v>
      </c>
      <c r="G93" s="208">
        <f t="shared" si="73"/>
        <v>10217000</v>
      </c>
      <c r="H93" s="208">
        <f t="shared" ref="H93:M93" si="74">SUM(H88)</f>
        <v>15566000</v>
      </c>
      <c r="I93" s="208">
        <f t="shared" si="74"/>
        <v>13818000</v>
      </c>
      <c r="J93" s="208">
        <f t="shared" si="74"/>
        <v>13423000</v>
      </c>
      <c r="K93" s="208">
        <f t="shared" si="74"/>
        <v>18130987.584887825</v>
      </c>
      <c r="L93" s="208">
        <f t="shared" si="74"/>
        <v>13205134.037518378</v>
      </c>
      <c r="M93" s="208">
        <f t="shared" si="74"/>
        <v>16116563.254653601</v>
      </c>
      <c r="N93" s="208">
        <f>SUM(N88)</f>
        <v>16890158.290876977</v>
      </c>
      <c r="O93" s="208">
        <f t="shared" ref="O93:R93" si="75">SUM(O88)</f>
        <v>17565764.622512054</v>
      </c>
      <c r="P93" s="208">
        <f t="shared" si="75"/>
        <v>18127869.090432439</v>
      </c>
      <c r="Q93" s="328">
        <f t="shared" si="75"/>
        <v>18635449.424964551</v>
      </c>
      <c r="R93" s="183">
        <f t="shared" si="75"/>
        <v>19157242.008863557</v>
      </c>
      <c r="S93" s="183">
        <f t="shared" ref="S93" si="76">SUM(S88)</f>
        <v>19693644.785111737</v>
      </c>
      <c r="T93" s="2"/>
      <c r="U93" s="2"/>
    </row>
    <row r="94" spans="2:21" s="57" customFormat="1" ht="15" customHeight="1" outlineLevel="1">
      <c r="B94" s="196" t="s">
        <v>195</v>
      </c>
      <c r="C94" s="136"/>
      <c r="D94" s="136"/>
      <c r="E94" s="136"/>
      <c r="F94" s="81">
        <f>F92-F93</f>
        <v>2452000</v>
      </c>
      <c r="G94" s="81">
        <f t="shared" ref="G94" si="77">G92-G93</f>
        <v>4752000</v>
      </c>
      <c r="H94" s="81">
        <f t="shared" ref="H94:M94" si="78">H92-H93</f>
        <v>-470000</v>
      </c>
      <c r="I94" s="81">
        <f t="shared" si="78"/>
        <v>1176000</v>
      </c>
      <c r="J94" s="81">
        <f t="shared" si="78"/>
        <v>-1181000</v>
      </c>
      <c r="K94" s="81">
        <f t="shared" si="78"/>
        <v>-477764.5002156496</v>
      </c>
      <c r="L94" s="81">
        <f t="shared" si="78"/>
        <v>6571000.9453199841</v>
      </c>
      <c r="M94" s="81">
        <f t="shared" si="78"/>
        <v>5716289.7663999517</v>
      </c>
      <c r="N94" s="81">
        <f>N92-N93</f>
        <v>5990671.6751871482</v>
      </c>
      <c r="O94" s="81">
        <f t="shared" ref="O94:R94" si="79">O92-O93</f>
        <v>6230298.5421946347</v>
      </c>
      <c r="P94" s="81">
        <f t="shared" si="79"/>
        <v>6429668.0955448635</v>
      </c>
      <c r="Q94" s="328">
        <f t="shared" si="79"/>
        <v>6609698.8022201173</v>
      </c>
      <c r="R94" s="183">
        <f t="shared" si="79"/>
        <v>6794770.3686822839</v>
      </c>
      <c r="S94" s="183">
        <f t="shared" ref="S94" si="80">S92-S93</f>
        <v>6985023.9390053861</v>
      </c>
      <c r="T94" s="2"/>
      <c r="U94" s="2"/>
    </row>
    <row r="95" spans="2:21" s="57" customFormat="1" ht="15" customHeight="1" outlineLevel="1">
      <c r="B95" s="191"/>
      <c r="C95" s="278"/>
      <c r="D95" s="136"/>
      <c r="E95" s="136"/>
      <c r="F95" s="136"/>
      <c r="G95" s="136"/>
      <c r="H95" s="136"/>
      <c r="I95" s="136"/>
      <c r="J95" s="136"/>
      <c r="K95" s="325"/>
      <c r="L95" s="325"/>
      <c r="M95" s="325"/>
      <c r="N95" s="325"/>
      <c r="O95" s="325"/>
      <c r="P95" s="325"/>
      <c r="Q95" s="197"/>
      <c r="T95" s="2"/>
      <c r="U95" s="2"/>
    </row>
    <row r="96" spans="2:21" s="57" customFormat="1" ht="15" customHeight="1" outlineLevel="1">
      <c r="B96" s="191"/>
      <c r="C96" s="278"/>
      <c r="D96" s="136"/>
      <c r="E96" s="136"/>
      <c r="F96" s="136"/>
      <c r="G96" s="136"/>
      <c r="H96" s="136"/>
      <c r="I96" s="136"/>
      <c r="J96" s="136"/>
      <c r="K96" s="325"/>
      <c r="L96" s="325"/>
      <c r="M96" s="325"/>
      <c r="N96" s="325"/>
      <c r="O96" s="325"/>
      <c r="P96" s="325"/>
      <c r="Q96" s="197"/>
      <c r="T96" s="2"/>
      <c r="U96" s="2"/>
    </row>
    <row r="97" spans="1:21" s="57" customFormat="1" ht="15" customHeight="1" outlineLevel="1" thickBot="1">
      <c r="B97" s="327" t="s">
        <v>194</v>
      </c>
      <c r="C97" s="278"/>
      <c r="D97" s="278"/>
      <c r="E97" s="278"/>
      <c r="F97" s="278"/>
      <c r="G97" s="326">
        <f>F94-G94</f>
        <v>-2300000</v>
      </c>
      <c r="H97" s="326">
        <f t="shared" ref="H97" si="81">G94-H94</f>
        <v>5222000</v>
      </c>
      <c r="I97" s="326">
        <f>H94-I94</f>
        <v>-1646000</v>
      </c>
      <c r="J97" s="326">
        <f t="shared" ref="J97:O97" si="82">I94-J94</f>
        <v>2357000</v>
      </c>
      <c r="K97" s="326">
        <f t="shared" si="82"/>
        <v>-703235.4997843504</v>
      </c>
      <c r="L97" s="326">
        <f t="shared" si="82"/>
        <v>-7048765.4455356337</v>
      </c>
      <c r="M97" s="326">
        <f>L94-M94</f>
        <v>854711.17892003246</v>
      </c>
      <c r="N97" s="326">
        <f t="shared" si="82"/>
        <v>-274381.9087871965</v>
      </c>
      <c r="O97" s="326">
        <f t="shared" si="82"/>
        <v>-239626.86700748652</v>
      </c>
      <c r="P97" s="326">
        <f t="shared" ref="P97" si="83">O94-P94</f>
        <v>-199369.55335022882</v>
      </c>
      <c r="Q97" s="326">
        <f t="shared" ref="Q97" si="84">P94-Q94</f>
        <v>-180030.70667525381</v>
      </c>
      <c r="R97" s="326">
        <f t="shared" ref="R97:S97" si="85">Q94-R94</f>
        <v>-185071.56646216661</v>
      </c>
      <c r="S97" s="326">
        <f t="shared" si="85"/>
        <v>-190253.57032310218</v>
      </c>
      <c r="T97" s="2"/>
      <c r="U97" s="2"/>
    </row>
    <row r="98" spans="1:21" s="57" customFormat="1" ht="15" customHeight="1" outlineLevel="1">
      <c r="C98" s="278"/>
      <c r="D98" s="278"/>
      <c r="E98" s="278"/>
      <c r="F98" s="278"/>
      <c r="G98" s="278"/>
      <c r="H98" s="278"/>
      <c r="I98" s="254"/>
      <c r="J98" s="254"/>
      <c r="K98" s="254"/>
      <c r="L98" s="254"/>
      <c r="M98" s="254"/>
      <c r="N98" s="254"/>
      <c r="O98" s="254"/>
      <c r="P98" s="254"/>
      <c r="Q98" s="197"/>
      <c r="T98" s="2"/>
      <c r="U98" s="2"/>
    </row>
    <row r="99" spans="1:21" s="57" customFormat="1" ht="15" customHeight="1" outlineLevel="1">
      <c r="C99" s="278"/>
      <c r="D99" s="278"/>
      <c r="E99" s="278"/>
      <c r="F99" s="278"/>
      <c r="G99" s="278"/>
      <c r="H99" s="278"/>
      <c r="I99" s="254"/>
      <c r="J99" s="254"/>
      <c r="K99" s="254"/>
      <c r="L99" s="254"/>
      <c r="M99" s="254"/>
      <c r="N99" s="254"/>
      <c r="O99" s="254"/>
      <c r="P99" s="254"/>
      <c r="Q99" s="197"/>
      <c r="T99" s="2"/>
      <c r="U99" s="2"/>
    </row>
    <row r="100" spans="1:21" s="86" customFormat="1" ht="15" customHeight="1" outlineLevel="1">
      <c r="C100" s="93"/>
      <c r="D100" s="87"/>
      <c r="E100" s="87"/>
      <c r="F100" s="87"/>
      <c r="G100" s="87"/>
      <c r="H100" s="87"/>
      <c r="I100" s="87"/>
      <c r="J100" s="87"/>
      <c r="K100" s="89"/>
      <c r="L100" s="89"/>
      <c r="M100" s="89"/>
      <c r="P100" s="6" t="s">
        <v>85</v>
      </c>
      <c r="Q100" s="53"/>
      <c r="T100" s="2"/>
      <c r="U100" s="2"/>
    </row>
    <row r="101" spans="1:21" s="57" customFormat="1" ht="15" customHeight="1" outlineLevel="1">
      <c r="B101" s="136"/>
      <c r="C101" s="136"/>
      <c r="D101" s="325"/>
      <c r="E101" s="325"/>
      <c r="F101" s="325"/>
      <c r="G101" s="325"/>
      <c r="H101" s="325"/>
      <c r="I101" s="325"/>
      <c r="J101" s="325"/>
      <c r="K101" s="325"/>
      <c r="L101" s="325"/>
      <c r="M101" s="325"/>
      <c r="N101" s="325"/>
      <c r="O101" s="136"/>
      <c r="Q101" s="197"/>
      <c r="T101" s="2"/>
      <c r="U101" s="2"/>
    </row>
    <row r="102" spans="1:21" s="57" customFormat="1" ht="15" customHeight="1" outlineLevel="1">
      <c r="B102" s="324"/>
      <c r="C102" s="324"/>
      <c r="D102" s="324"/>
      <c r="E102" s="324"/>
      <c r="F102" s="324"/>
      <c r="G102" s="324"/>
      <c r="H102" s="324"/>
      <c r="I102" s="324"/>
      <c r="J102" s="324"/>
      <c r="K102" s="324"/>
      <c r="L102" s="324"/>
      <c r="M102" s="324"/>
      <c r="N102" s="324"/>
      <c r="O102" s="324"/>
      <c r="P102" s="324"/>
      <c r="Q102" s="197"/>
      <c r="T102" s="2"/>
      <c r="U102" s="2"/>
    </row>
    <row r="103" spans="1:21" s="57" customFormat="1" ht="15" customHeight="1">
      <c r="B103" s="59"/>
      <c r="C103" s="63"/>
      <c r="D103" s="323"/>
      <c r="E103" s="323"/>
      <c r="F103" s="323"/>
      <c r="G103" s="136"/>
      <c r="H103" s="141"/>
      <c r="I103" s="141"/>
      <c r="J103" s="141"/>
      <c r="K103" s="141"/>
      <c r="L103" s="141"/>
      <c r="M103" s="141"/>
      <c r="N103" s="141"/>
      <c r="O103" s="141"/>
      <c r="P103" s="141"/>
      <c r="Q103" s="53"/>
      <c r="T103" s="2"/>
      <c r="U103" s="2"/>
    </row>
    <row r="104" spans="1:21" s="86" customFormat="1" ht="15" customHeight="1">
      <c r="A104" s="86" t="s">
        <v>0</v>
      </c>
      <c r="B104" s="476" t="s">
        <v>193</v>
      </c>
      <c r="C104" s="476"/>
      <c r="D104" s="476"/>
      <c r="E104" s="476"/>
      <c r="F104" s="476"/>
      <c r="G104" s="476"/>
      <c r="H104" s="476"/>
      <c r="I104" s="476"/>
      <c r="J104" s="476"/>
      <c r="K104" s="476"/>
      <c r="L104" s="476"/>
      <c r="M104" s="476"/>
      <c r="N104" s="476"/>
      <c r="O104" s="476"/>
      <c r="P104" s="476"/>
      <c r="Q104" s="476"/>
      <c r="R104" s="476"/>
      <c r="S104" s="476"/>
      <c r="T104" s="2"/>
      <c r="U104" s="2"/>
    </row>
    <row r="105" spans="1:21" s="86" customFormat="1" ht="15" customHeight="1" outlineLevel="1">
      <c r="B105" s="148"/>
      <c r="C105" s="93"/>
      <c r="D105" s="92"/>
      <c r="E105" s="92"/>
      <c r="F105" s="92"/>
      <c r="G105" s="92"/>
      <c r="H105" s="91"/>
      <c r="I105" s="91"/>
      <c r="J105" s="91"/>
      <c r="K105" s="91"/>
      <c r="L105" s="91"/>
      <c r="M105" s="91"/>
      <c r="N105" s="91"/>
      <c r="O105" s="91"/>
      <c r="T105" s="2"/>
      <c r="U105" s="2"/>
    </row>
    <row r="106" spans="1:21" s="86" customFormat="1" ht="15" customHeight="1" outlineLevel="1" thickBot="1">
      <c r="B106" s="77" t="s">
        <v>22</v>
      </c>
      <c r="C106" s="93"/>
      <c r="D106" s="87"/>
      <c r="E106" s="87"/>
      <c r="F106" s="560">
        <f t="shared" ref="F106:R106" si="86">F$5</f>
        <v>2020</v>
      </c>
      <c r="G106" s="560">
        <f t="shared" si="86"/>
        <v>2021</v>
      </c>
      <c r="H106" s="560">
        <f t="shared" si="86"/>
        <v>2022</v>
      </c>
      <c r="I106" s="560">
        <f t="shared" si="86"/>
        <v>2023</v>
      </c>
      <c r="J106" s="560">
        <f t="shared" si="86"/>
        <v>2024</v>
      </c>
      <c r="K106" s="488">
        <f t="shared" si="86"/>
        <v>2025</v>
      </c>
      <c r="L106" s="488">
        <f t="shared" si="86"/>
        <v>2026</v>
      </c>
      <c r="M106" s="488">
        <f t="shared" si="86"/>
        <v>2027</v>
      </c>
      <c r="N106" s="488">
        <f t="shared" si="86"/>
        <v>2028</v>
      </c>
      <c r="O106" s="488">
        <f t="shared" si="86"/>
        <v>2029</v>
      </c>
      <c r="P106" s="488">
        <f t="shared" si="86"/>
        <v>2030</v>
      </c>
      <c r="Q106" s="488">
        <f t="shared" si="86"/>
        <v>2031</v>
      </c>
      <c r="R106" s="488">
        <f t="shared" si="86"/>
        <v>2032</v>
      </c>
      <c r="S106" s="561"/>
      <c r="T106" s="2"/>
      <c r="U106" s="2"/>
    </row>
    <row r="107" spans="1:21" ht="15" customHeight="1" outlineLevel="1">
      <c r="A107" s="57"/>
      <c r="B107" s="77" t="str">
        <f>$B$6</f>
        <v>Model Running: Base Case Drivers</v>
      </c>
      <c r="C107" s="93"/>
      <c r="D107" s="87"/>
      <c r="E107" s="87"/>
      <c r="F107" s="87"/>
      <c r="G107" s="87"/>
      <c r="H107" s="87"/>
      <c r="I107" s="87"/>
      <c r="J107" s="87"/>
      <c r="K107" s="89"/>
      <c r="L107" s="89"/>
      <c r="M107" s="89"/>
      <c r="N107" s="89"/>
      <c r="O107" s="89"/>
      <c r="P107" s="89"/>
    </row>
    <row r="108" spans="1:21" s="86" customFormat="1" ht="15" customHeight="1" outlineLevel="1">
      <c r="B108" s="77"/>
      <c r="C108" s="93"/>
      <c r="D108" s="87"/>
      <c r="E108" s="87"/>
      <c r="F108" s="87"/>
      <c r="G108" s="87"/>
      <c r="H108" s="87"/>
      <c r="I108" s="87"/>
      <c r="J108" s="322"/>
      <c r="K108" s="322"/>
      <c r="L108" s="322"/>
      <c r="M108" s="322"/>
      <c r="N108" s="322"/>
      <c r="O108" s="322"/>
      <c r="T108" s="2"/>
      <c r="U108" s="2"/>
    </row>
    <row r="109" spans="1:21" s="86" customFormat="1" ht="15" customHeight="1" outlineLevel="1">
      <c r="B109" s="321" t="s">
        <v>192</v>
      </c>
      <c r="C109" s="93"/>
      <c r="D109" s="87"/>
      <c r="E109" s="87"/>
      <c r="G109" s="675">
        <v>6421000</v>
      </c>
      <c r="H109" s="675">
        <v>13660000</v>
      </c>
      <c r="I109" s="675">
        <v>32768000</v>
      </c>
      <c r="J109" s="675">
        <v>-2035000</v>
      </c>
      <c r="K109" s="238">
        <f>Inputs!G24</f>
        <v>18840000</v>
      </c>
      <c r="L109" s="238">
        <f>Inputs!H24</f>
        <v>19544000</v>
      </c>
      <c r="M109" s="238">
        <f>Inputs!I24</f>
        <v>19480000</v>
      </c>
      <c r="N109" s="238">
        <f>Inputs!J24</f>
        <v>20376000</v>
      </c>
      <c r="O109" s="238">
        <f>Inputs!K24</f>
        <v>19608000</v>
      </c>
      <c r="P109" s="238">
        <f>Inputs!L24</f>
        <v>19520000</v>
      </c>
      <c r="Q109" s="238">
        <f>Inputs!M24</f>
        <v>19520000</v>
      </c>
      <c r="R109" s="238">
        <f>Inputs!N24</f>
        <v>19520000</v>
      </c>
      <c r="T109" s="2"/>
      <c r="U109" s="2"/>
    </row>
    <row r="110" spans="1:21" s="86" customFormat="1" ht="15" customHeight="1" outlineLevel="1">
      <c r="B110" s="320"/>
      <c r="C110" s="93"/>
      <c r="D110" s="87"/>
      <c r="E110" s="87"/>
      <c r="F110" s="87"/>
      <c r="G110" s="87"/>
      <c r="H110" s="210"/>
      <c r="I110" s="210"/>
      <c r="J110" s="210"/>
      <c r="K110" s="81"/>
      <c r="L110" s="81"/>
      <c r="M110" s="81"/>
      <c r="N110" s="81"/>
      <c r="O110" s="81"/>
      <c r="T110" s="2"/>
      <c r="U110" s="2"/>
    </row>
    <row r="111" spans="1:21" s="86" customFormat="1" ht="15" customHeight="1" outlineLevel="1">
      <c r="B111" s="77"/>
      <c r="C111" s="93"/>
      <c r="D111" s="87"/>
      <c r="E111" s="87"/>
      <c r="F111" s="87"/>
      <c r="G111" s="87"/>
      <c r="H111" s="87"/>
      <c r="I111" s="87"/>
      <c r="J111" s="87"/>
      <c r="K111" s="89"/>
      <c r="L111" s="89"/>
      <c r="M111" s="89"/>
      <c r="N111" s="89"/>
      <c r="O111" s="89"/>
      <c r="T111" s="2"/>
      <c r="U111" s="2"/>
    </row>
    <row r="112" spans="1:21" s="86" customFormat="1" ht="15" customHeight="1" outlineLevel="1">
      <c r="B112" s="267" t="s">
        <v>191</v>
      </c>
      <c r="D112" s="311" t="s">
        <v>189</v>
      </c>
      <c r="E112" s="311"/>
      <c r="F112" s="311"/>
      <c r="G112" s="87"/>
      <c r="H112" s="87"/>
      <c r="I112" s="87"/>
      <c r="J112" s="87"/>
      <c r="K112" s="298" t="s">
        <v>188</v>
      </c>
      <c r="L112" s="297"/>
      <c r="M112" s="297"/>
      <c r="N112" s="297"/>
      <c r="O112" s="296"/>
      <c r="T112" s="2"/>
      <c r="U112" s="2"/>
    </row>
    <row r="113" spans="2:21" s="86" customFormat="1" ht="15" customHeight="1" outlineLevel="1">
      <c r="B113" s="228" t="s">
        <v>34</v>
      </c>
      <c r="C113" s="201"/>
      <c r="D113" s="319">
        <f>Inputs!$L$109</f>
        <v>16</v>
      </c>
      <c r="E113" s="367"/>
      <c r="F113" s="367"/>
      <c r="G113" s="87"/>
      <c r="H113" s="316"/>
      <c r="I113" s="87"/>
      <c r="J113" s="87"/>
      <c r="K113" s="318">
        <v>1</v>
      </c>
      <c r="L113" s="318">
        <f>K113+1</f>
        <v>2</v>
      </c>
      <c r="M113" s="318">
        <f>L113+1</f>
        <v>3</v>
      </c>
      <c r="N113" s="318">
        <f>M113+1</f>
        <v>4</v>
      </c>
      <c r="O113" s="318">
        <f t="shared" ref="O113:R113" si="87">N113+1</f>
        <v>5</v>
      </c>
      <c r="P113" s="318">
        <f t="shared" si="87"/>
        <v>6</v>
      </c>
      <c r="Q113" s="318">
        <f t="shared" si="87"/>
        <v>7</v>
      </c>
      <c r="R113" s="318">
        <f t="shared" si="87"/>
        <v>8</v>
      </c>
      <c r="T113" s="2"/>
      <c r="U113" s="2"/>
    </row>
    <row r="114" spans="2:21" s="86" customFormat="1" ht="15" customHeight="1" outlineLevel="1">
      <c r="B114" s="256" t="str">
        <f>CONCATENATE("PP&amp;E at End of ",J106)</f>
        <v>PP&amp;E at End of 2024</v>
      </c>
      <c r="C114" s="287"/>
      <c r="D114" s="317">
        <f>Inputs!$L$95</f>
        <v>136285000</v>
      </c>
      <c r="E114" s="260"/>
      <c r="F114" s="260"/>
      <c r="G114" s="87"/>
      <c r="H114" s="316"/>
      <c r="I114" s="87"/>
      <c r="J114" s="315"/>
      <c r="K114" s="314">
        <f>MIN($D113-SUM($J114:J114),1)</f>
        <v>1</v>
      </c>
      <c r="L114" s="314">
        <f>MIN($D113-SUM($J114:K114),1)</f>
        <v>1</v>
      </c>
      <c r="M114" s="314">
        <f>MIN($D113-SUM($J114:L114),1)</f>
        <v>1</v>
      </c>
      <c r="N114" s="314">
        <f>MIN($D113-SUM($J114:M114),1)</f>
        <v>1</v>
      </c>
      <c r="O114" s="314">
        <f>MIN($D113-SUM($J114:N114),1)</f>
        <v>1</v>
      </c>
      <c r="P114" s="314">
        <f>MIN($D113-SUM($J114:O114),1)</f>
        <v>1</v>
      </c>
      <c r="Q114" s="314">
        <f>MIN($D113-SUM($J114:P114),1)</f>
        <v>1</v>
      </c>
      <c r="R114" s="314">
        <f>MIN($D113-SUM($J114:Q114),1)</f>
        <v>1</v>
      </c>
      <c r="T114" s="2"/>
      <c r="U114" s="2"/>
    </row>
    <row r="115" spans="2:21" s="86" customFormat="1" ht="15" customHeight="1" outlineLevel="1">
      <c r="B115" s="145"/>
      <c r="C115" s="313"/>
      <c r="D115" s="312"/>
      <c r="E115" s="312"/>
      <c r="F115" s="312"/>
      <c r="G115" s="87"/>
      <c r="H115" s="87"/>
      <c r="I115" s="87"/>
      <c r="J115" s="87"/>
      <c r="K115" s="304"/>
      <c r="L115" s="304"/>
      <c r="M115" s="304"/>
      <c r="N115" s="304"/>
      <c r="O115" s="304"/>
      <c r="T115" s="2"/>
      <c r="U115" s="2"/>
    </row>
    <row r="116" spans="2:21" s="86" customFormat="1" ht="15" customHeight="1" outlineLevel="1">
      <c r="B116" s="178"/>
      <c r="C116" s="137"/>
      <c r="D116" s="177"/>
      <c r="E116" s="177"/>
      <c r="F116" s="177"/>
      <c r="G116" s="177"/>
      <c r="H116" s="177"/>
      <c r="I116" s="177"/>
      <c r="J116" s="177"/>
      <c r="K116" s="176"/>
      <c r="L116" s="176"/>
      <c r="M116" s="176"/>
      <c r="N116" s="176"/>
      <c r="O116" s="176"/>
      <c r="T116" s="2"/>
      <c r="U116" s="2"/>
    </row>
    <row r="117" spans="2:21" s="86" customFormat="1" ht="15" customHeight="1" outlineLevel="1">
      <c r="B117" s="77"/>
      <c r="C117" s="93"/>
      <c r="D117" s="87"/>
      <c r="E117" s="87"/>
      <c r="F117" s="87"/>
      <c r="G117" s="87"/>
      <c r="H117" s="87"/>
      <c r="I117" s="87"/>
      <c r="J117" s="87"/>
      <c r="K117" s="89"/>
      <c r="L117" s="89"/>
      <c r="M117" s="89"/>
      <c r="N117" s="89"/>
      <c r="O117" s="89"/>
      <c r="T117" s="2"/>
      <c r="U117" s="2"/>
    </row>
    <row r="118" spans="2:21" s="86" customFormat="1" ht="15" customHeight="1" outlineLevel="1">
      <c r="B118" s="267" t="s">
        <v>190</v>
      </c>
      <c r="D118" s="311" t="s">
        <v>189</v>
      </c>
      <c r="E118" s="311"/>
      <c r="F118" s="311"/>
      <c r="G118" s="87"/>
      <c r="H118" s="87"/>
      <c r="I118" s="87"/>
      <c r="J118" s="87"/>
      <c r="K118" s="298" t="s">
        <v>188</v>
      </c>
      <c r="L118" s="297"/>
      <c r="M118" s="297"/>
      <c r="N118" s="297"/>
      <c r="O118" s="296"/>
      <c r="T118" s="2"/>
      <c r="U118" s="2"/>
    </row>
    <row r="119" spans="2:21" s="86" customFormat="1" ht="15" customHeight="1" outlineLevel="1">
      <c r="B119" s="228" t="s">
        <v>32</v>
      </c>
      <c r="C119" s="201"/>
      <c r="D119" s="310">
        <f>Inputs!$L$110</f>
        <v>20</v>
      </c>
      <c r="E119" s="368"/>
      <c r="F119" s="368"/>
      <c r="G119" s="87"/>
      <c r="H119" s="87"/>
      <c r="I119" s="87"/>
      <c r="J119" s="87"/>
      <c r="K119" s="309">
        <v>1</v>
      </c>
      <c r="L119" s="309">
        <f>K119+1</f>
        <v>2</v>
      </c>
      <c r="M119" s="309">
        <f>L119+1</f>
        <v>3</v>
      </c>
      <c r="N119" s="309">
        <f>M119+1</f>
        <v>4</v>
      </c>
      <c r="O119" s="309">
        <f t="shared" ref="O119:R119" si="88">N119+1</f>
        <v>5</v>
      </c>
      <c r="P119" s="309">
        <f t="shared" si="88"/>
        <v>6</v>
      </c>
      <c r="Q119" s="309">
        <f t="shared" si="88"/>
        <v>7</v>
      </c>
      <c r="R119" s="309">
        <f t="shared" si="88"/>
        <v>8</v>
      </c>
      <c r="T119" s="2"/>
      <c r="U119" s="2"/>
    </row>
    <row r="120" spans="2:21" s="86" customFormat="1" ht="15" customHeight="1" outlineLevel="1">
      <c r="B120" s="256" t="s">
        <v>36</v>
      </c>
      <c r="C120" s="287"/>
      <c r="D120" s="308">
        <f>Inputs!$L$108</f>
        <v>0.5</v>
      </c>
      <c r="E120" s="369"/>
      <c r="F120" s="369"/>
      <c r="G120" s="87"/>
      <c r="H120" s="87"/>
      <c r="I120" s="87"/>
      <c r="J120" s="87"/>
      <c r="K120" s="307">
        <f>IF(J120="",$D$120,MIN($D119-SUM($J120:J120),1))</f>
        <v>0.5</v>
      </c>
      <c r="L120" s="306">
        <f>IF(K120="",$D$120,MIN($D119-SUM($J120:K120),1))</f>
        <v>1</v>
      </c>
      <c r="M120" s="306">
        <f>IF(L120="",$D$120,MIN($D119-SUM($J120:L120),1))</f>
        <v>1</v>
      </c>
      <c r="N120" s="306">
        <f>IF(M120="",$D$120,MIN($D119-SUM($J120:M120),1))</f>
        <v>1</v>
      </c>
      <c r="O120" s="306">
        <f>IF(N120="",$D$120,MIN($D119-SUM($J120:N120),1))</f>
        <v>1</v>
      </c>
      <c r="P120" s="306">
        <f>IF(O120="",$D$120,MIN($D119-SUM($J120:O120),1))</f>
        <v>1</v>
      </c>
      <c r="Q120" s="306">
        <f>IF(P120="",$D$120,MIN($D119-SUM($J120:P120),1))</f>
        <v>1</v>
      </c>
      <c r="R120" s="306">
        <f>IF(Q120="",$D$120,MIN($D119-SUM($J120:Q120),1))</f>
        <v>1</v>
      </c>
      <c r="T120" s="2"/>
      <c r="U120" s="2"/>
    </row>
    <row r="121" spans="2:21" s="86" customFormat="1" ht="15" customHeight="1" outlineLevel="1">
      <c r="B121" s="145"/>
      <c r="D121" s="305"/>
      <c r="E121" s="305"/>
      <c r="F121" s="305"/>
      <c r="G121" s="87"/>
      <c r="H121" s="87"/>
      <c r="I121" s="87"/>
      <c r="J121" s="87"/>
      <c r="K121" s="304"/>
      <c r="L121" s="304"/>
      <c r="M121" s="304"/>
      <c r="N121" s="304"/>
      <c r="O121" s="304"/>
      <c r="T121" s="2"/>
      <c r="U121" s="2"/>
    </row>
    <row r="122" spans="2:21" s="86" customFormat="1" ht="15" customHeight="1" outlineLevel="1">
      <c r="B122" s="77"/>
      <c r="C122" s="93"/>
      <c r="D122" s="87"/>
      <c r="E122" s="87"/>
      <c r="F122" s="87"/>
      <c r="G122" s="87"/>
      <c r="H122" s="87"/>
      <c r="I122" s="87"/>
      <c r="J122" s="87"/>
      <c r="K122" s="298" t="s">
        <v>188</v>
      </c>
      <c r="L122" s="297"/>
      <c r="M122" s="297"/>
      <c r="N122" s="297"/>
      <c r="O122" s="296"/>
      <c r="Q122" s="303"/>
      <c r="T122" s="2"/>
      <c r="U122" s="2"/>
    </row>
    <row r="123" spans="2:21" s="86" customFormat="1" ht="15" customHeight="1" outlineLevel="1">
      <c r="D123" s="191"/>
      <c r="E123" s="191"/>
      <c r="F123" s="191"/>
      <c r="H123" s="191" t="s">
        <v>185</v>
      </c>
      <c r="I123" s="191" t="s">
        <v>187</v>
      </c>
      <c r="J123" s="87"/>
      <c r="K123" s="295">
        <f>K$106</f>
        <v>2025</v>
      </c>
      <c r="L123" s="295">
        <f>L$106</f>
        <v>2026</v>
      </c>
      <c r="M123" s="295">
        <f>M$106</f>
        <v>2027</v>
      </c>
      <c r="N123" s="295">
        <f>N$106</f>
        <v>2028</v>
      </c>
      <c r="O123" s="295">
        <f t="shared" ref="O123:R123" si="89">O$106</f>
        <v>2029</v>
      </c>
      <c r="P123" s="295">
        <f t="shared" si="89"/>
        <v>2030</v>
      </c>
      <c r="Q123" s="295">
        <f t="shared" si="89"/>
        <v>2031</v>
      </c>
      <c r="R123" s="295">
        <f t="shared" si="89"/>
        <v>2032</v>
      </c>
      <c r="T123" s="2"/>
      <c r="U123" s="2"/>
    </row>
    <row r="124" spans="2:21" s="86" customFormat="1" ht="15" customHeight="1" outlineLevel="1">
      <c r="B124" s="77"/>
      <c r="D124" s="191"/>
      <c r="E124" s="191"/>
      <c r="F124" s="191"/>
      <c r="H124" s="294">
        <f>K106</f>
        <v>2025</v>
      </c>
      <c r="I124" s="302">
        <f>$D$119</f>
        <v>20</v>
      </c>
      <c r="J124" s="302"/>
      <c r="K124" s="301">
        <f>K120</f>
        <v>0.5</v>
      </c>
      <c r="L124" s="301">
        <f>L120</f>
        <v>1</v>
      </c>
      <c r="M124" s="301">
        <f>M120</f>
        <v>1</v>
      </c>
      <c r="N124" s="301">
        <f>N120</f>
        <v>1</v>
      </c>
      <c r="O124" s="301">
        <f t="shared" ref="O124:R124" si="90">O120</f>
        <v>1</v>
      </c>
      <c r="P124" s="301">
        <f t="shared" si="90"/>
        <v>1</v>
      </c>
      <c r="Q124" s="301">
        <f t="shared" si="90"/>
        <v>1</v>
      </c>
      <c r="R124" s="301">
        <f t="shared" si="90"/>
        <v>1</v>
      </c>
      <c r="T124" s="2"/>
      <c r="U124" s="2"/>
    </row>
    <row r="125" spans="2:21" s="86" customFormat="1" ht="15" customHeight="1" outlineLevel="1">
      <c r="B125" s="77"/>
      <c r="D125" s="191"/>
      <c r="E125" s="191"/>
      <c r="F125" s="191"/>
      <c r="H125" s="291">
        <f>H124+1</f>
        <v>2026</v>
      </c>
      <c r="I125" s="300">
        <f>$D$119</f>
        <v>20</v>
      </c>
      <c r="J125" s="385"/>
      <c r="K125" s="299">
        <f t="shared" ref="K125:N127" si="91">J124</f>
        <v>0</v>
      </c>
      <c r="L125" s="299">
        <f t="shared" si="91"/>
        <v>0.5</v>
      </c>
      <c r="M125" s="299">
        <f t="shared" si="91"/>
        <v>1</v>
      </c>
      <c r="N125" s="299">
        <f t="shared" si="91"/>
        <v>1</v>
      </c>
      <c r="O125" s="299">
        <f t="shared" ref="O125:O127" si="92">N124</f>
        <v>1</v>
      </c>
      <c r="P125" s="299">
        <f t="shared" ref="P125:P127" si="93">O124</f>
        <v>1</v>
      </c>
      <c r="Q125" s="299">
        <f t="shared" ref="Q125:Q127" si="94">P124</f>
        <v>1</v>
      </c>
      <c r="R125" s="299">
        <f t="shared" ref="R125:R127" si="95">Q124</f>
        <v>1</v>
      </c>
      <c r="T125" s="2"/>
      <c r="U125" s="2"/>
    </row>
    <row r="126" spans="2:21" s="86" customFormat="1" ht="15" customHeight="1" outlineLevel="1">
      <c r="B126" s="77"/>
      <c r="D126" s="191"/>
      <c r="E126" s="191"/>
      <c r="F126" s="191"/>
      <c r="H126" s="291">
        <f>H125+1</f>
        <v>2027</v>
      </c>
      <c r="I126" s="300">
        <f>$D$119</f>
        <v>20</v>
      </c>
      <c r="J126" s="385"/>
      <c r="K126" s="299">
        <f t="shared" si="91"/>
        <v>0</v>
      </c>
      <c r="L126" s="299">
        <f t="shared" si="91"/>
        <v>0</v>
      </c>
      <c r="M126" s="299">
        <f t="shared" si="91"/>
        <v>0.5</v>
      </c>
      <c r="N126" s="299">
        <f t="shared" si="91"/>
        <v>1</v>
      </c>
      <c r="O126" s="299">
        <f t="shared" si="92"/>
        <v>1</v>
      </c>
      <c r="P126" s="299">
        <f t="shared" si="93"/>
        <v>1</v>
      </c>
      <c r="Q126" s="299">
        <f t="shared" si="94"/>
        <v>1</v>
      </c>
      <c r="R126" s="299">
        <f t="shared" si="95"/>
        <v>1</v>
      </c>
      <c r="T126" s="2"/>
      <c r="U126" s="2"/>
    </row>
    <row r="127" spans="2:21" s="86" customFormat="1" ht="15" customHeight="1" outlineLevel="1">
      <c r="B127" s="77"/>
      <c r="D127" s="191"/>
      <c r="E127" s="191"/>
      <c r="F127" s="191"/>
      <c r="H127" s="291">
        <f>H126+1</f>
        <v>2028</v>
      </c>
      <c r="I127" s="300">
        <f>$D$119</f>
        <v>20</v>
      </c>
      <c r="J127" s="385"/>
      <c r="K127" s="299">
        <f t="shared" si="91"/>
        <v>0</v>
      </c>
      <c r="L127" s="299">
        <f t="shared" si="91"/>
        <v>0</v>
      </c>
      <c r="M127" s="299">
        <f t="shared" si="91"/>
        <v>0</v>
      </c>
      <c r="N127" s="299">
        <f t="shared" si="91"/>
        <v>0.5</v>
      </c>
      <c r="O127" s="299">
        <f t="shared" si="92"/>
        <v>1</v>
      </c>
      <c r="P127" s="299">
        <f t="shared" si="93"/>
        <v>1</v>
      </c>
      <c r="Q127" s="299">
        <f t="shared" si="94"/>
        <v>1</v>
      </c>
      <c r="R127" s="299">
        <f t="shared" si="95"/>
        <v>1</v>
      </c>
      <c r="T127" s="2"/>
      <c r="U127" s="2"/>
    </row>
    <row r="128" spans="2:21" s="86" customFormat="1" ht="15" customHeight="1" outlineLevel="1">
      <c r="B128" s="77"/>
      <c r="D128" s="191"/>
      <c r="E128" s="191"/>
      <c r="F128" s="191"/>
      <c r="H128" s="291">
        <f t="shared" ref="H128:H131" si="96">H127+1</f>
        <v>2029</v>
      </c>
      <c r="I128" s="300">
        <f t="shared" ref="I128:I131" si="97">$D$119</f>
        <v>20</v>
      </c>
      <c r="J128" s="385"/>
      <c r="K128" s="299">
        <f t="shared" ref="K128:K131" si="98">J127</f>
        <v>0</v>
      </c>
      <c r="L128" s="299">
        <f t="shared" ref="L128:L131" si="99">K127</f>
        <v>0</v>
      </c>
      <c r="M128" s="299">
        <f t="shared" ref="M128:M131" si="100">L127</f>
        <v>0</v>
      </c>
      <c r="N128" s="299">
        <f t="shared" ref="N128:N131" si="101">M127</f>
        <v>0</v>
      </c>
      <c r="O128" s="299">
        <f t="shared" ref="O128:O131" si="102">N127</f>
        <v>0.5</v>
      </c>
      <c r="P128" s="299">
        <f t="shared" ref="P128:P131" si="103">O127</f>
        <v>1</v>
      </c>
      <c r="Q128" s="299">
        <f t="shared" ref="Q128:Q131" si="104">P127</f>
        <v>1</v>
      </c>
      <c r="R128" s="299">
        <f t="shared" ref="R128:R131" si="105">Q127</f>
        <v>1</v>
      </c>
      <c r="T128" s="2"/>
      <c r="U128" s="2"/>
    </row>
    <row r="129" spans="2:21" s="86" customFormat="1" ht="15" customHeight="1" outlineLevel="1">
      <c r="B129" s="77"/>
      <c r="D129" s="191"/>
      <c r="E129" s="191"/>
      <c r="F129" s="191"/>
      <c r="H129" s="291">
        <f t="shared" si="96"/>
        <v>2030</v>
      </c>
      <c r="I129" s="300">
        <f t="shared" si="97"/>
        <v>20</v>
      </c>
      <c r="J129" s="385"/>
      <c r="K129" s="299">
        <f t="shared" si="98"/>
        <v>0</v>
      </c>
      <c r="L129" s="299">
        <f t="shared" si="99"/>
        <v>0</v>
      </c>
      <c r="M129" s="299">
        <f t="shared" si="100"/>
        <v>0</v>
      </c>
      <c r="N129" s="299">
        <f t="shared" si="101"/>
        <v>0</v>
      </c>
      <c r="O129" s="299">
        <f t="shared" si="102"/>
        <v>0</v>
      </c>
      <c r="P129" s="299">
        <f t="shared" si="103"/>
        <v>0.5</v>
      </c>
      <c r="Q129" s="299">
        <f t="shared" si="104"/>
        <v>1</v>
      </c>
      <c r="R129" s="299">
        <f t="shared" si="105"/>
        <v>1</v>
      </c>
      <c r="T129" s="2"/>
      <c r="U129" s="2"/>
    </row>
    <row r="130" spans="2:21" s="86" customFormat="1" ht="15" customHeight="1" outlineLevel="1">
      <c r="B130" s="77"/>
      <c r="D130" s="191"/>
      <c r="E130" s="191"/>
      <c r="F130" s="191"/>
      <c r="H130" s="291">
        <f t="shared" si="96"/>
        <v>2031</v>
      </c>
      <c r="I130" s="300">
        <f t="shared" si="97"/>
        <v>20</v>
      </c>
      <c r="J130" s="385"/>
      <c r="K130" s="299">
        <f t="shared" si="98"/>
        <v>0</v>
      </c>
      <c r="L130" s="299">
        <f t="shared" si="99"/>
        <v>0</v>
      </c>
      <c r="M130" s="299">
        <f t="shared" si="100"/>
        <v>0</v>
      </c>
      <c r="N130" s="299">
        <f t="shared" si="101"/>
        <v>0</v>
      </c>
      <c r="O130" s="299">
        <f t="shared" si="102"/>
        <v>0</v>
      </c>
      <c r="P130" s="299">
        <f t="shared" si="103"/>
        <v>0</v>
      </c>
      <c r="Q130" s="299">
        <f t="shared" si="104"/>
        <v>0.5</v>
      </c>
      <c r="R130" s="299">
        <f t="shared" si="105"/>
        <v>1</v>
      </c>
      <c r="T130" s="2"/>
      <c r="U130" s="2"/>
    </row>
    <row r="131" spans="2:21" s="86" customFormat="1" ht="15" customHeight="1" outlineLevel="1">
      <c r="B131" s="77"/>
      <c r="D131" s="191"/>
      <c r="E131" s="191"/>
      <c r="F131" s="191"/>
      <c r="H131" s="291">
        <f t="shared" si="96"/>
        <v>2032</v>
      </c>
      <c r="I131" s="300">
        <f t="shared" si="97"/>
        <v>20</v>
      </c>
      <c r="J131" s="385"/>
      <c r="K131" s="299">
        <f t="shared" si="98"/>
        <v>0</v>
      </c>
      <c r="L131" s="299">
        <f t="shared" si="99"/>
        <v>0</v>
      </c>
      <c r="M131" s="299">
        <f t="shared" si="100"/>
        <v>0</v>
      </c>
      <c r="N131" s="299">
        <f t="shared" si="101"/>
        <v>0</v>
      </c>
      <c r="O131" s="299">
        <f t="shared" si="102"/>
        <v>0</v>
      </c>
      <c r="P131" s="299">
        <f t="shared" si="103"/>
        <v>0</v>
      </c>
      <c r="Q131" s="299">
        <f t="shared" si="104"/>
        <v>0</v>
      </c>
      <c r="R131" s="299">
        <f t="shared" si="105"/>
        <v>0.5</v>
      </c>
      <c r="T131" s="2"/>
      <c r="U131" s="2"/>
    </row>
    <row r="132" spans="2:21" s="86" customFormat="1" ht="15" customHeight="1" outlineLevel="1">
      <c r="B132" s="77"/>
      <c r="D132" s="191"/>
      <c r="E132" s="191"/>
      <c r="F132" s="191"/>
      <c r="H132" s="291"/>
      <c r="I132" s="300"/>
      <c r="J132" s="385"/>
      <c r="K132" s="299"/>
      <c r="L132" s="299"/>
      <c r="M132" s="299"/>
      <c r="N132" s="299"/>
      <c r="O132" s="299"/>
      <c r="P132" s="299"/>
      <c r="Q132" s="299"/>
      <c r="R132" s="299"/>
      <c r="T132" s="2"/>
      <c r="U132" s="2"/>
    </row>
    <row r="133" spans="2:21" s="86" customFormat="1" ht="15" customHeight="1" outlineLevel="1">
      <c r="B133" s="77"/>
      <c r="C133" s="93"/>
      <c r="D133" s="191"/>
      <c r="E133" s="191"/>
      <c r="F133" s="191"/>
      <c r="G133" s="87"/>
      <c r="H133" s="87"/>
      <c r="I133" s="87"/>
      <c r="J133" s="87"/>
      <c r="K133" s="89"/>
      <c r="L133" s="89"/>
      <c r="M133" s="89"/>
      <c r="N133" s="89"/>
      <c r="O133" s="89"/>
      <c r="Q133" s="197"/>
      <c r="T133" s="2"/>
      <c r="U133" s="2"/>
    </row>
    <row r="134" spans="2:21" s="86" customFormat="1" ht="15" customHeight="1" outlineLevel="1">
      <c r="B134" s="77"/>
      <c r="C134" s="93"/>
      <c r="D134" s="87"/>
      <c r="E134" s="87"/>
      <c r="F134" s="87"/>
      <c r="G134" s="87"/>
      <c r="H134" s="87"/>
      <c r="I134" s="87"/>
      <c r="J134" s="87"/>
      <c r="K134" s="298" t="s">
        <v>186</v>
      </c>
      <c r="L134" s="297"/>
      <c r="M134" s="297"/>
      <c r="N134" s="297"/>
      <c r="O134" s="296"/>
      <c r="Q134" s="197"/>
      <c r="T134" s="2"/>
      <c r="U134" s="2"/>
    </row>
    <row r="135" spans="2:21" s="86" customFormat="1" ht="15" customHeight="1" outlineLevel="1">
      <c r="G135" s="87"/>
      <c r="H135" s="191" t="s">
        <v>185</v>
      </c>
      <c r="I135" s="191" t="s">
        <v>184</v>
      </c>
      <c r="J135" s="191" t="s">
        <v>183</v>
      </c>
      <c r="K135" s="295">
        <f>K$106</f>
        <v>2025</v>
      </c>
      <c r="L135" s="295">
        <f>L$106</f>
        <v>2026</v>
      </c>
      <c r="M135" s="295">
        <f>M$106</f>
        <v>2027</v>
      </c>
      <c r="N135" s="295">
        <f>N$106</f>
        <v>2028</v>
      </c>
      <c r="O135" s="295">
        <f t="shared" ref="O135:R135" si="106">O$106</f>
        <v>2029</v>
      </c>
      <c r="P135" s="295">
        <f t="shared" si="106"/>
        <v>2030</v>
      </c>
      <c r="Q135" s="295">
        <f t="shared" si="106"/>
        <v>2031</v>
      </c>
      <c r="R135" s="295">
        <f t="shared" si="106"/>
        <v>2032</v>
      </c>
      <c r="S135" s="295"/>
      <c r="T135" s="2"/>
      <c r="U135" s="2"/>
    </row>
    <row r="136" spans="2:21" s="86" customFormat="1" ht="15" customHeight="1" outlineLevel="1">
      <c r="B136" s="77"/>
      <c r="G136" s="87"/>
      <c r="H136" s="294">
        <f>H124</f>
        <v>2025</v>
      </c>
      <c r="I136" s="387">
        <f>SUMIF($K$106:$R$106,H136,$K$109:$R$109)</f>
        <v>18840000</v>
      </c>
      <c r="J136" s="293">
        <f>I136/I124</f>
        <v>942000</v>
      </c>
      <c r="K136" s="292">
        <f t="shared" ref="K136:N139" si="107">$J136*K124</f>
        <v>471000</v>
      </c>
      <c r="L136" s="292">
        <f t="shared" si="107"/>
        <v>942000</v>
      </c>
      <c r="M136" s="292">
        <f t="shared" si="107"/>
        <v>942000</v>
      </c>
      <c r="N136" s="292">
        <f t="shared" si="107"/>
        <v>942000</v>
      </c>
      <c r="O136" s="292">
        <f t="shared" ref="O136:R136" si="108">$J136*O124</f>
        <v>942000</v>
      </c>
      <c r="P136" s="292">
        <f t="shared" si="108"/>
        <v>942000</v>
      </c>
      <c r="Q136" s="292">
        <f t="shared" si="108"/>
        <v>942000</v>
      </c>
      <c r="R136" s="292">
        <f t="shared" si="108"/>
        <v>942000</v>
      </c>
      <c r="S136" s="292"/>
      <c r="T136" s="2"/>
      <c r="U136" s="2"/>
    </row>
    <row r="137" spans="2:21" s="86" customFormat="1" ht="15" customHeight="1" outlineLevel="1">
      <c r="B137" s="77"/>
      <c r="G137" s="87"/>
      <c r="H137" s="291">
        <f>H125</f>
        <v>2026</v>
      </c>
      <c r="I137" s="386">
        <f t="shared" ref="I137:I143" si="109">SUMIF($K$106:$R$106,H137,$K$109:$R$109)</f>
        <v>19544000</v>
      </c>
      <c r="J137" s="290">
        <f>I137/I125</f>
        <v>977200</v>
      </c>
      <c r="K137" s="204">
        <f t="shared" si="107"/>
        <v>0</v>
      </c>
      <c r="L137" s="204">
        <f t="shared" si="107"/>
        <v>488600</v>
      </c>
      <c r="M137" s="204">
        <f t="shared" si="107"/>
        <v>977200</v>
      </c>
      <c r="N137" s="204">
        <f t="shared" si="107"/>
        <v>977200</v>
      </c>
      <c r="O137" s="204">
        <f t="shared" ref="O137:R137" si="110">$J137*O125</f>
        <v>977200</v>
      </c>
      <c r="P137" s="204">
        <f t="shared" si="110"/>
        <v>977200</v>
      </c>
      <c r="Q137" s="204">
        <f t="shared" si="110"/>
        <v>977200</v>
      </c>
      <c r="R137" s="204">
        <f t="shared" si="110"/>
        <v>977200</v>
      </c>
      <c r="S137" s="204"/>
      <c r="T137" s="2"/>
      <c r="U137" s="2"/>
    </row>
    <row r="138" spans="2:21" s="86" customFormat="1" ht="15" customHeight="1" outlineLevel="1">
      <c r="B138" s="77"/>
      <c r="G138" s="87"/>
      <c r="H138" s="291">
        <f>H126</f>
        <v>2027</v>
      </c>
      <c r="I138" s="386">
        <f t="shared" si="109"/>
        <v>19480000</v>
      </c>
      <c r="J138" s="290">
        <f>I138/I126</f>
        <v>974000</v>
      </c>
      <c r="K138" s="204">
        <f t="shared" si="107"/>
        <v>0</v>
      </c>
      <c r="L138" s="204">
        <f t="shared" si="107"/>
        <v>0</v>
      </c>
      <c r="M138" s="204">
        <f t="shared" si="107"/>
        <v>487000</v>
      </c>
      <c r="N138" s="204">
        <f t="shared" si="107"/>
        <v>974000</v>
      </c>
      <c r="O138" s="204">
        <f t="shared" ref="O138:Q138" si="111">$J138*O126</f>
        <v>974000</v>
      </c>
      <c r="P138" s="204">
        <f t="shared" si="111"/>
        <v>974000</v>
      </c>
      <c r="Q138" s="204">
        <f t="shared" si="111"/>
        <v>974000</v>
      </c>
      <c r="R138" s="204">
        <f>$J138*R126</f>
        <v>974000</v>
      </c>
      <c r="S138" s="204"/>
      <c r="T138" s="2"/>
      <c r="U138" s="2"/>
    </row>
    <row r="139" spans="2:21" s="86" customFormat="1" ht="15" customHeight="1" outlineLevel="1">
      <c r="B139" s="77"/>
      <c r="G139" s="87"/>
      <c r="H139" s="291">
        <f>H127</f>
        <v>2028</v>
      </c>
      <c r="I139" s="386">
        <f t="shared" si="109"/>
        <v>20376000</v>
      </c>
      <c r="J139" s="290">
        <f t="shared" ref="J139:J143" si="112">I139/I127</f>
        <v>1018800</v>
      </c>
      <c r="K139" s="204">
        <f t="shared" si="107"/>
        <v>0</v>
      </c>
      <c r="L139" s="204">
        <f t="shared" si="107"/>
        <v>0</v>
      </c>
      <c r="M139" s="204">
        <f t="shared" si="107"/>
        <v>0</v>
      </c>
      <c r="N139" s="204">
        <f t="shared" si="107"/>
        <v>509400</v>
      </c>
      <c r="O139" s="204">
        <f t="shared" ref="O139:Q139" si="113">$J139*O127</f>
        <v>1018800</v>
      </c>
      <c r="P139" s="204">
        <f t="shared" si="113"/>
        <v>1018800</v>
      </c>
      <c r="Q139" s="204">
        <f t="shared" si="113"/>
        <v>1018800</v>
      </c>
      <c r="R139" s="204">
        <f>$J139*R127</f>
        <v>1018800</v>
      </c>
      <c r="S139" s="204"/>
      <c r="T139" s="2"/>
      <c r="U139" s="2"/>
    </row>
    <row r="140" spans="2:21" s="86" customFormat="1" ht="15" customHeight="1" outlineLevel="1">
      <c r="B140" s="77"/>
      <c r="G140" s="87"/>
      <c r="H140" s="291">
        <f>H128</f>
        <v>2029</v>
      </c>
      <c r="I140" s="386">
        <f t="shared" si="109"/>
        <v>19608000</v>
      </c>
      <c r="J140" s="290">
        <f t="shared" si="112"/>
        <v>980400</v>
      </c>
      <c r="K140" s="204">
        <f t="shared" ref="K140:N140" si="114">$J140*K128</f>
        <v>0</v>
      </c>
      <c r="L140" s="204">
        <f t="shared" si="114"/>
        <v>0</v>
      </c>
      <c r="M140" s="204">
        <f t="shared" si="114"/>
        <v>0</v>
      </c>
      <c r="N140" s="204">
        <f t="shared" si="114"/>
        <v>0</v>
      </c>
      <c r="O140" s="204">
        <f t="shared" ref="O140:R140" si="115">$J140*O128</f>
        <v>490200</v>
      </c>
      <c r="P140" s="204">
        <f t="shared" si="115"/>
        <v>980400</v>
      </c>
      <c r="Q140" s="204">
        <f t="shared" si="115"/>
        <v>980400</v>
      </c>
      <c r="R140" s="204">
        <f t="shared" si="115"/>
        <v>980400</v>
      </c>
      <c r="S140" s="204"/>
      <c r="T140" s="2"/>
      <c r="U140" s="2"/>
    </row>
    <row r="141" spans="2:21" s="86" customFormat="1" ht="15" customHeight="1" outlineLevel="1">
      <c r="B141" s="77"/>
      <c r="G141" s="87"/>
      <c r="H141" s="291">
        <f t="shared" ref="H141:H143" si="116">H129</f>
        <v>2030</v>
      </c>
      <c r="I141" s="386">
        <f t="shared" si="109"/>
        <v>19520000</v>
      </c>
      <c r="J141" s="290">
        <f t="shared" si="112"/>
        <v>976000</v>
      </c>
      <c r="K141" s="204">
        <f t="shared" ref="K141:N141" si="117">$J141*K129</f>
        <v>0</v>
      </c>
      <c r="L141" s="204">
        <f t="shared" si="117"/>
        <v>0</v>
      </c>
      <c r="M141" s="204">
        <f t="shared" si="117"/>
        <v>0</v>
      </c>
      <c r="N141" s="204">
        <f t="shared" si="117"/>
        <v>0</v>
      </c>
      <c r="O141" s="204">
        <f t="shared" ref="O141:R141" si="118">$J141*O129</f>
        <v>0</v>
      </c>
      <c r="P141" s="204">
        <f t="shared" si="118"/>
        <v>488000</v>
      </c>
      <c r="Q141" s="204">
        <f t="shared" si="118"/>
        <v>976000</v>
      </c>
      <c r="R141" s="204">
        <f t="shared" si="118"/>
        <v>976000</v>
      </c>
      <c r="S141" s="204"/>
      <c r="T141" s="2"/>
      <c r="U141" s="2"/>
    </row>
    <row r="142" spans="2:21" s="86" customFormat="1" ht="15" customHeight="1" outlineLevel="1">
      <c r="B142" s="77"/>
      <c r="G142" s="87"/>
      <c r="H142" s="291">
        <f t="shared" si="116"/>
        <v>2031</v>
      </c>
      <c r="I142" s="386">
        <f t="shared" si="109"/>
        <v>19520000</v>
      </c>
      <c r="J142" s="290">
        <f t="shared" si="112"/>
        <v>976000</v>
      </c>
      <c r="K142" s="204">
        <f t="shared" ref="K142:N142" si="119">$J142*K130</f>
        <v>0</v>
      </c>
      <c r="L142" s="204">
        <f t="shared" si="119"/>
        <v>0</v>
      </c>
      <c r="M142" s="204">
        <f t="shared" si="119"/>
        <v>0</v>
      </c>
      <c r="N142" s="204">
        <f t="shared" si="119"/>
        <v>0</v>
      </c>
      <c r="O142" s="204">
        <f t="shared" ref="O142:R142" si="120">$J142*O130</f>
        <v>0</v>
      </c>
      <c r="P142" s="204">
        <f t="shared" si="120"/>
        <v>0</v>
      </c>
      <c r="Q142" s="204">
        <f t="shared" si="120"/>
        <v>488000</v>
      </c>
      <c r="R142" s="204">
        <f t="shared" si="120"/>
        <v>976000</v>
      </c>
      <c r="S142" s="204"/>
      <c r="T142" s="2"/>
      <c r="U142" s="2"/>
    </row>
    <row r="143" spans="2:21" s="86" customFormat="1" ht="15" customHeight="1" outlineLevel="1">
      <c r="B143" s="77"/>
      <c r="G143" s="87"/>
      <c r="H143" s="291">
        <f t="shared" si="116"/>
        <v>2032</v>
      </c>
      <c r="I143" s="388">
        <f t="shared" si="109"/>
        <v>19520000</v>
      </c>
      <c r="J143" s="290">
        <f t="shared" si="112"/>
        <v>976000</v>
      </c>
      <c r="K143" s="204">
        <f t="shared" ref="K143:N143" si="121">$J143*K131</f>
        <v>0</v>
      </c>
      <c r="L143" s="204">
        <f t="shared" si="121"/>
        <v>0</v>
      </c>
      <c r="M143" s="204">
        <f t="shared" si="121"/>
        <v>0</v>
      </c>
      <c r="N143" s="204">
        <f t="shared" si="121"/>
        <v>0</v>
      </c>
      <c r="O143" s="204">
        <f t="shared" ref="O143:R143" si="122">$J143*O131</f>
        <v>0</v>
      </c>
      <c r="P143" s="204">
        <f t="shared" si="122"/>
        <v>0</v>
      </c>
      <c r="Q143" s="204">
        <f t="shared" si="122"/>
        <v>0</v>
      </c>
      <c r="R143" s="204">
        <f t="shared" si="122"/>
        <v>488000</v>
      </c>
      <c r="S143" s="204"/>
      <c r="T143" s="2"/>
      <c r="U143" s="2"/>
    </row>
    <row r="144" spans="2:21" s="86" customFormat="1" ht="15" customHeight="1" outlineLevel="1">
      <c r="B144" s="178"/>
      <c r="C144" s="137"/>
      <c r="D144" s="177"/>
      <c r="E144" s="177"/>
      <c r="F144" s="177"/>
      <c r="G144" s="177"/>
      <c r="H144" s="177"/>
      <c r="I144" s="177"/>
      <c r="J144" s="177"/>
      <c r="K144" s="176"/>
      <c r="L144" s="176"/>
      <c r="M144" s="176"/>
      <c r="N144" s="176"/>
      <c r="O144" s="176"/>
      <c r="P144" s="176"/>
      <c r="Q144" s="176"/>
      <c r="R144" s="176"/>
      <c r="T144" s="2"/>
      <c r="U144" s="2"/>
    </row>
    <row r="145" spans="1:21" s="86" customFormat="1" ht="15" customHeight="1" outlineLevel="1">
      <c r="B145" s="77"/>
      <c r="C145" s="93"/>
      <c r="D145" s="87"/>
      <c r="E145" s="87"/>
      <c r="F145" s="87"/>
      <c r="G145" s="87"/>
      <c r="H145" s="87"/>
      <c r="I145" s="87"/>
      <c r="J145" s="87"/>
      <c r="K145" s="89"/>
      <c r="L145" s="89"/>
      <c r="M145" s="89"/>
      <c r="N145" s="89"/>
      <c r="O145" s="89"/>
      <c r="Q145" s="197"/>
      <c r="T145" s="2"/>
      <c r="U145" s="2"/>
    </row>
    <row r="146" spans="1:21" s="86" customFormat="1" ht="15" customHeight="1" outlineLevel="1">
      <c r="B146" s="267" t="s">
        <v>182</v>
      </c>
      <c r="C146" s="93"/>
      <c r="D146" s="87"/>
      <c r="E146" s="87"/>
      <c r="F146" s="87"/>
      <c r="G146" s="87"/>
      <c r="H146" s="87"/>
      <c r="I146" s="87"/>
      <c r="J146" s="87"/>
      <c r="K146" s="89"/>
      <c r="L146" s="89"/>
      <c r="M146" s="89"/>
      <c r="N146" s="89"/>
      <c r="O146" s="89"/>
      <c r="Q146" s="197"/>
      <c r="T146" s="2"/>
      <c r="U146" s="2"/>
    </row>
    <row r="147" spans="1:21" s="86" customFormat="1" ht="15" customHeight="1" outlineLevel="1">
      <c r="B147" s="196" t="s">
        <v>181</v>
      </c>
      <c r="C147" s="93"/>
      <c r="D147" s="87"/>
      <c r="E147" s="87"/>
      <c r="F147" s="87"/>
      <c r="G147" s="87"/>
      <c r="H147" s="141"/>
      <c r="I147" s="141"/>
      <c r="J147" s="141"/>
      <c r="K147" s="81">
        <f>($D$114/$D$113)*K114</f>
        <v>8517812.5</v>
      </c>
      <c r="L147" s="81">
        <f>($D$114/$D$113)*L114</f>
        <v>8517812.5</v>
      </c>
      <c r="M147" s="81">
        <f>($D$114/$D$113)*M114</f>
        <v>8517812.5</v>
      </c>
      <c r="N147" s="81">
        <f>($D$114/$D$113)*N114</f>
        <v>8517812.5</v>
      </c>
      <c r="O147" s="81">
        <f>($D$114/$D$113)*O114</f>
        <v>8517812.5</v>
      </c>
      <c r="P147" s="81">
        <f t="shared" ref="P147:R147" si="123">($D$114/$D$113)*P114</f>
        <v>8517812.5</v>
      </c>
      <c r="Q147" s="81">
        <f t="shared" si="123"/>
        <v>8517812.5</v>
      </c>
      <c r="R147" s="81">
        <f t="shared" si="123"/>
        <v>8517812.5</v>
      </c>
      <c r="T147" s="2"/>
      <c r="U147" s="2"/>
    </row>
    <row r="148" spans="1:21" s="86" customFormat="1" ht="15" customHeight="1" outlineLevel="1">
      <c r="B148" s="196" t="s">
        <v>180</v>
      </c>
      <c r="C148" s="93"/>
      <c r="D148" s="87"/>
      <c r="E148" s="87"/>
      <c r="F148" s="87"/>
      <c r="G148" s="87"/>
      <c r="H148" s="87"/>
      <c r="I148" s="87"/>
      <c r="J148" s="87"/>
      <c r="K148" s="81">
        <f>SUM(K136:K143)</f>
        <v>471000</v>
      </c>
      <c r="L148" s="81">
        <f>SUM(L136:L140)</f>
        <v>1430600</v>
      </c>
      <c r="M148" s="81">
        <f>SUM(M136:M140)</f>
        <v>2406200</v>
      </c>
      <c r="N148" s="81">
        <f>SUM(N136:N140)</f>
        <v>3402600</v>
      </c>
      <c r="O148" s="81">
        <f>SUM(O136:O140)</f>
        <v>4402200</v>
      </c>
      <c r="P148" s="81">
        <f t="shared" ref="P148:R148" si="124">SUM(P136:P140)</f>
        <v>4892400</v>
      </c>
      <c r="Q148" s="81">
        <f t="shared" si="124"/>
        <v>4892400</v>
      </c>
      <c r="R148" s="81">
        <f t="shared" si="124"/>
        <v>4892400</v>
      </c>
      <c r="T148" s="2"/>
      <c r="U148" s="2"/>
    </row>
    <row r="149" spans="1:21" s="86" customFormat="1" ht="15" customHeight="1" outlineLevel="1" thickBot="1">
      <c r="B149" s="196" t="s">
        <v>179</v>
      </c>
      <c r="C149" s="93"/>
      <c r="D149" s="87"/>
      <c r="E149" s="87"/>
      <c r="F149" s="87"/>
      <c r="G149" s="87"/>
      <c r="H149" s="87"/>
      <c r="I149" s="87"/>
      <c r="J149" s="87"/>
      <c r="K149" s="251">
        <f>SUM(K147:K148)</f>
        <v>8988812.5</v>
      </c>
      <c r="L149" s="251">
        <f>SUM(L147:L148)</f>
        <v>9948412.5</v>
      </c>
      <c r="M149" s="251">
        <f>SUM(M147:M148)</f>
        <v>10924012.5</v>
      </c>
      <c r="N149" s="251">
        <f>SUM(N147:N148)</f>
        <v>11920412.5</v>
      </c>
      <c r="O149" s="251">
        <f>SUM(O147:O148)</f>
        <v>12920012.5</v>
      </c>
      <c r="P149" s="251">
        <f t="shared" ref="P149:R149" si="125">SUM(P147:P148)</f>
        <v>13410212.5</v>
      </c>
      <c r="Q149" s="251">
        <f t="shared" si="125"/>
        <v>13410212.5</v>
      </c>
      <c r="R149" s="251">
        <f t="shared" si="125"/>
        <v>13410212.5</v>
      </c>
      <c r="T149" s="2"/>
      <c r="U149" s="2"/>
    </row>
    <row r="150" spans="1:21" s="86" customFormat="1" ht="15" customHeight="1" outlineLevel="1">
      <c r="B150" s="77"/>
      <c r="C150" s="93"/>
      <c r="D150" s="87"/>
      <c r="E150" s="87"/>
      <c r="F150" s="87"/>
      <c r="G150" s="87"/>
      <c r="H150" s="87"/>
      <c r="I150" s="87"/>
      <c r="J150" s="87"/>
      <c r="K150" s="141"/>
      <c r="L150" s="141"/>
      <c r="M150" s="141"/>
      <c r="N150" s="141"/>
      <c r="O150" s="141"/>
      <c r="Q150" s="197"/>
      <c r="T150" s="2"/>
      <c r="U150" s="2"/>
    </row>
    <row r="151" spans="1:21" s="86" customFormat="1" ht="15" customHeight="1" outlineLevel="1">
      <c r="B151" s="77"/>
      <c r="C151" s="93"/>
      <c r="D151" s="87"/>
      <c r="E151" s="87"/>
      <c r="F151" s="87"/>
      <c r="G151" s="87"/>
      <c r="H151" s="87"/>
      <c r="I151" s="87"/>
      <c r="J151" s="87"/>
      <c r="K151" s="141"/>
      <c r="L151" s="141"/>
      <c r="M151" s="141"/>
      <c r="N151" s="141"/>
      <c r="O151" s="141"/>
      <c r="Q151" s="197"/>
      <c r="T151" s="2"/>
      <c r="U151" s="2"/>
    </row>
    <row r="152" spans="1:21" s="86" customFormat="1" ht="15" customHeight="1" outlineLevel="1">
      <c r="C152" s="93"/>
      <c r="D152" s="87"/>
      <c r="E152" s="87"/>
      <c r="F152" s="87"/>
      <c r="G152" s="87"/>
      <c r="H152" s="87"/>
      <c r="I152" s="87"/>
      <c r="J152" s="87"/>
      <c r="K152" s="89"/>
      <c r="L152" s="89"/>
      <c r="M152" s="89"/>
      <c r="N152" s="89"/>
      <c r="O152" s="6" t="s">
        <v>178</v>
      </c>
      <c r="Q152" s="53"/>
      <c r="T152" s="2"/>
      <c r="U152" s="2"/>
    </row>
    <row r="153" spans="1:21" s="86" customFormat="1" ht="15" customHeight="1" outlineLevel="1">
      <c r="C153" s="93"/>
      <c r="D153" s="87"/>
      <c r="E153" s="87"/>
      <c r="F153" s="87"/>
      <c r="G153" s="87"/>
      <c r="H153" s="87"/>
      <c r="I153" s="87"/>
      <c r="J153" s="87"/>
      <c r="K153" s="89"/>
      <c r="L153" s="89"/>
      <c r="M153" s="89"/>
      <c r="N153" s="89"/>
      <c r="O153" s="179" t="s">
        <v>177</v>
      </c>
      <c r="Q153" s="53"/>
      <c r="T153" s="2"/>
      <c r="U153" s="2"/>
    </row>
    <row r="154" spans="1:21" s="86" customFormat="1" ht="15" customHeight="1" outlineLevel="1">
      <c r="C154" s="93"/>
      <c r="D154" s="87"/>
      <c r="E154" s="87"/>
      <c r="F154" s="87"/>
      <c r="G154" s="87"/>
      <c r="H154" s="87"/>
      <c r="I154" s="87"/>
      <c r="J154" s="87"/>
      <c r="K154" s="89"/>
      <c r="L154" s="89"/>
      <c r="M154" s="89"/>
      <c r="N154" s="89"/>
      <c r="O154" s="229"/>
      <c r="Q154" s="53"/>
      <c r="T154" s="2"/>
      <c r="U154" s="2"/>
    </row>
    <row r="155" spans="1:21" s="86" customFormat="1" ht="15" customHeight="1" outlineLevel="1">
      <c r="B155" s="178"/>
      <c r="C155" s="137"/>
      <c r="D155" s="177"/>
      <c r="E155" s="177"/>
      <c r="F155" s="177"/>
      <c r="G155" s="177"/>
      <c r="H155" s="177"/>
      <c r="I155" s="177"/>
      <c r="J155" s="177"/>
      <c r="K155" s="176"/>
      <c r="L155" s="176"/>
      <c r="M155" s="176"/>
      <c r="N155" s="176"/>
      <c r="O155" s="176"/>
      <c r="P155" s="176"/>
      <c r="Q155" s="197"/>
      <c r="T155" s="2"/>
      <c r="U155" s="2"/>
    </row>
    <row r="156" spans="1:21" s="86" customFormat="1" ht="15" customHeight="1">
      <c r="B156" s="77"/>
      <c r="C156" s="93"/>
      <c r="D156" s="87"/>
      <c r="E156" s="87"/>
      <c r="F156" s="87"/>
      <c r="G156" s="87"/>
      <c r="H156" s="87"/>
      <c r="I156" s="87"/>
      <c r="J156" s="87"/>
      <c r="K156" s="89"/>
      <c r="L156" s="89"/>
      <c r="M156" s="89"/>
      <c r="N156" s="89"/>
      <c r="O156" s="89"/>
      <c r="P156" s="89"/>
      <c r="Q156" s="197"/>
      <c r="T156" s="2"/>
      <c r="U156" s="2"/>
    </row>
    <row r="157" spans="1:21" s="86" customFormat="1" ht="15" customHeight="1">
      <c r="A157" s="86" t="s">
        <v>0</v>
      </c>
      <c r="B157" s="476" t="s">
        <v>176</v>
      </c>
      <c r="C157" s="476"/>
      <c r="D157" s="476"/>
      <c r="E157" s="476"/>
      <c r="F157" s="476"/>
      <c r="G157" s="476"/>
      <c r="H157" s="476"/>
      <c r="I157" s="476"/>
      <c r="J157" s="476"/>
      <c r="K157" s="476"/>
      <c r="L157" s="476"/>
      <c r="M157" s="476"/>
      <c r="N157" s="476"/>
      <c r="O157" s="476"/>
      <c r="P157" s="476"/>
      <c r="Q157" s="476"/>
      <c r="R157" s="476"/>
      <c r="S157" s="476"/>
      <c r="T157" s="2"/>
      <c r="U157" s="2"/>
    </row>
    <row r="158" spans="1:21" s="86" customFormat="1" ht="15" customHeight="1" outlineLevel="1">
      <c r="B158" s="148"/>
      <c r="C158" s="93"/>
      <c r="D158" s="92"/>
      <c r="E158" s="92"/>
      <c r="F158" s="92"/>
      <c r="G158" s="92"/>
      <c r="H158" s="91"/>
      <c r="I158" s="91"/>
      <c r="J158" s="91"/>
      <c r="K158" s="91"/>
      <c r="L158" s="91"/>
      <c r="M158" s="91"/>
      <c r="N158" s="91"/>
      <c r="O158" s="91"/>
      <c r="Q158" s="197"/>
      <c r="T158" s="2"/>
      <c r="U158" s="2"/>
    </row>
    <row r="159" spans="1:21" s="86" customFormat="1" ht="15" customHeight="1" outlineLevel="1" thickBot="1">
      <c r="B159" s="77" t="s">
        <v>22</v>
      </c>
      <c r="C159" s="93"/>
      <c r="D159" s="87"/>
      <c r="E159" s="87"/>
      <c r="F159" s="87"/>
      <c r="G159" s="87"/>
      <c r="H159" s="91"/>
      <c r="I159" s="87"/>
      <c r="J159" s="578">
        <f t="shared" ref="J159:R159" si="126">J$5</f>
        <v>2024</v>
      </c>
      <c r="K159" s="488">
        <f t="shared" si="126"/>
        <v>2025</v>
      </c>
      <c r="L159" s="488">
        <f t="shared" si="126"/>
        <v>2026</v>
      </c>
      <c r="M159" s="488">
        <f t="shared" si="126"/>
        <v>2027</v>
      </c>
      <c r="N159" s="488">
        <f t="shared" si="126"/>
        <v>2028</v>
      </c>
      <c r="O159" s="488">
        <f t="shared" si="126"/>
        <v>2029</v>
      </c>
      <c r="P159" s="488">
        <f t="shared" si="126"/>
        <v>2030</v>
      </c>
      <c r="Q159" s="488">
        <f t="shared" si="126"/>
        <v>2031</v>
      </c>
      <c r="R159" s="488">
        <f t="shared" si="126"/>
        <v>2032</v>
      </c>
      <c r="T159" s="2"/>
      <c r="U159" s="2"/>
    </row>
    <row r="160" spans="1:21" ht="15" customHeight="1" outlineLevel="1">
      <c r="A160" s="57"/>
      <c r="B160" s="77" t="str">
        <f>$B$6</f>
        <v>Model Running: Base Case Drivers</v>
      </c>
      <c r="C160" s="93"/>
      <c r="D160" s="87"/>
      <c r="E160" s="87"/>
      <c r="F160" s="87"/>
      <c r="G160" s="87"/>
      <c r="H160" s="87"/>
      <c r="I160" s="87"/>
      <c r="J160" s="87"/>
      <c r="K160" s="89"/>
      <c r="L160" s="89"/>
      <c r="M160" s="89"/>
      <c r="N160" s="89"/>
      <c r="O160" s="89"/>
      <c r="P160" s="89"/>
    </row>
    <row r="161" spans="2:21" s="86" customFormat="1" ht="15" customHeight="1" outlineLevel="1">
      <c r="B161" s="77"/>
      <c r="C161" s="93"/>
      <c r="D161" s="87"/>
      <c r="E161" s="87"/>
      <c r="F161" s="87"/>
      <c r="G161" s="87"/>
      <c r="H161" s="87"/>
      <c r="I161" s="87"/>
      <c r="J161" s="87"/>
      <c r="K161" s="89"/>
      <c r="L161" s="89"/>
      <c r="M161" s="89"/>
      <c r="N161" s="89"/>
      <c r="O161" s="89"/>
      <c r="Q161" s="197"/>
      <c r="T161" s="2"/>
      <c r="U161" s="2"/>
    </row>
    <row r="162" spans="2:21" s="86" customFormat="1" ht="15" customHeight="1" outlineLevel="1">
      <c r="B162" s="145" t="s">
        <v>92</v>
      </c>
      <c r="C162" s="93"/>
      <c r="D162" s="87"/>
      <c r="E162" s="87"/>
      <c r="F162" s="87"/>
      <c r="G162" s="87"/>
      <c r="H162" s="87"/>
      <c r="I162" s="81"/>
      <c r="J162" s="81"/>
      <c r="K162" s="239">
        <f>K109</f>
        <v>18840000</v>
      </c>
      <c r="L162" s="238">
        <f>L109</f>
        <v>19544000</v>
      </c>
      <c r="M162" s="238">
        <f>M109</f>
        <v>19480000</v>
      </c>
      <c r="N162" s="238">
        <f>N109</f>
        <v>20376000</v>
      </c>
      <c r="O162" s="238">
        <f t="shared" ref="O162:R162" si="127">O109</f>
        <v>19608000</v>
      </c>
      <c r="P162" s="238">
        <f t="shared" si="127"/>
        <v>19520000</v>
      </c>
      <c r="Q162" s="238">
        <f t="shared" si="127"/>
        <v>19520000</v>
      </c>
      <c r="R162" s="238">
        <f t="shared" si="127"/>
        <v>19520000</v>
      </c>
      <c r="T162" s="2"/>
      <c r="U162" s="2"/>
    </row>
    <row r="163" spans="2:21" s="86" customFormat="1" ht="15" customHeight="1" outlineLevel="1">
      <c r="B163" s="77"/>
      <c r="C163" s="93"/>
      <c r="D163" s="87"/>
      <c r="E163" s="87"/>
      <c r="F163" s="87"/>
      <c r="G163" s="87"/>
      <c r="H163" s="87"/>
      <c r="I163" s="87"/>
      <c r="J163" s="87"/>
      <c r="K163" s="89"/>
      <c r="L163" s="89"/>
      <c r="M163" s="89"/>
      <c r="N163" s="89"/>
      <c r="O163" s="89"/>
      <c r="T163" s="2"/>
      <c r="U163" s="2"/>
    </row>
    <row r="164" spans="2:21" s="86" customFormat="1" ht="15" customHeight="1" outlineLevel="1">
      <c r="B164" s="258" t="s">
        <v>39</v>
      </c>
      <c r="C164" s="289"/>
      <c r="D164" s="288">
        <f>Inputs!$L$106</f>
        <v>0.5</v>
      </c>
      <c r="E164" s="369"/>
      <c r="F164" s="369"/>
      <c r="G164" s="87"/>
      <c r="H164" s="87"/>
      <c r="I164" s="87"/>
      <c r="J164" s="87"/>
      <c r="K164" s="89"/>
      <c r="L164" s="89"/>
      <c r="M164" s="89"/>
      <c r="N164" s="89"/>
      <c r="O164" s="89"/>
      <c r="T164" s="2"/>
      <c r="U164" s="2"/>
    </row>
    <row r="165" spans="2:21" s="86" customFormat="1" ht="15" customHeight="1" outlineLevel="1">
      <c r="B165" s="226" t="s">
        <v>38</v>
      </c>
      <c r="C165" s="287"/>
      <c r="D165" s="286">
        <f>Inputs!$L$107</f>
        <v>0.15</v>
      </c>
      <c r="E165" s="370"/>
      <c r="F165" s="370"/>
      <c r="G165" s="87"/>
      <c r="H165" s="87"/>
      <c r="I165" s="87"/>
      <c r="J165" s="87"/>
      <c r="L165" s="89"/>
      <c r="M165" s="89"/>
      <c r="N165" s="89"/>
      <c r="O165" s="89"/>
      <c r="T165" s="2"/>
      <c r="U165" s="2"/>
    </row>
    <row r="166" spans="2:21" s="86" customFormat="1" ht="15" customHeight="1" outlineLevel="1">
      <c r="B166" s="59"/>
      <c r="C166" s="220"/>
      <c r="D166" s="285"/>
      <c r="E166" s="285"/>
      <c r="F166" s="285"/>
      <c r="G166" s="87"/>
      <c r="H166" s="87"/>
      <c r="I166" s="87"/>
      <c r="J166" s="87"/>
      <c r="K166" s="284"/>
      <c r="L166" s="284"/>
      <c r="M166" s="284"/>
      <c r="N166" s="284"/>
      <c r="O166" s="284"/>
      <c r="T166" s="2"/>
      <c r="U166" s="2"/>
    </row>
    <row r="167" spans="2:21" s="86" customFormat="1" ht="15" customHeight="1" outlineLevel="1">
      <c r="B167" s="59"/>
      <c r="C167" s="220"/>
      <c r="D167" s="285"/>
      <c r="E167" s="285"/>
      <c r="F167" s="285"/>
      <c r="G167" s="87"/>
      <c r="H167" s="87"/>
      <c r="I167" s="87"/>
      <c r="J167" s="87"/>
      <c r="K167" s="284"/>
      <c r="L167" s="284"/>
      <c r="M167" s="284"/>
      <c r="N167" s="284"/>
      <c r="O167" s="284"/>
      <c r="T167" s="2"/>
      <c r="U167" s="2"/>
    </row>
    <row r="168" spans="2:21" s="86" customFormat="1" ht="15" customHeight="1" outlineLevel="1">
      <c r="B168" s="267" t="s">
        <v>175</v>
      </c>
      <c r="C168" s="93"/>
      <c r="D168" s="87"/>
      <c r="E168" s="87"/>
      <c r="F168" s="87"/>
      <c r="G168" s="87"/>
      <c r="H168" s="87"/>
      <c r="I168" s="87"/>
      <c r="J168" s="87"/>
      <c r="K168" s="89"/>
      <c r="L168" s="89"/>
      <c r="M168" s="89"/>
      <c r="N168" s="89"/>
      <c r="O168" s="89"/>
      <c r="T168" s="2"/>
      <c r="U168" s="2"/>
    </row>
    <row r="169" spans="2:21" s="86" customFormat="1" ht="15" customHeight="1" outlineLevel="1">
      <c r="B169" s="196" t="s">
        <v>155</v>
      </c>
      <c r="C169" s="93"/>
      <c r="D169" s="87"/>
      <c r="E169" s="87"/>
      <c r="F169" s="87"/>
      <c r="G169" s="87"/>
      <c r="H169" s="87"/>
      <c r="I169" s="141"/>
      <c r="J169" s="81"/>
      <c r="K169" s="81">
        <f>J172</f>
        <v>136285000</v>
      </c>
      <c r="L169" s="81">
        <f>K172</f>
        <v>146136187.5</v>
      </c>
      <c r="M169" s="81">
        <f>L172</f>
        <v>155731775</v>
      </c>
      <c r="N169" s="81">
        <f>M172</f>
        <v>164287762.5</v>
      </c>
      <c r="O169" s="81">
        <f t="shared" ref="O169:R169" si="128">N172</f>
        <v>172743350</v>
      </c>
      <c r="P169" s="81">
        <f t="shared" si="128"/>
        <v>179431337.5</v>
      </c>
      <c r="Q169" s="81">
        <f t="shared" si="128"/>
        <v>185541125</v>
      </c>
      <c r="R169" s="81">
        <f t="shared" si="128"/>
        <v>191650912.5</v>
      </c>
      <c r="T169" s="2"/>
      <c r="U169" s="2"/>
    </row>
    <row r="170" spans="2:21" s="86" customFormat="1" ht="15" customHeight="1" outlineLevel="1">
      <c r="B170" s="196" t="s">
        <v>92</v>
      </c>
      <c r="C170" s="93"/>
      <c r="D170" s="87"/>
      <c r="E170" s="87"/>
      <c r="F170" s="87"/>
      <c r="G170" s="87"/>
      <c r="H170" s="87"/>
      <c r="I170" s="141"/>
      <c r="J170" s="283"/>
      <c r="K170" s="81">
        <f>K162</f>
        <v>18840000</v>
      </c>
      <c r="L170" s="81">
        <f>L162</f>
        <v>19544000</v>
      </c>
      <c r="M170" s="81">
        <f>M162</f>
        <v>19480000</v>
      </c>
      <c r="N170" s="81">
        <f>N162</f>
        <v>20376000</v>
      </c>
      <c r="O170" s="81">
        <f t="shared" ref="O170:R170" si="129">O162</f>
        <v>19608000</v>
      </c>
      <c r="P170" s="81">
        <f t="shared" si="129"/>
        <v>19520000</v>
      </c>
      <c r="Q170" s="81">
        <f t="shared" si="129"/>
        <v>19520000</v>
      </c>
      <c r="R170" s="81">
        <f t="shared" si="129"/>
        <v>19520000</v>
      </c>
      <c r="T170" s="2"/>
      <c r="U170" s="2"/>
    </row>
    <row r="171" spans="2:21" s="86" customFormat="1" ht="15" customHeight="1" outlineLevel="1">
      <c r="B171" s="196" t="s">
        <v>174</v>
      </c>
      <c r="C171" s="93"/>
      <c r="D171" s="87"/>
      <c r="E171" s="87"/>
      <c r="F171" s="87"/>
      <c r="G171" s="87"/>
      <c r="H171" s="87"/>
      <c r="I171" s="141"/>
      <c r="J171" s="208"/>
      <c r="K171" s="208">
        <f>-K149</f>
        <v>-8988812.5</v>
      </c>
      <c r="L171" s="208">
        <f>-L149</f>
        <v>-9948412.5</v>
      </c>
      <c r="M171" s="208">
        <f>-M149</f>
        <v>-10924012.5</v>
      </c>
      <c r="N171" s="208">
        <f>-N149</f>
        <v>-11920412.5</v>
      </c>
      <c r="O171" s="208">
        <f t="shared" ref="O171:R171" si="130">-O149</f>
        <v>-12920012.5</v>
      </c>
      <c r="P171" s="208">
        <f t="shared" si="130"/>
        <v>-13410212.5</v>
      </c>
      <c r="Q171" s="208">
        <f t="shared" si="130"/>
        <v>-13410212.5</v>
      </c>
      <c r="R171" s="208">
        <f t="shared" si="130"/>
        <v>-13410212.5</v>
      </c>
      <c r="T171" s="2"/>
      <c r="U171" s="2"/>
    </row>
    <row r="172" spans="2:21" s="86" customFormat="1" ht="15" customHeight="1" outlineLevel="1">
      <c r="B172" s="196" t="s">
        <v>152</v>
      </c>
      <c r="C172" s="93"/>
      <c r="D172" s="87"/>
      <c r="E172" s="87"/>
      <c r="F172" s="87"/>
      <c r="G172" s="87"/>
      <c r="H172" s="282"/>
      <c r="I172" s="141"/>
      <c r="J172" s="279">
        <f>$D$114</f>
        <v>136285000</v>
      </c>
      <c r="K172" s="81">
        <f>SUM(K169:K171)</f>
        <v>146136187.5</v>
      </c>
      <c r="L172" s="81">
        <f>SUM(L169:L171)</f>
        <v>155731775</v>
      </c>
      <c r="M172" s="81">
        <f>SUM(M169:M171)</f>
        <v>164287762.5</v>
      </c>
      <c r="N172" s="81">
        <f>SUM(N169:N171)</f>
        <v>172743350</v>
      </c>
      <c r="O172" s="81">
        <f t="shared" ref="O172:R172" si="131">SUM(O169:O171)</f>
        <v>179431337.5</v>
      </c>
      <c r="P172" s="81">
        <f t="shared" si="131"/>
        <v>185541125</v>
      </c>
      <c r="Q172" s="81">
        <f t="shared" si="131"/>
        <v>191650912.5</v>
      </c>
      <c r="R172" s="81">
        <f t="shared" si="131"/>
        <v>197760700</v>
      </c>
      <c r="T172" s="2"/>
      <c r="U172" s="2"/>
    </row>
    <row r="173" spans="2:21" s="86" customFormat="1" ht="15" customHeight="1" outlineLevel="1">
      <c r="B173" s="77"/>
      <c r="C173" s="93"/>
      <c r="D173" s="87"/>
      <c r="E173" s="87"/>
      <c r="F173" s="87"/>
      <c r="G173" s="87"/>
      <c r="H173" s="87"/>
      <c r="I173" s="87"/>
      <c r="J173" s="259"/>
      <c r="K173" s="259"/>
      <c r="L173" s="259"/>
      <c r="M173" s="259"/>
      <c r="N173" s="259"/>
      <c r="O173" s="259"/>
      <c r="P173" s="259"/>
      <c r="Q173" s="89"/>
      <c r="T173" s="2"/>
      <c r="U173" s="2"/>
    </row>
    <row r="174" spans="2:21" s="86" customFormat="1" ht="15" customHeight="1" outlineLevel="1">
      <c r="B174" s="77"/>
      <c r="C174" s="93"/>
      <c r="D174" s="87"/>
      <c r="E174" s="87"/>
      <c r="F174" s="87"/>
      <c r="G174" s="87"/>
      <c r="H174" s="87"/>
      <c r="I174" s="87"/>
      <c r="J174" s="259"/>
      <c r="K174" s="259"/>
      <c r="L174" s="259"/>
      <c r="M174" s="259"/>
      <c r="N174" s="259"/>
      <c r="O174" s="259"/>
      <c r="P174" s="259"/>
      <c r="Q174" s="89"/>
      <c r="T174" s="2"/>
      <c r="U174" s="2"/>
    </row>
    <row r="175" spans="2:21" s="86" customFormat="1" ht="15" customHeight="1" outlineLevel="1">
      <c r="B175" s="267" t="s">
        <v>173</v>
      </c>
      <c r="C175" s="93"/>
      <c r="D175" s="87"/>
      <c r="E175" s="87"/>
      <c r="F175" s="87"/>
      <c r="G175" s="87"/>
      <c r="H175" s="87"/>
      <c r="I175" s="87"/>
      <c r="J175" s="259"/>
      <c r="K175" s="259"/>
      <c r="L175" s="259"/>
      <c r="M175" s="259"/>
      <c r="N175" s="259"/>
      <c r="O175" s="259"/>
      <c r="P175" s="259"/>
      <c r="Q175" s="89"/>
      <c r="T175" s="2"/>
      <c r="U175" s="2"/>
    </row>
    <row r="176" spans="2:21" s="86" customFormat="1" ht="15" customHeight="1" outlineLevel="1">
      <c r="B176" s="196" t="s">
        <v>155</v>
      </c>
      <c r="C176" s="93"/>
      <c r="D176" s="87"/>
      <c r="E176" s="87"/>
      <c r="F176" s="87"/>
      <c r="G176" s="87"/>
      <c r="H176" s="87"/>
      <c r="I176" s="141"/>
      <c r="J176" s="81"/>
      <c r="K176" s="81">
        <f>J179</f>
        <v>97716941.176470593</v>
      </c>
      <c r="L176" s="81">
        <f>K179</f>
        <v>100486400</v>
      </c>
      <c r="M176" s="81">
        <f>L179</f>
        <v>103491640</v>
      </c>
      <c r="N176" s="81">
        <f>M179</f>
        <v>105986894</v>
      </c>
      <c r="O176" s="81">
        <f t="shared" ref="O176:R176" si="132">N179</f>
        <v>108936659.90000001</v>
      </c>
      <c r="P176" s="81">
        <f t="shared" si="132"/>
        <v>110733560.91500001</v>
      </c>
      <c r="Q176" s="81">
        <f t="shared" si="132"/>
        <v>112179526.77775002</v>
      </c>
      <c r="R176" s="81">
        <f t="shared" si="132"/>
        <v>113408597.76108751</v>
      </c>
      <c r="T176" s="2"/>
      <c r="U176" s="2"/>
    </row>
    <row r="177" spans="1:21" s="86" customFormat="1" ht="15" customHeight="1" outlineLevel="1">
      <c r="B177" s="196" t="s">
        <v>92</v>
      </c>
      <c r="C177" s="93"/>
      <c r="D177" s="87"/>
      <c r="E177" s="87"/>
      <c r="F177" s="87"/>
      <c r="G177" s="87"/>
      <c r="H177" s="87"/>
      <c r="I177" s="141"/>
      <c r="J177" s="81"/>
      <c r="K177" s="81">
        <f>K170</f>
        <v>18840000</v>
      </c>
      <c r="L177" s="81">
        <f>L170</f>
        <v>19544000</v>
      </c>
      <c r="M177" s="81">
        <f>M170</f>
        <v>19480000</v>
      </c>
      <c r="N177" s="81">
        <f>N170</f>
        <v>20376000</v>
      </c>
      <c r="O177" s="81">
        <f t="shared" ref="O177:R177" si="133">O170</f>
        <v>19608000</v>
      </c>
      <c r="P177" s="81">
        <f t="shared" si="133"/>
        <v>19520000</v>
      </c>
      <c r="Q177" s="81">
        <f t="shared" si="133"/>
        <v>19520000</v>
      </c>
      <c r="R177" s="81">
        <f t="shared" si="133"/>
        <v>19520000</v>
      </c>
      <c r="T177" s="2"/>
      <c r="U177" s="2"/>
    </row>
    <row r="178" spans="1:21" s="86" customFormat="1" ht="15" customHeight="1" outlineLevel="1">
      <c r="B178" s="196" t="s">
        <v>172</v>
      </c>
      <c r="J178" s="281"/>
      <c r="K178" s="208">
        <f>-(K176+K177*$D$164)*$D$165</f>
        <v>-16070541.176470589</v>
      </c>
      <c r="L178" s="208">
        <f>-(L176+L177*$D$164)*$D$165</f>
        <v>-16538760</v>
      </c>
      <c r="M178" s="208">
        <f>-(M176+M177*$D$164)*$D$165</f>
        <v>-16984746</v>
      </c>
      <c r="N178" s="208">
        <f>-(N176+N177*$D$164)*$D$165</f>
        <v>-17426234.099999998</v>
      </c>
      <c r="O178" s="208">
        <f t="shared" ref="O178:R178" si="134">-(O176+O177*$D$164)*$D$165</f>
        <v>-17811098.984999999</v>
      </c>
      <c r="P178" s="208">
        <f t="shared" si="134"/>
        <v>-18074034.137249999</v>
      </c>
      <c r="Q178" s="208">
        <f t="shared" si="134"/>
        <v>-18290929.016662501</v>
      </c>
      <c r="R178" s="208">
        <f t="shared" si="134"/>
        <v>-18475289.664163124</v>
      </c>
      <c r="T178" s="2"/>
      <c r="U178" s="2"/>
    </row>
    <row r="179" spans="1:21" s="86" customFormat="1" ht="15" customHeight="1" outlineLevel="1">
      <c r="B179" s="196" t="s">
        <v>152</v>
      </c>
      <c r="C179" s="93"/>
      <c r="D179" s="87"/>
      <c r="E179" s="87"/>
      <c r="F179" s="87"/>
      <c r="G179" s="87"/>
      <c r="H179" s="203"/>
      <c r="I179" s="141"/>
      <c r="J179" s="279">
        <f>Inputs!$L$96</f>
        <v>97716941.176470593</v>
      </c>
      <c r="K179" s="81">
        <f>SUM(K176:K178)</f>
        <v>100486400</v>
      </c>
      <c r="L179" s="81">
        <f>SUM(L176:L178)</f>
        <v>103491640</v>
      </c>
      <c r="M179" s="81">
        <f>SUM(M176:M178)</f>
        <v>105986894</v>
      </c>
      <c r="N179" s="81">
        <f>SUM(N176:N178)</f>
        <v>108936659.90000001</v>
      </c>
      <c r="O179" s="81">
        <f t="shared" ref="O179:R179" si="135">SUM(O176:O178)</f>
        <v>110733560.91500001</v>
      </c>
      <c r="P179" s="81">
        <f t="shared" si="135"/>
        <v>112179526.77775002</v>
      </c>
      <c r="Q179" s="81">
        <f t="shared" si="135"/>
        <v>113408597.76108751</v>
      </c>
      <c r="R179" s="81">
        <f t="shared" si="135"/>
        <v>114453308.09692438</v>
      </c>
      <c r="T179" s="2"/>
      <c r="U179" s="2"/>
    </row>
    <row r="180" spans="1:21" s="86" customFormat="1" ht="15" customHeight="1" outlineLevel="1">
      <c r="B180" s="77"/>
      <c r="C180" s="93"/>
      <c r="D180" s="87"/>
      <c r="E180" s="87"/>
      <c r="F180" s="87"/>
      <c r="G180" s="87"/>
      <c r="H180" s="87"/>
      <c r="I180" s="87"/>
      <c r="J180" s="87"/>
      <c r="K180" s="89"/>
      <c r="L180" s="89"/>
      <c r="M180" s="89"/>
      <c r="N180" s="89"/>
      <c r="O180" s="89"/>
      <c r="T180" s="2"/>
      <c r="U180" s="2"/>
    </row>
    <row r="181" spans="1:21" s="86" customFormat="1" ht="15" customHeight="1" outlineLevel="1">
      <c r="B181" s="77"/>
      <c r="C181" s="93"/>
      <c r="D181" s="87"/>
      <c r="E181" s="87"/>
      <c r="F181" s="87"/>
      <c r="G181" s="87"/>
      <c r="H181" s="87"/>
      <c r="I181" s="87"/>
      <c r="J181" s="87"/>
      <c r="K181" s="89"/>
      <c r="L181" s="89"/>
      <c r="M181" s="89"/>
      <c r="N181" s="89"/>
      <c r="O181" s="89"/>
      <c r="Q181" s="197"/>
      <c r="T181" s="2"/>
      <c r="U181" s="2"/>
    </row>
    <row r="182" spans="1:21" s="86" customFormat="1" ht="15" customHeight="1" outlineLevel="1">
      <c r="B182" s="77"/>
      <c r="C182" s="93"/>
      <c r="D182" s="87"/>
      <c r="E182" s="87"/>
      <c r="F182" s="87"/>
      <c r="G182" s="87"/>
      <c r="H182" s="87"/>
      <c r="I182" s="87"/>
      <c r="J182" s="87"/>
      <c r="K182" s="89"/>
      <c r="L182" s="89"/>
      <c r="M182" s="89"/>
      <c r="N182" s="89"/>
      <c r="O182" s="6" t="s">
        <v>171</v>
      </c>
      <c r="Q182" s="53"/>
      <c r="T182" s="2"/>
      <c r="U182" s="2"/>
    </row>
    <row r="183" spans="1:21" s="86" customFormat="1" ht="15" customHeight="1" outlineLevel="1">
      <c r="B183" s="77"/>
      <c r="C183" s="93"/>
      <c r="D183" s="87"/>
      <c r="E183" s="87"/>
      <c r="F183" s="87"/>
      <c r="G183" s="87"/>
      <c r="H183" s="87"/>
      <c r="I183" s="87"/>
      <c r="J183" s="87"/>
      <c r="K183" s="89"/>
      <c r="L183" s="89"/>
      <c r="M183" s="89"/>
      <c r="N183" s="89"/>
      <c r="O183" s="229"/>
      <c r="Q183" s="53"/>
      <c r="T183" s="2"/>
      <c r="U183" s="2"/>
    </row>
    <row r="184" spans="1:21" s="86" customFormat="1" ht="15" customHeight="1" outlineLevel="1">
      <c r="B184" s="178"/>
      <c r="C184" s="137"/>
      <c r="D184" s="177"/>
      <c r="E184" s="177"/>
      <c r="F184" s="177"/>
      <c r="G184" s="177"/>
      <c r="H184" s="177"/>
      <c r="I184" s="177"/>
      <c r="J184" s="177"/>
      <c r="K184" s="176"/>
      <c r="L184" s="176"/>
      <c r="M184" s="176"/>
      <c r="N184" s="176"/>
      <c r="O184" s="176"/>
      <c r="P184" s="176"/>
      <c r="Q184" s="217"/>
      <c r="T184" s="2"/>
      <c r="U184" s="2"/>
    </row>
    <row r="185" spans="1:21" s="86" customFormat="1" ht="15" customHeight="1">
      <c r="B185" s="77"/>
      <c r="C185" s="93"/>
      <c r="D185" s="87"/>
      <c r="E185" s="87"/>
      <c r="F185" s="87"/>
      <c r="G185" s="87"/>
      <c r="H185" s="87"/>
      <c r="I185" s="87"/>
      <c r="J185" s="87"/>
      <c r="K185" s="89"/>
      <c r="L185" s="89"/>
      <c r="M185" s="89"/>
      <c r="N185" s="89"/>
      <c r="O185" s="89"/>
      <c r="P185" s="89"/>
      <c r="Q185" s="217"/>
      <c r="T185" s="2"/>
      <c r="U185" s="2"/>
    </row>
    <row r="186" spans="1:21" s="86" customFormat="1" ht="15" customHeight="1">
      <c r="A186" s="86" t="s">
        <v>0</v>
      </c>
      <c r="B186" s="476" t="s">
        <v>170</v>
      </c>
      <c r="C186" s="476"/>
      <c r="D186" s="476"/>
      <c r="E186" s="476"/>
      <c r="F186" s="476"/>
      <c r="G186" s="476"/>
      <c r="H186" s="476"/>
      <c r="I186" s="476"/>
      <c r="J186" s="476"/>
      <c r="K186" s="476"/>
      <c r="L186" s="476"/>
      <c r="M186" s="476"/>
      <c r="N186" s="476"/>
      <c r="O186" s="476"/>
      <c r="P186" s="476"/>
      <c r="Q186" s="476"/>
      <c r="R186" s="476"/>
      <c r="S186" s="476"/>
      <c r="T186" s="2"/>
      <c r="U186" s="2"/>
    </row>
    <row r="187" spans="1:21" s="86" customFormat="1" ht="15" customHeight="1" outlineLevel="1">
      <c r="B187" s="148"/>
      <c r="C187" s="93"/>
      <c r="D187" s="92"/>
      <c r="E187" s="92"/>
      <c r="F187" s="92"/>
      <c r="G187" s="92"/>
      <c r="H187" s="91"/>
      <c r="I187" s="91"/>
      <c r="J187" s="91"/>
      <c r="K187" s="91"/>
      <c r="L187" s="91"/>
      <c r="M187" s="91"/>
      <c r="N187" s="91"/>
      <c r="O187" s="91"/>
      <c r="Q187" s="217"/>
      <c r="T187" s="2"/>
      <c r="U187" s="2"/>
    </row>
    <row r="188" spans="1:21" s="86" customFormat="1" ht="15" customHeight="1" outlineLevel="1" thickBot="1">
      <c r="B188" s="77" t="s">
        <v>22</v>
      </c>
      <c r="C188" s="93"/>
      <c r="D188" s="87"/>
      <c r="E188" s="87"/>
      <c r="F188" s="87"/>
      <c r="G188" s="87"/>
      <c r="H188" s="87"/>
      <c r="I188" s="87"/>
      <c r="J188" s="560">
        <f t="shared" ref="J188:R188" si="136">J$5</f>
        <v>2024</v>
      </c>
      <c r="K188" s="488">
        <f t="shared" si="136"/>
        <v>2025</v>
      </c>
      <c r="L188" s="488">
        <f t="shared" si="136"/>
        <v>2026</v>
      </c>
      <c r="M188" s="488">
        <f t="shared" si="136"/>
        <v>2027</v>
      </c>
      <c r="N188" s="488">
        <f t="shared" si="136"/>
        <v>2028</v>
      </c>
      <c r="O188" s="488">
        <f t="shared" si="136"/>
        <v>2029</v>
      </c>
      <c r="P188" s="488">
        <f t="shared" si="136"/>
        <v>2030</v>
      </c>
      <c r="Q188" s="488">
        <f t="shared" si="136"/>
        <v>2031</v>
      </c>
      <c r="R188" s="488">
        <f t="shared" si="136"/>
        <v>2032</v>
      </c>
      <c r="T188" s="2"/>
      <c r="U188" s="2"/>
    </row>
    <row r="189" spans="1:21" ht="15" customHeight="1" outlineLevel="1">
      <c r="A189" s="57"/>
      <c r="B189" s="77" t="str">
        <f>$B$6</f>
        <v>Model Running: Base Case Drivers</v>
      </c>
      <c r="C189" s="93"/>
      <c r="D189" s="87"/>
      <c r="E189" s="87"/>
      <c r="F189" s="87"/>
      <c r="G189" s="87"/>
      <c r="H189" s="87"/>
      <c r="I189" s="87"/>
      <c r="J189" s="87"/>
      <c r="K189" s="89"/>
      <c r="L189" s="89"/>
      <c r="M189" s="89"/>
      <c r="N189" s="89"/>
      <c r="O189" s="89"/>
      <c r="P189" s="89"/>
      <c r="Q189" s="89"/>
      <c r="R189" s="89"/>
    </row>
    <row r="190" spans="1:21" s="86" customFormat="1" ht="15" customHeight="1" outlineLevel="1">
      <c r="B190" s="77"/>
      <c r="C190" s="93"/>
      <c r="D190" s="87"/>
      <c r="E190" s="87"/>
      <c r="F190" s="87"/>
      <c r="G190" s="87"/>
      <c r="H190" s="87"/>
      <c r="I190" s="87"/>
      <c r="J190" s="87"/>
      <c r="K190" s="89"/>
      <c r="L190" s="89"/>
      <c r="M190" s="89"/>
      <c r="N190" s="89"/>
      <c r="O190" s="89"/>
      <c r="P190" s="89"/>
      <c r="Q190" s="89"/>
      <c r="R190" s="89"/>
      <c r="T190" s="2"/>
      <c r="U190" s="2"/>
    </row>
    <row r="191" spans="1:21" s="86" customFormat="1" ht="15" customHeight="1" outlineLevel="1">
      <c r="B191" s="145" t="s">
        <v>169</v>
      </c>
      <c r="C191" s="93"/>
      <c r="D191" s="87"/>
      <c r="E191" s="87"/>
      <c r="F191" s="87"/>
      <c r="G191" s="87"/>
      <c r="I191" s="141"/>
      <c r="J191" s="81"/>
      <c r="K191" s="275">
        <f>K59</f>
        <v>20209415.20000001</v>
      </c>
      <c r="L191" s="221">
        <f>L59</f>
        <v>24212559.797600016</v>
      </c>
      <c r="M191" s="221">
        <f>M59</f>
        <v>28550808.475311704</v>
      </c>
      <c r="N191" s="221">
        <f>N59</f>
        <v>29976966.451474175</v>
      </c>
      <c r="O191" s="221">
        <f t="shared" ref="O191:R191" si="137">O59</f>
        <v>30990801.808202825</v>
      </c>
      <c r="P191" s="221">
        <f t="shared" si="137"/>
        <v>32042637.337269232</v>
      </c>
      <c r="Q191" s="221">
        <f t="shared" si="137"/>
        <v>33347267.495678388</v>
      </c>
      <c r="R191" s="221">
        <f t="shared" si="137"/>
        <v>34687284.453266814</v>
      </c>
      <c r="T191" s="2"/>
      <c r="U191" s="2"/>
    </row>
    <row r="192" spans="1:21" s="86" customFormat="1" ht="15" customHeight="1" outlineLevel="1">
      <c r="B192" s="145" t="s">
        <v>165</v>
      </c>
      <c r="C192" s="93"/>
      <c r="D192" s="87"/>
      <c r="E192" s="87"/>
      <c r="F192" s="87"/>
      <c r="G192" s="87"/>
      <c r="H192" s="87"/>
      <c r="I192" s="87"/>
      <c r="J192" s="87"/>
      <c r="K192" s="274">
        <f>IF(K202&gt;0,1,0)</f>
        <v>1</v>
      </c>
      <c r="L192" s="273">
        <f>IF(L202&gt;0,1,0)</f>
        <v>1</v>
      </c>
      <c r="M192" s="273">
        <f>IF(M202&gt;0,1,0)</f>
        <v>1</v>
      </c>
      <c r="N192" s="273">
        <f>IF(N202&gt;0,1,0)</f>
        <v>1</v>
      </c>
      <c r="O192" s="273">
        <f t="shared" ref="O192:R192" si="138">IF(O202&gt;0,1,0)</f>
        <v>1</v>
      </c>
      <c r="P192" s="273">
        <f t="shared" si="138"/>
        <v>1</v>
      </c>
      <c r="Q192" s="273">
        <f t="shared" si="138"/>
        <v>1</v>
      </c>
      <c r="R192" s="273">
        <f t="shared" si="138"/>
        <v>1</v>
      </c>
      <c r="T192" s="2"/>
      <c r="U192" s="2"/>
    </row>
    <row r="193" spans="1:21" s="86" customFormat="1" ht="15" customHeight="1" outlineLevel="1">
      <c r="B193" s="77"/>
      <c r="C193" s="93"/>
      <c r="D193" s="87"/>
      <c r="E193" s="87"/>
      <c r="F193" s="87"/>
      <c r="G193" s="87"/>
      <c r="H193" s="87"/>
      <c r="I193" s="87"/>
      <c r="J193" s="87"/>
      <c r="K193" s="89"/>
      <c r="L193" s="89"/>
      <c r="M193" s="89"/>
      <c r="N193" s="89"/>
      <c r="O193" s="89"/>
      <c r="Q193" s="53"/>
      <c r="T193" s="2"/>
      <c r="U193" s="2"/>
    </row>
    <row r="194" spans="1:21" s="86" customFormat="1" ht="15" customHeight="1" outlineLevel="1">
      <c r="B194" s="258" t="s">
        <v>65</v>
      </c>
      <c r="C194" s="272"/>
      <c r="D194" s="271">
        <f>$C$43</f>
        <v>0.34</v>
      </c>
      <c r="E194" s="371"/>
      <c r="F194" s="371"/>
      <c r="G194" s="87"/>
      <c r="H194" s="87"/>
      <c r="I194" s="87"/>
      <c r="J194" s="87"/>
      <c r="K194" s="89"/>
      <c r="L194" s="89"/>
      <c r="M194" s="89"/>
      <c r="N194" s="89"/>
      <c r="O194" s="89"/>
      <c r="Q194" s="53"/>
      <c r="T194" s="2"/>
      <c r="U194" s="2"/>
    </row>
    <row r="195" spans="1:21" ht="15" customHeight="1" outlineLevel="1">
      <c r="A195" s="86"/>
      <c r="B195" s="270" t="s">
        <v>164</v>
      </c>
      <c r="C195" s="137"/>
      <c r="D195" s="269">
        <f>IF(O213=0,0,1)</f>
        <v>0</v>
      </c>
      <c r="E195" s="372"/>
      <c r="F195" s="372"/>
      <c r="G195" s="87"/>
      <c r="H195" s="81"/>
      <c r="I195" s="280"/>
      <c r="J195" s="81"/>
      <c r="K195" s="81"/>
      <c r="L195" s="81"/>
      <c r="M195" s="81"/>
      <c r="N195" s="81"/>
      <c r="Q195" s="53"/>
    </row>
    <row r="196" spans="1:21" s="86" customFormat="1" ht="15" customHeight="1" outlineLevel="1">
      <c r="B196" s="77"/>
      <c r="C196" s="93"/>
      <c r="D196" s="268"/>
      <c r="E196" s="268"/>
      <c r="F196" s="268"/>
      <c r="G196" s="87"/>
      <c r="H196" s="87"/>
      <c r="I196" s="87"/>
      <c r="J196" s="87"/>
      <c r="K196" s="89"/>
      <c r="L196" s="89"/>
      <c r="M196" s="89"/>
      <c r="N196" s="89"/>
      <c r="O196" s="89"/>
      <c r="T196" s="2"/>
      <c r="U196" s="2"/>
    </row>
    <row r="197" spans="1:21" s="86" customFormat="1" ht="15" customHeight="1" outlineLevel="1">
      <c r="B197" s="77"/>
      <c r="C197" s="93"/>
      <c r="D197" s="268"/>
      <c r="E197" s="268"/>
      <c r="F197" s="268"/>
      <c r="G197" s="87"/>
      <c r="H197" s="87"/>
      <c r="I197" s="87"/>
      <c r="J197" s="87"/>
      <c r="K197" s="89"/>
      <c r="L197" s="89"/>
      <c r="M197" s="89"/>
      <c r="N197" s="89"/>
      <c r="O197" s="89"/>
      <c r="T197" s="2"/>
      <c r="U197" s="2"/>
    </row>
    <row r="198" spans="1:21" s="86" customFormat="1" ht="15" customHeight="1" outlineLevel="1">
      <c r="B198" s="191" t="s">
        <v>163</v>
      </c>
      <c r="C198" s="93"/>
      <c r="D198" s="87"/>
      <c r="E198" s="87"/>
      <c r="F198" s="87"/>
      <c r="G198" s="87"/>
      <c r="H198" s="87"/>
      <c r="I198" s="87"/>
      <c r="J198" s="87"/>
      <c r="K198" s="89"/>
      <c r="L198" s="89"/>
      <c r="M198" s="89"/>
      <c r="N198" s="89"/>
      <c r="O198" s="89"/>
      <c r="Q198" s="197"/>
      <c r="T198" s="2"/>
      <c r="U198" s="2"/>
    </row>
    <row r="199" spans="1:21" s="86" customFormat="1" ht="15" customHeight="1" outlineLevel="1">
      <c r="B199" s="196" t="s">
        <v>140</v>
      </c>
      <c r="C199" s="93"/>
      <c r="D199" s="87"/>
      <c r="E199" s="87"/>
      <c r="F199" s="87"/>
      <c r="G199" s="87"/>
      <c r="H199" s="87"/>
      <c r="I199" s="87"/>
      <c r="J199" s="81"/>
      <c r="K199" s="81">
        <f>K191</f>
        <v>20209415.20000001</v>
      </c>
      <c r="L199" s="81">
        <f>L191</f>
        <v>24212559.797600016</v>
      </c>
      <c r="M199" s="81">
        <f>M191</f>
        <v>28550808.475311704</v>
      </c>
      <c r="N199" s="81">
        <f>N191</f>
        <v>29976966.451474175</v>
      </c>
      <c r="O199" s="81">
        <f t="shared" ref="O199:R199" si="139">O191</f>
        <v>30990801.808202825</v>
      </c>
      <c r="P199" s="81">
        <f t="shared" si="139"/>
        <v>32042637.337269232</v>
      </c>
      <c r="Q199" s="81">
        <f t="shared" si="139"/>
        <v>33347267.495678388</v>
      </c>
      <c r="R199" s="81">
        <f t="shared" si="139"/>
        <v>34687284.453266814</v>
      </c>
      <c r="T199" s="2"/>
      <c r="U199" s="2"/>
    </row>
    <row r="200" spans="1:21" s="86" customFormat="1" ht="15" customHeight="1" outlineLevel="1">
      <c r="B200" s="196" t="s">
        <v>162</v>
      </c>
      <c r="C200" s="93"/>
      <c r="D200" s="87"/>
      <c r="E200" s="87"/>
      <c r="F200" s="87"/>
      <c r="G200" s="87"/>
      <c r="H200" s="87"/>
      <c r="I200" s="87"/>
      <c r="J200" s="259"/>
      <c r="K200" s="81">
        <f>-K$171</f>
        <v>8988812.5</v>
      </c>
      <c r="L200" s="81">
        <f>-L$171</f>
        <v>9948412.5</v>
      </c>
      <c r="M200" s="81">
        <f>-M$171</f>
        <v>10924012.5</v>
      </c>
      <c r="N200" s="81">
        <f>-N$171</f>
        <v>11920412.5</v>
      </c>
      <c r="O200" s="81">
        <f t="shared" ref="O200:R200" si="140">-O$171</f>
        <v>12920012.5</v>
      </c>
      <c r="P200" s="81">
        <f t="shared" si="140"/>
        <v>13410212.5</v>
      </c>
      <c r="Q200" s="81">
        <f t="shared" si="140"/>
        <v>13410212.5</v>
      </c>
      <c r="R200" s="81">
        <f t="shared" si="140"/>
        <v>13410212.5</v>
      </c>
      <c r="T200" s="2"/>
      <c r="U200" s="2"/>
    </row>
    <row r="201" spans="1:21" s="86" customFormat="1" ht="15" customHeight="1" outlineLevel="1">
      <c r="B201" s="196" t="s">
        <v>161</v>
      </c>
      <c r="C201" s="93"/>
      <c r="D201" s="87"/>
      <c r="E201" s="87"/>
      <c r="F201" s="87"/>
      <c r="G201" s="87"/>
      <c r="H201" s="87"/>
      <c r="I201" s="87"/>
      <c r="J201" s="259"/>
      <c r="K201" s="208">
        <f>K$178</f>
        <v>-16070541.176470589</v>
      </c>
      <c r="L201" s="208">
        <f>L$178</f>
        <v>-16538760</v>
      </c>
      <c r="M201" s="208">
        <f>M$178</f>
        <v>-16984746</v>
      </c>
      <c r="N201" s="208">
        <f>N$178</f>
        <v>-17426234.099999998</v>
      </c>
      <c r="O201" s="208">
        <f t="shared" ref="O201:R201" si="141">O$178</f>
        <v>-17811098.984999999</v>
      </c>
      <c r="P201" s="208">
        <f t="shared" si="141"/>
        <v>-18074034.137249999</v>
      </c>
      <c r="Q201" s="208">
        <f t="shared" si="141"/>
        <v>-18290929.016662501</v>
      </c>
      <c r="R201" s="208">
        <f t="shared" si="141"/>
        <v>-18475289.664163124</v>
      </c>
      <c r="T201" s="2"/>
      <c r="U201" s="2"/>
    </row>
    <row r="202" spans="1:21" s="86" customFormat="1" ht="15" customHeight="1" outlineLevel="1">
      <c r="B202" s="196" t="s">
        <v>168</v>
      </c>
      <c r="C202" s="93"/>
      <c r="D202" s="87"/>
      <c r="E202" s="87"/>
      <c r="F202" s="87"/>
      <c r="G202" s="87"/>
      <c r="H202" s="87"/>
      <c r="I202" s="87"/>
      <c r="J202" s="81"/>
      <c r="K202" s="81">
        <f>SUM(K199:K201)</f>
        <v>13127686.523529422</v>
      </c>
      <c r="L202" s="81">
        <f>SUM(L199:L201)</f>
        <v>17622212.297600016</v>
      </c>
      <c r="M202" s="81">
        <f>SUM(M199:M201)</f>
        <v>22490074.975311704</v>
      </c>
      <c r="N202" s="81">
        <f>SUM(N199:N201)</f>
        <v>24471144.851474177</v>
      </c>
      <c r="O202" s="81">
        <f t="shared" ref="O202:R202" si="142">SUM(O199:O201)</f>
        <v>26099715.323202826</v>
      </c>
      <c r="P202" s="81">
        <f t="shared" si="142"/>
        <v>27378815.700019233</v>
      </c>
      <c r="Q202" s="81">
        <f t="shared" si="142"/>
        <v>28466550.979015887</v>
      </c>
      <c r="R202" s="81">
        <f t="shared" si="142"/>
        <v>29622207.289103691</v>
      </c>
      <c r="T202" s="2"/>
      <c r="U202" s="2"/>
    </row>
    <row r="203" spans="1:21" s="86" customFormat="1" ht="15" customHeight="1" outlineLevel="1">
      <c r="B203" s="77"/>
      <c r="C203" s="93"/>
      <c r="D203" s="87"/>
      <c r="E203" s="87"/>
      <c r="F203" s="87"/>
      <c r="G203" s="87"/>
      <c r="H203" s="87"/>
      <c r="I203" s="87"/>
      <c r="J203" s="259"/>
      <c r="K203" s="81"/>
      <c r="L203" s="81"/>
      <c r="M203" s="81"/>
      <c r="N203" s="81"/>
      <c r="O203" s="81"/>
      <c r="P203" s="81"/>
      <c r="Q203" s="53"/>
      <c r="T203" s="2"/>
      <c r="U203" s="2"/>
    </row>
    <row r="204" spans="1:21" s="86" customFormat="1" ht="15" customHeight="1" outlineLevel="1">
      <c r="B204" s="267" t="s">
        <v>160</v>
      </c>
      <c r="C204" s="93"/>
      <c r="D204" s="87"/>
      <c r="E204" s="87"/>
      <c r="F204" s="87"/>
      <c r="G204" s="87"/>
      <c r="H204" s="87"/>
      <c r="I204" s="87"/>
      <c r="J204" s="259"/>
      <c r="K204" s="81"/>
      <c r="L204" s="81"/>
      <c r="M204" s="81"/>
      <c r="N204" s="81"/>
      <c r="O204" s="81"/>
      <c r="P204" s="81"/>
      <c r="Q204" s="53"/>
      <c r="T204" s="2"/>
      <c r="U204" s="2"/>
    </row>
    <row r="205" spans="1:21" s="86" customFormat="1" ht="15" customHeight="1" outlineLevel="1">
      <c r="B205" s="196" t="s">
        <v>168</v>
      </c>
      <c r="C205" s="93"/>
      <c r="D205" s="87"/>
      <c r="E205" s="87"/>
      <c r="F205" s="87"/>
      <c r="G205" s="87"/>
      <c r="H205" s="87"/>
      <c r="I205" s="87"/>
      <c r="J205" s="81"/>
      <c r="K205" s="81">
        <f>K202</f>
        <v>13127686.523529422</v>
      </c>
      <c r="L205" s="81">
        <f>L202</f>
        <v>17622212.297600016</v>
      </c>
      <c r="M205" s="81">
        <f>M202</f>
        <v>22490074.975311704</v>
      </c>
      <c r="N205" s="81">
        <f>N202</f>
        <v>24471144.851474177</v>
      </c>
      <c r="O205" s="81">
        <f t="shared" ref="O205:R205" si="143">O202</f>
        <v>26099715.323202826</v>
      </c>
      <c r="P205" s="81">
        <f t="shared" si="143"/>
        <v>27378815.700019233</v>
      </c>
      <c r="Q205" s="81">
        <f t="shared" si="143"/>
        <v>28466550.979015887</v>
      </c>
      <c r="R205" s="81">
        <f t="shared" si="143"/>
        <v>29622207.289103691</v>
      </c>
      <c r="T205" s="2"/>
      <c r="U205" s="2"/>
    </row>
    <row r="206" spans="1:21" s="86" customFormat="1" ht="15" customHeight="1" outlineLevel="1">
      <c r="B206" s="266" t="s">
        <v>158</v>
      </c>
      <c r="C206" s="93"/>
      <c r="D206" s="87"/>
      <c r="E206" s="87"/>
      <c r="F206" s="87"/>
      <c r="G206" s="87"/>
      <c r="H206" s="87"/>
      <c r="I206" s="87"/>
      <c r="J206" s="259"/>
      <c r="K206" s="208">
        <f>K212</f>
        <v>0</v>
      </c>
      <c r="L206" s="208">
        <f>L212</f>
        <v>0</v>
      </c>
      <c r="M206" s="208">
        <f>M212</f>
        <v>0</v>
      </c>
      <c r="N206" s="208">
        <f>N212</f>
        <v>0</v>
      </c>
      <c r="O206" s="208">
        <f t="shared" ref="O206:R206" si="144">O212</f>
        <v>0</v>
      </c>
      <c r="P206" s="208">
        <f t="shared" si="144"/>
        <v>0</v>
      </c>
      <c r="Q206" s="208">
        <f t="shared" si="144"/>
        <v>0</v>
      </c>
      <c r="R206" s="208">
        <f t="shared" si="144"/>
        <v>0</v>
      </c>
      <c r="T206" s="2"/>
      <c r="U206" s="2"/>
    </row>
    <row r="207" spans="1:21" s="86" customFormat="1" ht="15" customHeight="1" outlineLevel="1">
      <c r="B207" s="196" t="s">
        <v>157</v>
      </c>
      <c r="C207" s="93"/>
      <c r="D207" s="87"/>
      <c r="E207" s="87"/>
      <c r="F207" s="87"/>
      <c r="G207" s="87"/>
      <c r="H207" s="87"/>
      <c r="I207" s="87"/>
      <c r="J207" s="259"/>
      <c r="K207" s="81">
        <f xml:space="preserve"> MAX(SUM(K205:K206),0)</f>
        <v>13127686.523529422</v>
      </c>
      <c r="L207" s="81">
        <f xml:space="preserve"> MAX(SUM(L205:L206),0)</f>
        <v>17622212.297600016</v>
      </c>
      <c r="M207" s="81">
        <f xml:space="preserve"> MAX(SUM(M205:M206),0)</f>
        <v>22490074.975311704</v>
      </c>
      <c r="N207" s="81">
        <f xml:space="preserve"> MAX(SUM(N205:N206),0)</f>
        <v>24471144.851474177</v>
      </c>
      <c r="O207" s="81">
        <f t="shared" ref="O207:R207" si="145" xml:space="preserve"> MAX(SUM(O205:O206),0)</f>
        <v>26099715.323202826</v>
      </c>
      <c r="P207" s="81">
        <f t="shared" si="145"/>
        <v>27378815.700019233</v>
      </c>
      <c r="Q207" s="81">
        <f t="shared" si="145"/>
        <v>28466550.979015887</v>
      </c>
      <c r="R207" s="81">
        <f t="shared" si="145"/>
        <v>29622207.289103691</v>
      </c>
      <c r="T207" s="2"/>
      <c r="U207" s="2"/>
    </row>
    <row r="208" spans="1:21" s="86" customFormat="1" ht="15" customHeight="1" outlineLevel="1">
      <c r="B208" s="77"/>
      <c r="C208" s="93"/>
      <c r="D208" s="87"/>
      <c r="E208" s="87"/>
      <c r="F208" s="87"/>
      <c r="G208" s="87"/>
      <c r="H208" s="87"/>
      <c r="I208" s="87"/>
      <c r="J208" s="259"/>
      <c r="K208" s="259"/>
      <c r="L208" s="259"/>
      <c r="M208" s="259"/>
      <c r="N208" s="259"/>
      <c r="O208" s="259"/>
      <c r="P208" s="259"/>
      <c r="Q208" s="197"/>
      <c r="T208" s="2"/>
      <c r="U208" s="2"/>
    </row>
    <row r="209" spans="2:21" s="86" customFormat="1" ht="15" customHeight="1" outlineLevel="1">
      <c r="B209" s="267" t="s">
        <v>156</v>
      </c>
      <c r="C209" s="93"/>
      <c r="D209" s="87"/>
      <c r="E209" s="87"/>
      <c r="F209" s="87"/>
      <c r="G209" s="87"/>
      <c r="H209" s="87"/>
      <c r="I209" s="87"/>
      <c r="J209" s="259"/>
      <c r="K209" s="259"/>
      <c r="L209" s="259"/>
      <c r="M209" s="259"/>
      <c r="N209" s="259"/>
      <c r="O209" s="259"/>
      <c r="P209" s="259"/>
      <c r="Q209" s="197"/>
      <c r="T209" s="2"/>
      <c r="U209" s="2"/>
    </row>
    <row r="210" spans="2:21" s="86" customFormat="1" ht="15" customHeight="1" outlineLevel="1">
      <c r="B210" s="196" t="s">
        <v>155</v>
      </c>
      <c r="C210" s="93"/>
      <c r="D210" s="87"/>
      <c r="E210" s="87"/>
      <c r="F210" s="87"/>
      <c r="G210" s="87"/>
      <c r="H210" s="87"/>
      <c r="I210" s="87"/>
      <c r="J210" s="259"/>
      <c r="K210" s="81">
        <f>J213</f>
        <v>0</v>
      </c>
      <c r="L210" s="81">
        <f>K213</f>
        <v>0</v>
      </c>
      <c r="M210" s="81">
        <f>L213</f>
        <v>0</v>
      </c>
      <c r="N210" s="81">
        <f>M213</f>
        <v>0</v>
      </c>
      <c r="O210" s="81">
        <f t="shared" ref="O210:R210" si="146">N213</f>
        <v>0</v>
      </c>
      <c r="P210" s="81">
        <f t="shared" si="146"/>
        <v>0</v>
      </c>
      <c r="Q210" s="81">
        <f t="shared" si="146"/>
        <v>0</v>
      </c>
      <c r="R210" s="81">
        <f t="shared" si="146"/>
        <v>0</v>
      </c>
      <c r="T210" s="2"/>
      <c r="U210" s="2"/>
    </row>
    <row r="211" spans="2:21" s="86" customFormat="1" ht="15" customHeight="1" outlineLevel="1">
      <c r="B211" s="196" t="s">
        <v>154</v>
      </c>
      <c r="C211" s="93"/>
      <c r="D211" s="87"/>
      <c r="E211" s="87"/>
      <c r="F211" s="87"/>
      <c r="G211" s="87"/>
      <c r="H211" s="87"/>
      <c r="I211" s="87"/>
      <c r="J211" s="259"/>
      <c r="K211" s="81">
        <f>-MIN(K199,0)</f>
        <v>0</v>
      </c>
      <c r="L211" s="81">
        <f>-MIN(L199,0)</f>
        <v>0</v>
      </c>
      <c r="M211" s="81">
        <f>-MIN(M199,0)</f>
        <v>0</v>
      </c>
      <c r="N211" s="81">
        <f>-MIN(N199,0)</f>
        <v>0</v>
      </c>
      <c r="O211" s="81">
        <f t="shared" ref="O211:R211" si="147">-MIN(O199,0)</f>
        <v>0</v>
      </c>
      <c r="P211" s="81">
        <f t="shared" si="147"/>
        <v>0</v>
      </c>
      <c r="Q211" s="81">
        <f t="shared" si="147"/>
        <v>0</v>
      </c>
      <c r="R211" s="81">
        <f t="shared" si="147"/>
        <v>0</v>
      </c>
      <c r="T211" s="2"/>
      <c r="U211" s="2"/>
    </row>
    <row r="212" spans="2:21" s="86" customFormat="1" ht="15" customHeight="1" outlineLevel="1">
      <c r="B212" s="266" t="s">
        <v>153</v>
      </c>
      <c r="C212" s="93"/>
      <c r="D212" s="87"/>
      <c r="E212" s="87"/>
      <c r="F212" s="87"/>
      <c r="G212" s="87"/>
      <c r="H212" s="87"/>
      <c r="I212" s="87"/>
      <c r="J212" s="265"/>
      <c r="K212" s="208">
        <f>-MIN(K210,K205)*K192</f>
        <v>0</v>
      </c>
      <c r="L212" s="208">
        <f>-MIN(L210,L205)*L192</f>
        <v>0</v>
      </c>
      <c r="M212" s="208">
        <f>-MIN(M210,M205)*M192</f>
        <v>0</v>
      </c>
      <c r="N212" s="208">
        <f>-MIN(N210,N205)*N192</f>
        <v>0</v>
      </c>
      <c r="O212" s="208">
        <f t="shared" ref="O212:R212" si="148">-MIN(O210,O205)*O192</f>
        <v>0</v>
      </c>
      <c r="P212" s="208">
        <f t="shared" si="148"/>
        <v>0</v>
      </c>
      <c r="Q212" s="208">
        <f t="shared" si="148"/>
        <v>0</v>
      </c>
      <c r="R212" s="208">
        <f t="shared" si="148"/>
        <v>0</v>
      </c>
      <c r="T212" s="2"/>
      <c r="U212" s="2"/>
    </row>
    <row r="213" spans="2:21" s="86" customFormat="1" ht="15" customHeight="1" outlineLevel="1">
      <c r="B213" s="196" t="s">
        <v>152</v>
      </c>
      <c r="C213" s="93"/>
      <c r="D213" s="87"/>
      <c r="E213" s="87"/>
      <c r="F213" s="87"/>
      <c r="G213" s="87"/>
      <c r="H213" s="87"/>
      <c r="I213" s="87"/>
      <c r="J213" s="279">
        <f>Inputs!$L$97</f>
        <v>0</v>
      </c>
      <c r="K213" s="81">
        <f>SUM(K210:K212)</f>
        <v>0</v>
      </c>
      <c r="L213" s="81">
        <f>SUM(L210:L212)</f>
        <v>0</v>
      </c>
      <c r="M213" s="81">
        <f>SUM(M210:M212)</f>
        <v>0</v>
      </c>
      <c r="N213" s="81">
        <f>SUM(N210:N212)</f>
        <v>0</v>
      </c>
      <c r="O213" s="81">
        <f t="shared" ref="O213:R213" si="149">SUM(O210:O212)</f>
        <v>0</v>
      </c>
      <c r="P213" s="81">
        <f t="shared" si="149"/>
        <v>0</v>
      </c>
      <c r="Q213" s="81">
        <f t="shared" si="149"/>
        <v>0</v>
      </c>
      <c r="R213" s="81">
        <f t="shared" si="149"/>
        <v>0</v>
      </c>
      <c r="T213" s="2"/>
      <c r="U213" s="2"/>
    </row>
    <row r="214" spans="2:21" s="86" customFormat="1" ht="15" customHeight="1" outlineLevel="1">
      <c r="B214" s="77"/>
      <c r="C214" s="93"/>
      <c r="D214" s="87"/>
      <c r="E214" s="87"/>
      <c r="F214" s="87"/>
      <c r="G214" s="87"/>
      <c r="H214" s="87"/>
      <c r="I214" s="87"/>
      <c r="J214" s="259"/>
      <c r="K214" s="259"/>
      <c r="L214" s="259"/>
      <c r="M214" s="259"/>
      <c r="N214" s="259"/>
      <c r="O214" s="259"/>
      <c r="P214" s="259"/>
      <c r="Q214" s="197"/>
      <c r="T214" s="2"/>
      <c r="U214" s="2"/>
    </row>
    <row r="215" spans="2:21" s="86" customFormat="1" ht="15" customHeight="1" outlineLevel="1">
      <c r="B215" s="264"/>
      <c r="C215" s="263"/>
      <c r="D215" s="262"/>
      <c r="E215" s="262"/>
      <c r="F215" s="262"/>
      <c r="G215" s="262"/>
      <c r="H215" s="262"/>
      <c r="I215" s="262"/>
      <c r="J215" s="140"/>
      <c r="K215" s="140"/>
      <c r="L215" s="140"/>
      <c r="M215" s="140"/>
      <c r="N215" s="140"/>
      <c r="O215" s="140"/>
      <c r="P215" s="147"/>
      <c r="Q215" s="197"/>
      <c r="T215" s="2"/>
      <c r="U215" s="2"/>
    </row>
    <row r="216" spans="2:21" s="86" customFormat="1" ht="15" customHeight="1" outlineLevel="1">
      <c r="B216" s="77"/>
      <c r="C216" s="93"/>
      <c r="D216" s="87"/>
      <c r="E216" s="87"/>
      <c r="F216" s="87"/>
      <c r="G216" s="87"/>
      <c r="H216" s="87"/>
      <c r="I216" s="87"/>
      <c r="J216" s="259"/>
      <c r="K216" s="259"/>
      <c r="L216" s="259"/>
      <c r="M216" s="259"/>
      <c r="N216" s="259"/>
      <c r="O216" s="259"/>
      <c r="P216" s="259"/>
      <c r="Q216" s="197"/>
      <c r="T216" s="2"/>
      <c r="U216" s="2"/>
    </row>
    <row r="217" spans="2:21" s="86" customFormat="1" ht="15" customHeight="1" outlineLevel="1">
      <c r="B217" s="191" t="s">
        <v>151</v>
      </c>
      <c r="C217" s="93"/>
      <c r="D217" s="87"/>
      <c r="E217" s="87"/>
      <c r="F217" s="87"/>
      <c r="G217" s="87"/>
      <c r="H217" s="87"/>
      <c r="I217" s="87"/>
      <c r="J217" s="259"/>
      <c r="K217" s="259"/>
      <c r="L217" s="259"/>
      <c r="M217" s="259"/>
      <c r="N217" s="259"/>
      <c r="O217" s="259"/>
      <c r="P217" s="259"/>
      <c r="Q217" s="197"/>
      <c r="T217" s="2"/>
      <c r="U217" s="2"/>
    </row>
    <row r="218" spans="2:21" s="86" customFormat="1" ht="15" customHeight="1" outlineLevel="1">
      <c r="B218" s="196" t="s">
        <v>137</v>
      </c>
      <c r="C218" s="93"/>
      <c r="D218" s="87"/>
      <c r="E218" s="87"/>
      <c r="F218" s="87"/>
      <c r="G218" s="87"/>
      <c r="H218" s="141"/>
      <c r="I218" s="141"/>
      <c r="J218" s="81"/>
      <c r="K218" s="81">
        <f>$D$194*K207</f>
        <v>4463413.4180000033</v>
      </c>
      <c r="L218" s="81">
        <f>$D$194*L207</f>
        <v>5991552.1811840059</v>
      </c>
      <c r="M218" s="81">
        <f>$D$194*M207</f>
        <v>7646625.4916059803</v>
      </c>
      <c r="N218" s="81">
        <f>$D$194*N207</f>
        <v>8320189.2495012209</v>
      </c>
      <c r="O218" s="81">
        <f t="shared" ref="O218:R218" si="150">$D$194*O207</f>
        <v>8873903.2098889612</v>
      </c>
      <c r="P218" s="81">
        <f t="shared" si="150"/>
        <v>9308797.3380065393</v>
      </c>
      <c r="Q218" s="81">
        <f t="shared" si="150"/>
        <v>9678627.3328654021</v>
      </c>
      <c r="R218" s="81">
        <f t="shared" si="150"/>
        <v>10071550.478295255</v>
      </c>
      <c r="T218" s="2"/>
      <c r="U218" s="2"/>
    </row>
    <row r="219" spans="2:21" s="86" customFormat="1" ht="15" customHeight="1" outlineLevel="1">
      <c r="B219" s="196" t="s">
        <v>150</v>
      </c>
      <c r="C219" s="93"/>
      <c r="D219" s="87"/>
      <c r="E219" s="87"/>
      <c r="F219" s="87"/>
      <c r="G219" s="87"/>
      <c r="H219" s="87"/>
      <c r="I219" s="87"/>
      <c r="J219" s="259"/>
      <c r="K219" s="81">
        <f>K220-K218</f>
        <v>2407787.7500000009</v>
      </c>
      <c r="L219" s="81">
        <f>L220-L218</f>
        <v>2240718.1500000004</v>
      </c>
      <c r="M219" s="81">
        <f>M220-M218</f>
        <v>2060649.3900000006</v>
      </c>
      <c r="N219" s="81">
        <f>N220-N218</f>
        <v>1871979.3439999986</v>
      </c>
      <c r="O219" s="81">
        <f t="shared" ref="O219:R219" si="151">O220-O218</f>
        <v>1662969.4048999995</v>
      </c>
      <c r="P219" s="81">
        <f t="shared" si="151"/>
        <v>1585699.3566650003</v>
      </c>
      <c r="Q219" s="81">
        <f t="shared" si="151"/>
        <v>1659443.6156652514</v>
      </c>
      <c r="R219" s="81">
        <f t="shared" si="151"/>
        <v>1722126.2358154617</v>
      </c>
      <c r="T219" s="2"/>
      <c r="U219" s="2"/>
    </row>
    <row r="220" spans="2:21" s="86" customFormat="1" ht="15" customHeight="1" outlineLevel="1" thickBot="1">
      <c r="B220" s="196" t="s">
        <v>149</v>
      </c>
      <c r="C220" s="93"/>
      <c r="D220" s="87"/>
      <c r="E220" s="87"/>
      <c r="F220" s="87"/>
      <c r="G220" s="87"/>
      <c r="H220" s="87"/>
      <c r="I220" s="87"/>
      <c r="J220" s="259"/>
      <c r="K220" s="251">
        <f>MAX($D$194*K199,0)</f>
        <v>6871201.1680000043</v>
      </c>
      <c r="L220" s="251">
        <f>MAX($D$194*L199,0)</f>
        <v>8232270.3311840063</v>
      </c>
      <c r="M220" s="251">
        <f>MAX($D$194*M199,0)</f>
        <v>9707274.8816059809</v>
      </c>
      <c r="N220" s="251">
        <f>MAX($D$194*N199,0)</f>
        <v>10192168.59350122</v>
      </c>
      <c r="O220" s="251">
        <f t="shared" ref="O220:R220" si="152">MAX($D$194*O199,0)</f>
        <v>10536872.614788961</v>
      </c>
      <c r="P220" s="251">
        <f t="shared" si="152"/>
        <v>10894496.69467154</v>
      </c>
      <c r="Q220" s="251">
        <f t="shared" si="152"/>
        <v>11338070.948530653</v>
      </c>
      <c r="R220" s="251">
        <f t="shared" si="152"/>
        <v>11793676.714110717</v>
      </c>
      <c r="T220" s="2"/>
      <c r="U220" s="2"/>
    </row>
    <row r="221" spans="2:21" s="86" customFormat="1" ht="15" customHeight="1" outlineLevel="1">
      <c r="B221" s="77"/>
      <c r="C221" s="93"/>
      <c r="D221" s="87"/>
      <c r="E221" s="87"/>
      <c r="F221" s="87"/>
      <c r="G221" s="87"/>
      <c r="H221" s="87"/>
      <c r="I221" s="87"/>
      <c r="J221" s="87"/>
      <c r="K221" s="89"/>
      <c r="L221" s="89"/>
      <c r="M221" s="89"/>
      <c r="N221" s="89"/>
      <c r="O221" s="89"/>
      <c r="Q221" s="53"/>
      <c r="T221" s="2"/>
      <c r="U221" s="2"/>
    </row>
    <row r="222" spans="2:21" s="57" customFormat="1" ht="15" customHeight="1" outlineLevel="1">
      <c r="B222" s="278"/>
      <c r="C222" s="278"/>
      <c r="D222" s="136"/>
      <c r="E222" s="136"/>
      <c r="F222" s="136"/>
      <c r="G222" s="136"/>
      <c r="H222" s="197"/>
      <c r="I222" s="197"/>
      <c r="J222" s="197"/>
      <c r="K222" s="277"/>
      <c r="L222" s="277"/>
      <c r="M222" s="277"/>
      <c r="N222" s="277"/>
      <c r="O222" s="276"/>
      <c r="P222" s="276"/>
      <c r="Q222" s="5"/>
      <c r="T222" s="2"/>
      <c r="U222" s="2"/>
    </row>
    <row r="223" spans="2:21" s="86" customFormat="1" ht="15" customHeight="1" outlineLevel="1">
      <c r="C223" s="93"/>
      <c r="D223" s="87"/>
      <c r="E223" s="87"/>
      <c r="F223" s="87"/>
      <c r="G223" s="87"/>
      <c r="H223" s="87"/>
      <c r="I223" s="87"/>
      <c r="J223" s="87"/>
      <c r="K223" s="89"/>
      <c r="L223" s="89"/>
      <c r="M223" s="89"/>
      <c r="N223" s="89"/>
      <c r="O223" s="6" t="s">
        <v>148</v>
      </c>
      <c r="Q223" s="53"/>
      <c r="T223" s="2"/>
      <c r="U223" s="2"/>
    </row>
    <row r="224" spans="2:21" s="86" customFormat="1" ht="15" customHeight="1" outlineLevel="1">
      <c r="C224" s="93"/>
      <c r="D224" s="87"/>
      <c r="E224" s="87"/>
      <c r="F224" s="87"/>
      <c r="G224" s="87"/>
      <c r="H224" s="87"/>
      <c r="I224" s="87"/>
      <c r="J224" s="87"/>
      <c r="K224" s="89"/>
      <c r="L224" s="89"/>
      <c r="M224" s="89"/>
      <c r="N224" s="89"/>
      <c r="O224" s="179" t="s">
        <v>147</v>
      </c>
      <c r="Q224" s="53"/>
      <c r="T224" s="2"/>
      <c r="U224" s="2"/>
    </row>
    <row r="225" spans="1:21" s="86" customFormat="1" ht="15" customHeight="1" outlineLevel="1">
      <c r="C225" s="93"/>
      <c r="D225" s="87"/>
      <c r="E225" s="87"/>
      <c r="F225" s="87"/>
      <c r="G225" s="87"/>
      <c r="H225" s="87"/>
      <c r="I225" s="87"/>
      <c r="J225" s="87"/>
      <c r="K225" s="89"/>
      <c r="L225" s="89"/>
      <c r="M225" s="89"/>
      <c r="N225" s="89"/>
      <c r="O225" s="261"/>
      <c r="Q225" s="53"/>
      <c r="T225" s="2"/>
      <c r="U225" s="2"/>
    </row>
    <row r="226" spans="1:21" s="86" customFormat="1" ht="15" customHeight="1" outlineLevel="1">
      <c r="B226" s="178"/>
      <c r="C226" s="137"/>
      <c r="D226" s="177"/>
      <c r="E226" s="177"/>
      <c r="F226" s="177"/>
      <c r="G226" s="177"/>
      <c r="H226" s="177"/>
      <c r="I226" s="177"/>
      <c r="J226" s="177"/>
      <c r="K226" s="176"/>
      <c r="L226" s="176"/>
      <c r="M226" s="176"/>
      <c r="N226" s="176"/>
      <c r="O226" s="176"/>
      <c r="P226" s="176"/>
      <c r="Q226" s="197"/>
      <c r="T226" s="2"/>
      <c r="U226" s="2"/>
    </row>
    <row r="227" spans="1:21" s="86" customFormat="1" ht="15" customHeight="1">
      <c r="B227" s="77"/>
      <c r="C227" s="93"/>
      <c r="D227" s="87"/>
      <c r="E227" s="87"/>
      <c r="F227" s="87"/>
      <c r="G227" s="87"/>
      <c r="H227" s="87"/>
      <c r="I227" s="87"/>
      <c r="J227" s="87"/>
      <c r="K227" s="89"/>
      <c r="L227" s="89"/>
      <c r="M227" s="89"/>
      <c r="N227" s="89"/>
      <c r="O227" s="89"/>
      <c r="P227" s="89"/>
      <c r="Q227" s="197"/>
      <c r="T227" s="2"/>
      <c r="U227" s="2"/>
    </row>
    <row r="228" spans="1:21" s="86" customFormat="1" ht="15" customHeight="1">
      <c r="A228" s="86" t="s">
        <v>0</v>
      </c>
      <c r="B228" s="476" t="s">
        <v>167</v>
      </c>
      <c r="C228" s="476"/>
      <c r="D228" s="476"/>
      <c r="E228" s="476"/>
      <c r="F228" s="476"/>
      <c r="G228" s="476"/>
      <c r="H228" s="476"/>
      <c r="I228" s="476"/>
      <c r="J228" s="476"/>
      <c r="K228" s="476"/>
      <c r="L228" s="476"/>
      <c r="M228" s="476"/>
      <c r="N228" s="476"/>
      <c r="O228" s="476"/>
      <c r="P228" s="476"/>
      <c r="Q228" s="476"/>
      <c r="R228" s="476"/>
      <c r="S228" s="476"/>
      <c r="T228" s="2"/>
      <c r="U228" s="2"/>
    </row>
    <row r="229" spans="1:21" s="86" customFormat="1" ht="15" customHeight="1" outlineLevel="1">
      <c r="B229" s="148"/>
      <c r="C229" s="93"/>
      <c r="D229" s="92"/>
      <c r="E229" s="92"/>
      <c r="F229" s="92"/>
      <c r="G229" s="92"/>
      <c r="H229" s="91"/>
      <c r="I229" s="91"/>
      <c r="J229" s="91"/>
      <c r="K229" s="91"/>
      <c r="L229" s="91"/>
      <c r="M229" s="91"/>
      <c r="N229" s="91"/>
      <c r="O229" s="91"/>
      <c r="Q229" s="217"/>
      <c r="T229" s="2"/>
      <c r="U229" s="2"/>
    </row>
    <row r="230" spans="1:21" s="86" customFormat="1" ht="15" customHeight="1" outlineLevel="1" thickBot="1">
      <c r="B230" s="77" t="s">
        <v>22</v>
      </c>
      <c r="C230" s="93"/>
      <c r="D230" s="87"/>
      <c r="E230" s="87"/>
      <c r="F230" s="87"/>
      <c r="G230" s="87"/>
      <c r="H230" s="87"/>
      <c r="I230" s="87"/>
      <c r="J230" s="560">
        <f t="shared" ref="J230:R230" si="153">J$5</f>
        <v>2024</v>
      </c>
      <c r="K230" s="488">
        <f t="shared" si="153"/>
        <v>2025</v>
      </c>
      <c r="L230" s="488">
        <f t="shared" si="153"/>
        <v>2026</v>
      </c>
      <c r="M230" s="488">
        <f t="shared" si="153"/>
        <v>2027</v>
      </c>
      <c r="N230" s="488">
        <f t="shared" si="153"/>
        <v>2028</v>
      </c>
      <c r="O230" s="488">
        <f t="shared" si="153"/>
        <v>2029</v>
      </c>
      <c r="P230" s="488">
        <f t="shared" si="153"/>
        <v>2030</v>
      </c>
      <c r="Q230" s="488">
        <f t="shared" si="153"/>
        <v>2031</v>
      </c>
      <c r="R230" s="488">
        <f t="shared" si="153"/>
        <v>2032</v>
      </c>
      <c r="T230" s="2"/>
      <c r="U230" s="2"/>
    </row>
    <row r="231" spans="1:21" ht="15" customHeight="1" outlineLevel="1">
      <c r="A231" s="57"/>
      <c r="B231" s="77" t="str">
        <f>$B$6</f>
        <v>Model Running: Base Case Drivers</v>
      </c>
      <c r="C231" s="93"/>
      <c r="D231" s="87"/>
      <c r="E231" s="87"/>
      <c r="F231" s="87"/>
      <c r="G231" s="87"/>
      <c r="H231" s="87"/>
      <c r="I231" s="87"/>
      <c r="J231" s="87"/>
      <c r="K231" s="89"/>
      <c r="L231" s="89"/>
      <c r="M231" s="89"/>
      <c r="N231" s="89"/>
      <c r="O231" s="89"/>
      <c r="P231" s="89"/>
      <c r="Q231" s="89"/>
      <c r="R231" s="89"/>
    </row>
    <row r="232" spans="1:21" s="86" customFormat="1" ht="15" customHeight="1" outlineLevel="1">
      <c r="B232" s="77"/>
      <c r="C232" s="93"/>
      <c r="D232" s="87"/>
      <c r="E232" s="87"/>
      <c r="F232" s="87"/>
      <c r="G232" s="87"/>
      <c r="H232" s="87"/>
      <c r="I232" s="87"/>
      <c r="J232" s="87"/>
      <c r="K232" s="89"/>
      <c r="L232" s="89"/>
      <c r="M232" s="89"/>
      <c r="N232" s="89"/>
      <c r="O232" s="89"/>
      <c r="P232" s="89"/>
      <c r="Q232" s="89"/>
      <c r="R232" s="89"/>
      <c r="T232" s="2"/>
      <c r="U232" s="2"/>
    </row>
    <row r="233" spans="1:21" s="86" customFormat="1" ht="15" customHeight="1" outlineLevel="1">
      <c r="B233" s="145" t="s">
        <v>166</v>
      </c>
      <c r="C233" s="93"/>
      <c r="D233" s="87"/>
      <c r="E233" s="87"/>
      <c r="F233" s="87"/>
      <c r="G233" s="87"/>
      <c r="H233" s="141"/>
      <c r="I233" s="141"/>
      <c r="J233" s="81"/>
      <c r="K233" s="275">
        <f>K56</f>
        <v>22729415.20000001</v>
      </c>
      <c r="L233" s="221">
        <f>L56</f>
        <v>26732559.797600016</v>
      </c>
      <c r="M233" s="221">
        <f>M56</f>
        <v>31070808.475311704</v>
      </c>
      <c r="N233" s="221">
        <f t="shared" ref="N233:R233" si="154">N56</f>
        <v>32496966.451474175</v>
      </c>
      <c r="O233" s="221">
        <f t="shared" si="154"/>
        <v>33510801.808202825</v>
      </c>
      <c r="P233" s="221">
        <f t="shared" si="154"/>
        <v>34562637.337269232</v>
      </c>
      <c r="Q233" s="221">
        <f t="shared" si="154"/>
        <v>35867267.495678388</v>
      </c>
      <c r="R233" s="221">
        <f t="shared" si="154"/>
        <v>37207284.453266814</v>
      </c>
      <c r="T233" s="2"/>
      <c r="U233" s="2"/>
    </row>
    <row r="234" spans="1:21" s="86" customFormat="1" ht="15" customHeight="1" outlineLevel="1">
      <c r="B234" s="145" t="s">
        <v>165</v>
      </c>
      <c r="C234" s="93"/>
      <c r="D234" s="87"/>
      <c r="E234" s="87"/>
      <c r="F234" s="87"/>
      <c r="G234" s="87"/>
      <c r="H234" s="87"/>
      <c r="I234" s="87"/>
      <c r="J234" s="87"/>
      <c r="K234" s="274">
        <f>IF(K244&gt;0,1,0)</f>
        <v>1</v>
      </c>
      <c r="L234" s="273">
        <f>IF(L244&gt;0,1,0)</f>
        <v>1</v>
      </c>
      <c r="M234" s="273">
        <f>IF(M244&gt;0,1,0)</f>
        <v>1</v>
      </c>
      <c r="N234" s="273">
        <f t="shared" ref="N234:R234" si="155">IF(N244&gt;0,1,0)</f>
        <v>1</v>
      </c>
      <c r="O234" s="273">
        <f t="shared" si="155"/>
        <v>1</v>
      </c>
      <c r="P234" s="273">
        <f t="shared" si="155"/>
        <v>1</v>
      </c>
      <c r="Q234" s="273">
        <f t="shared" si="155"/>
        <v>1</v>
      </c>
      <c r="R234" s="273">
        <f t="shared" si="155"/>
        <v>1</v>
      </c>
      <c r="T234" s="2"/>
      <c r="U234" s="2"/>
    </row>
    <row r="235" spans="1:21" s="86" customFormat="1" ht="15" customHeight="1" outlineLevel="1">
      <c r="B235" s="77"/>
      <c r="C235" s="93"/>
      <c r="D235" s="87"/>
      <c r="E235" s="87"/>
      <c r="F235" s="87"/>
      <c r="G235" s="87"/>
      <c r="H235" s="87"/>
      <c r="I235" s="87"/>
      <c r="J235" s="87"/>
      <c r="K235" s="89"/>
      <c r="L235" s="89"/>
      <c r="M235" s="89"/>
      <c r="N235" s="89"/>
      <c r="O235" s="89"/>
      <c r="Q235" s="53"/>
      <c r="T235" s="2"/>
      <c r="U235" s="2"/>
    </row>
    <row r="236" spans="1:21" s="86" customFormat="1" ht="15" customHeight="1" outlineLevel="1">
      <c r="B236" s="258" t="s">
        <v>65</v>
      </c>
      <c r="C236" s="272"/>
      <c r="D236" s="271">
        <f>$C$43</f>
        <v>0.34</v>
      </c>
      <c r="E236" s="371"/>
      <c r="F236" s="371"/>
      <c r="G236" s="87"/>
      <c r="H236" s="87"/>
      <c r="I236" s="87"/>
      <c r="J236" s="87"/>
      <c r="K236" s="89"/>
      <c r="L236" s="89"/>
      <c r="M236" s="89"/>
      <c r="N236" s="89"/>
      <c r="O236" s="89"/>
      <c r="Q236" s="53"/>
      <c r="T236" s="2"/>
      <c r="U236" s="2"/>
    </row>
    <row r="237" spans="1:21" ht="15" customHeight="1" outlineLevel="1">
      <c r="A237" s="86"/>
      <c r="B237" s="270" t="s">
        <v>164</v>
      </c>
      <c r="C237" s="137"/>
      <c r="D237" s="269">
        <f>IF(O255=0,0,1)</f>
        <v>0</v>
      </c>
      <c r="E237" s="372"/>
      <c r="F237" s="372"/>
      <c r="G237" s="87"/>
      <c r="H237" s="81"/>
      <c r="I237" s="81"/>
      <c r="J237" s="81"/>
      <c r="K237" s="81"/>
      <c r="L237" s="81"/>
      <c r="M237" s="81"/>
      <c r="N237" s="81"/>
      <c r="Q237" s="53"/>
    </row>
    <row r="238" spans="1:21" s="86" customFormat="1" ht="15" customHeight="1" outlineLevel="1">
      <c r="B238" s="77"/>
      <c r="C238" s="93"/>
      <c r="D238" s="268"/>
      <c r="E238" s="268"/>
      <c r="F238" s="268"/>
      <c r="G238" s="87"/>
      <c r="H238" s="87"/>
      <c r="I238" s="87"/>
      <c r="J238" s="87"/>
      <c r="K238" s="89"/>
      <c r="L238" s="89"/>
      <c r="M238" s="89"/>
      <c r="N238" s="89"/>
      <c r="O238" s="89"/>
      <c r="T238" s="2"/>
      <c r="U238" s="2"/>
    </row>
    <row r="239" spans="1:21" s="86" customFormat="1" ht="15" customHeight="1" outlineLevel="1">
      <c r="B239" s="77"/>
      <c r="C239" s="93"/>
      <c r="D239" s="268"/>
      <c r="E239" s="268"/>
      <c r="F239" s="268"/>
      <c r="G239" s="87"/>
      <c r="H239" s="87"/>
      <c r="I239" s="87"/>
      <c r="J239" s="87"/>
      <c r="K239" s="89"/>
      <c r="L239" s="89"/>
      <c r="M239" s="89"/>
      <c r="N239" s="89"/>
      <c r="O239" s="89"/>
      <c r="T239" s="2"/>
      <c r="U239" s="2"/>
    </row>
    <row r="240" spans="1:21" s="86" customFormat="1" ht="15" customHeight="1" outlineLevel="1">
      <c r="B240" s="191" t="s">
        <v>163</v>
      </c>
      <c r="C240" s="93"/>
      <c r="D240" s="87"/>
      <c r="E240" s="87"/>
      <c r="F240" s="87"/>
      <c r="G240" s="87"/>
      <c r="H240" s="87"/>
      <c r="I240" s="87"/>
      <c r="J240" s="259"/>
      <c r="K240" s="259"/>
      <c r="L240" s="259"/>
      <c r="M240" s="259"/>
      <c r="N240" s="259"/>
      <c r="O240" s="259"/>
      <c r="Q240" s="197"/>
      <c r="T240" s="2"/>
      <c r="U240" s="2"/>
    </row>
    <row r="241" spans="2:21" s="86" customFormat="1" ht="15" customHeight="1" outlineLevel="1">
      <c r="B241" s="196" t="s">
        <v>142</v>
      </c>
      <c r="C241" s="93"/>
      <c r="D241" s="87"/>
      <c r="E241" s="87"/>
      <c r="F241" s="87"/>
      <c r="G241" s="87"/>
      <c r="H241" s="141"/>
      <c r="I241" s="141"/>
      <c r="J241" s="81"/>
      <c r="K241" s="81">
        <f>K233</f>
        <v>22729415.20000001</v>
      </c>
      <c r="L241" s="81">
        <f t="shared" ref="L241:R241" si="156">L233</f>
        <v>26732559.797600016</v>
      </c>
      <c r="M241" s="81">
        <f t="shared" si="156"/>
        <v>31070808.475311704</v>
      </c>
      <c r="N241" s="81">
        <f t="shared" si="156"/>
        <v>32496966.451474175</v>
      </c>
      <c r="O241" s="81">
        <f t="shared" si="156"/>
        <v>33510801.808202825</v>
      </c>
      <c r="P241" s="81">
        <f t="shared" si="156"/>
        <v>34562637.337269232</v>
      </c>
      <c r="Q241" s="81">
        <f t="shared" si="156"/>
        <v>35867267.495678388</v>
      </c>
      <c r="R241" s="81">
        <f t="shared" si="156"/>
        <v>37207284.453266814</v>
      </c>
      <c r="T241" s="2"/>
      <c r="U241" s="2"/>
    </row>
    <row r="242" spans="2:21" s="86" customFormat="1" ht="15" customHeight="1" outlineLevel="1">
      <c r="B242" s="196" t="s">
        <v>162</v>
      </c>
      <c r="C242" s="93"/>
      <c r="D242" s="87"/>
      <c r="E242" s="87"/>
      <c r="F242" s="87"/>
      <c r="G242" s="87"/>
      <c r="H242" s="87"/>
      <c r="I242" s="87"/>
      <c r="J242" s="259"/>
      <c r="K242" s="81">
        <f>-K$171</f>
        <v>8988812.5</v>
      </c>
      <c r="L242" s="81">
        <f t="shared" ref="L242:R242" si="157">-L$171</f>
        <v>9948412.5</v>
      </c>
      <c r="M242" s="81">
        <f t="shared" si="157"/>
        <v>10924012.5</v>
      </c>
      <c r="N242" s="81">
        <f t="shared" si="157"/>
        <v>11920412.5</v>
      </c>
      <c r="O242" s="81">
        <f t="shared" si="157"/>
        <v>12920012.5</v>
      </c>
      <c r="P242" s="81">
        <f t="shared" si="157"/>
        <v>13410212.5</v>
      </c>
      <c r="Q242" s="81">
        <f t="shared" si="157"/>
        <v>13410212.5</v>
      </c>
      <c r="R242" s="81">
        <f t="shared" si="157"/>
        <v>13410212.5</v>
      </c>
      <c r="T242" s="2"/>
      <c r="U242" s="2"/>
    </row>
    <row r="243" spans="2:21" s="86" customFormat="1" ht="15" customHeight="1" outlineLevel="1">
      <c r="B243" s="196" t="s">
        <v>161</v>
      </c>
      <c r="C243" s="93"/>
      <c r="D243" s="87"/>
      <c r="E243" s="87"/>
      <c r="F243" s="87"/>
      <c r="G243" s="87"/>
      <c r="H243" s="87"/>
      <c r="I243" s="87"/>
      <c r="J243" s="259"/>
      <c r="K243" s="208">
        <f>K$178</f>
        <v>-16070541.176470589</v>
      </c>
      <c r="L243" s="208">
        <f t="shared" ref="L243:R243" si="158">L$178</f>
        <v>-16538760</v>
      </c>
      <c r="M243" s="208">
        <f t="shared" si="158"/>
        <v>-16984746</v>
      </c>
      <c r="N243" s="208">
        <f t="shared" si="158"/>
        <v>-17426234.099999998</v>
      </c>
      <c r="O243" s="208">
        <f t="shared" si="158"/>
        <v>-17811098.984999999</v>
      </c>
      <c r="P243" s="208">
        <f t="shared" si="158"/>
        <v>-18074034.137249999</v>
      </c>
      <c r="Q243" s="208">
        <f t="shared" si="158"/>
        <v>-18290929.016662501</v>
      </c>
      <c r="R243" s="208">
        <f t="shared" si="158"/>
        <v>-18475289.664163124</v>
      </c>
      <c r="T243" s="2"/>
      <c r="U243" s="2"/>
    </row>
    <row r="244" spans="2:21" s="86" customFormat="1" ht="15" customHeight="1" outlineLevel="1">
      <c r="B244" s="196" t="s">
        <v>159</v>
      </c>
      <c r="C244" s="93"/>
      <c r="D244" s="87"/>
      <c r="E244" s="87"/>
      <c r="F244" s="87"/>
      <c r="G244" s="87"/>
      <c r="H244" s="141"/>
      <c r="I244" s="141"/>
      <c r="J244" s="81"/>
      <c r="K244" s="81">
        <f>SUM(K241:K243)</f>
        <v>15647686.523529422</v>
      </c>
      <c r="L244" s="81">
        <f t="shared" ref="L244:R244" si="159">SUM(L241:L243)</f>
        <v>20142212.297600016</v>
      </c>
      <c r="M244" s="81">
        <f t="shared" si="159"/>
        <v>25010074.975311704</v>
      </c>
      <c r="N244" s="81">
        <f t="shared" si="159"/>
        <v>26991144.851474177</v>
      </c>
      <c r="O244" s="81">
        <f t="shared" si="159"/>
        <v>28619715.323202826</v>
      </c>
      <c r="P244" s="81">
        <f t="shared" si="159"/>
        <v>29898815.700019233</v>
      </c>
      <c r="Q244" s="81">
        <f t="shared" si="159"/>
        <v>30986550.979015887</v>
      </c>
      <c r="R244" s="81">
        <f t="shared" si="159"/>
        <v>32142207.289103691</v>
      </c>
      <c r="T244" s="2"/>
      <c r="U244" s="2"/>
    </row>
    <row r="245" spans="2:21" s="86" customFormat="1" ht="15" customHeight="1" outlineLevel="1">
      <c r="B245" s="77"/>
      <c r="C245" s="93"/>
      <c r="D245" s="87"/>
      <c r="E245" s="87"/>
      <c r="F245" s="87"/>
      <c r="G245" s="87"/>
      <c r="H245" s="87"/>
      <c r="I245" s="87"/>
      <c r="J245" s="259"/>
      <c r="K245" s="81"/>
      <c r="L245" s="81"/>
      <c r="M245" s="81"/>
      <c r="N245" s="81"/>
      <c r="O245" s="81"/>
      <c r="P245" s="81"/>
      <c r="Q245" s="53"/>
      <c r="T245" s="2"/>
      <c r="U245" s="2"/>
    </row>
    <row r="246" spans="2:21" s="86" customFormat="1" ht="15" customHeight="1" outlineLevel="1">
      <c r="B246" s="267" t="s">
        <v>160</v>
      </c>
      <c r="C246" s="93"/>
      <c r="D246" s="87"/>
      <c r="E246" s="87"/>
      <c r="F246" s="87"/>
      <c r="G246" s="87"/>
      <c r="H246" s="87"/>
      <c r="I246" s="87"/>
      <c r="J246" s="259"/>
      <c r="K246" s="81"/>
      <c r="L246" s="81"/>
      <c r="M246" s="81"/>
      <c r="N246" s="81"/>
      <c r="O246" s="81"/>
      <c r="P246" s="81"/>
      <c r="Q246" s="53"/>
      <c r="T246" s="2"/>
      <c r="U246" s="2"/>
    </row>
    <row r="247" spans="2:21" s="86" customFormat="1" ht="15" customHeight="1" outlineLevel="1">
      <c r="B247" s="196" t="s">
        <v>159</v>
      </c>
      <c r="C247" s="93"/>
      <c r="D247" s="87"/>
      <c r="E247" s="87"/>
      <c r="F247" s="87"/>
      <c r="G247" s="87"/>
      <c r="H247" s="141"/>
      <c r="I247" s="141"/>
      <c r="J247" s="81"/>
      <c r="K247" s="81">
        <f>K244</f>
        <v>15647686.523529422</v>
      </c>
      <c r="L247" s="81">
        <f t="shared" ref="L247:R247" si="160">L244</f>
        <v>20142212.297600016</v>
      </c>
      <c r="M247" s="81">
        <f t="shared" si="160"/>
        <v>25010074.975311704</v>
      </c>
      <c r="N247" s="81">
        <f t="shared" si="160"/>
        <v>26991144.851474177</v>
      </c>
      <c r="O247" s="81">
        <f t="shared" si="160"/>
        <v>28619715.323202826</v>
      </c>
      <c r="P247" s="81">
        <f t="shared" si="160"/>
        <v>29898815.700019233</v>
      </c>
      <c r="Q247" s="81">
        <f t="shared" si="160"/>
        <v>30986550.979015887</v>
      </c>
      <c r="R247" s="81">
        <f t="shared" si="160"/>
        <v>32142207.289103691</v>
      </c>
      <c r="T247" s="2"/>
      <c r="U247" s="2"/>
    </row>
    <row r="248" spans="2:21" s="86" customFormat="1" ht="15" customHeight="1" outlineLevel="1">
      <c r="B248" s="266" t="s">
        <v>158</v>
      </c>
      <c r="C248" s="93"/>
      <c r="D248" s="87"/>
      <c r="E248" s="87"/>
      <c r="F248" s="87"/>
      <c r="G248" s="87"/>
      <c r="H248" s="87"/>
      <c r="I248" s="87"/>
      <c r="J248" s="259"/>
      <c r="K248" s="208">
        <f>K254</f>
        <v>0</v>
      </c>
      <c r="L248" s="208">
        <f t="shared" ref="L248:R248" si="161">L254</f>
        <v>0</v>
      </c>
      <c r="M248" s="208">
        <f t="shared" si="161"/>
        <v>0</v>
      </c>
      <c r="N248" s="208">
        <f t="shared" si="161"/>
        <v>0</v>
      </c>
      <c r="O248" s="208">
        <f t="shared" si="161"/>
        <v>0</v>
      </c>
      <c r="P248" s="208">
        <f t="shared" si="161"/>
        <v>0</v>
      </c>
      <c r="Q248" s="208">
        <f t="shared" si="161"/>
        <v>0</v>
      </c>
      <c r="R248" s="208">
        <f t="shared" si="161"/>
        <v>0</v>
      </c>
      <c r="T248" s="2"/>
      <c r="U248" s="2"/>
    </row>
    <row r="249" spans="2:21" s="86" customFormat="1" ht="15" customHeight="1" outlineLevel="1">
      <c r="B249" s="196" t="s">
        <v>157</v>
      </c>
      <c r="C249" s="93"/>
      <c r="D249" s="87"/>
      <c r="E249" s="87"/>
      <c r="F249" s="87"/>
      <c r="G249" s="87"/>
      <c r="H249" s="87"/>
      <c r="I249" s="87"/>
      <c r="J249" s="259"/>
      <c r="K249" s="81">
        <f xml:space="preserve"> MAX(SUM(K247:K248),0)</f>
        <v>15647686.523529422</v>
      </c>
      <c r="L249" s="81">
        <f t="shared" ref="L249:R249" si="162" xml:space="preserve"> MAX(SUM(L247:L248),0)</f>
        <v>20142212.297600016</v>
      </c>
      <c r="M249" s="81">
        <f t="shared" si="162"/>
        <v>25010074.975311704</v>
      </c>
      <c r="N249" s="81">
        <f t="shared" si="162"/>
        <v>26991144.851474177</v>
      </c>
      <c r="O249" s="81">
        <f t="shared" si="162"/>
        <v>28619715.323202826</v>
      </c>
      <c r="P249" s="81">
        <f t="shared" si="162"/>
        <v>29898815.700019233</v>
      </c>
      <c r="Q249" s="81">
        <f t="shared" si="162"/>
        <v>30986550.979015887</v>
      </c>
      <c r="R249" s="81">
        <f t="shared" si="162"/>
        <v>32142207.289103691</v>
      </c>
      <c r="T249" s="2"/>
      <c r="U249" s="2"/>
    </row>
    <row r="250" spans="2:21" s="86" customFormat="1" ht="15" customHeight="1" outlineLevel="1">
      <c r="B250" s="77"/>
      <c r="C250" s="93"/>
      <c r="D250" s="87"/>
      <c r="E250" s="87"/>
      <c r="F250" s="87"/>
      <c r="G250" s="87"/>
      <c r="H250" s="87"/>
      <c r="I250" s="87"/>
      <c r="J250" s="259"/>
      <c r="K250" s="259"/>
      <c r="L250" s="259"/>
      <c r="M250" s="259"/>
      <c r="N250" s="259"/>
      <c r="O250" s="259"/>
      <c r="P250" s="259"/>
      <c r="Q250" s="197"/>
      <c r="T250" s="2"/>
      <c r="U250" s="2"/>
    </row>
    <row r="251" spans="2:21" s="86" customFormat="1" ht="15" customHeight="1" outlineLevel="1">
      <c r="B251" s="191" t="s">
        <v>156</v>
      </c>
      <c r="C251" s="93"/>
      <c r="D251" s="87"/>
      <c r="E251" s="87"/>
      <c r="F251" s="87"/>
      <c r="G251" s="87"/>
      <c r="H251" s="87"/>
      <c r="I251" s="87"/>
      <c r="J251" s="259"/>
      <c r="K251" s="259"/>
      <c r="L251" s="259"/>
      <c r="M251" s="259"/>
      <c r="N251" s="259"/>
      <c r="O251" s="259"/>
      <c r="P251" s="259"/>
      <c r="Q251" s="197"/>
      <c r="T251" s="2"/>
      <c r="U251" s="2"/>
    </row>
    <row r="252" spans="2:21" s="86" customFormat="1" ht="15" customHeight="1" outlineLevel="1">
      <c r="B252" s="196" t="s">
        <v>155</v>
      </c>
      <c r="C252" s="93"/>
      <c r="D252" s="87"/>
      <c r="E252" s="87"/>
      <c r="F252" s="87"/>
      <c r="G252" s="87"/>
      <c r="H252" s="87"/>
      <c r="I252" s="87"/>
      <c r="J252" s="259"/>
      <c r="K252" s="81">
        <f>J255</f>
        <v>0</v>
      </c>
      <c r="L252" s="81">
        <f t="shared" ref="L252:R252" si="163">K255</f>
        <v>0</v>
      </c>
      <c r="M252" s="81">
        <f t="shared" si="163"/>
        <v>0</v>
      </c>
      <c r="N252" s="81">
        <f t="shared" si="163"/>
        <v>0</v>
      </c>
      <c r="O252" s="81">
        <f t="shared" si="163"/>
        <v>0</v>
      </c>
      <c r="P252" s="81">
        <f t="shared" si="163"/>
        <v>0</v>
      </c>
      <c r="Q252" s="81">
        <f t="shared" si="163"/>
        <v>0</v>
      </c>
      <c r="R252" s="81">
        <f t="shared" si="163"/>
        <v>0</v>
      </c>
      <c r="T252" s="2"/>
      <c r="U252" s="2"/>
    </row>
    <row r="253" spans="2:21" s="86" customFormat="1" ht="15" customHeight="1" outlineLevel="1">
      <c r="B253" s="196" t="s">
        <v>154</v>
      </c>
      <c r="C253" s="93"/>
      <c r="D253" s="87"/>
      <c r="E253" s="87"/>
      <c r="F253" s="87"/>
      <c r="G253" s="87"/>
      <c r="H253" s="87"/>
      <c r="I253" s="87"/>
      <c r="J253" s="259"/>
      <c r="K253" s="81">
        <f>-MIN(K241,0)</f>
        <v>0</v>
      </c>
      <c r="L253" s="81">
        <f t="shared" ref="L253:R253" si="164">-MIN(L241,0)</f>
        <v>0</v>
      </c>
      <c r="M253" s="81">
        <f t="shared" si="164"/>
        <v>0</v>
      </c>
      <c r="N253" s="81">
        <f t="shared" si="164"/>
        <v>0</v>
      </c>
      <c r="O253" s="81">
        <f t="shared" si="164"/>
        <v>0</v>
      </c>
      <c r="P253" s="81">
        <f t="shared" si="164"/>
        <v>0</v>
      </c>
      <c r="Q253" s="81">
        <f t="shared" si="164"/>
        <v>0</v>
      </c>
      <c r="R253" s="81">
        <f t="shared" si="164"/>
        <v>0</v>
      </c>
      <c r="T253" s="2"/>
      <c r="U253" s="2"/>
    </row>
    <row r="254" spans="2:21" s="86" customFormat="1" ht="15" customHeight="1" outlineLevel="1">
      <c r="B254" s="196" t="s">
        <v>153</v>
      </c>
      <c r="C254" s="93"/>
      <c r="D254" s="87"/>
      <c r="E254" s="87"/>
      <c r="F254" s="87"/>
      <c r="G254" s="87"/>
      <c r="H254" s="87"/>
      <c r="I254" s="87"/>
      <c r="J254" s="265"/>
      <c r="K254" s="208">
        <f>-MIN(K252,K247)*K234</f>
        <v>0</v>
      </c>
      <c r="L254" s="208">
        <f t="shared" ref="L254:R254" si="165">-MIN(L252,L247)*L234</f>
        <v>0</v>
      </c>
      <c r="M254" s="208">
        <f t="shared" si="165"/>
        <v>0</v>
      </c>
      <c r="N254" s="208">
        <f t="shared" si="165"/>
        <v>0</v>
      </c>
      <c r="O254" s="208">
        <f t="shared" si="165"/>
        <v>0</v>
      </c>
      <c r="P254" s="208">
        <f t="shared" si="165"/>
        <v>0</v>
      </c>
      <c r="Q254" s="208">
        <f t="shared" si="165"/>
        <v>0</v>
      </c>
      <c r="R254" s="208">
        <f t="shared" si="165"/>
        <v>0</v>
      </c>
      <c r="T254" s="2"/>
      <c r="U254" s="2"/>
    </row>
    <row r="255" spans="2:21" s="86" customFormat="1" ht="15" customHeight="1" outlineLevel="1">
      <c r="B255" s="196" t="s">
        <v>152</v>
      </c>
      <c r="C255" s="93"/>
      <c r="D255" s="87"/>
      <c r="E255" s="87"/>
      <c r="F255" s="87"/>
      <c r="G255" s="87"/>
      <c r="H255" s="87"/>
      <c r="I255" s="87"/>
      <c r="J255" s="81">
        <f>J213</f>
        <v>0</v>
      </c>
      <c r="K255" s="81">
        <f>SUM(K252:K254)</f>
        <v>0</v>
      </c>
      <c r="L255" s="81">
        <f t="shared" ref="L255:R255" si="166">SUM(L252:L254)</f>
        <v>0</v>
      </c>
      <c r="M255" s="81">
        <f t="shared" si="166"/>
        <v>0</v>
      </c>
      <c r="N255" s="81">
        <f t="shared" si="166"/>
        <v>0</v>
      </c>
      <c r="O255" s="81">
        <f t="shared" si="166"/>
        <v>0</v>
      </c>
      <c r="P255" s="81">
        <f t="shared" si="166"/>
        <v>0</v>
      </c>
      <c r="Q255" s="81">
        <f t="shared" si="166"/>
        <v>0</v>
      </c>
      <c r="R255" s="81">
        <f t="shared" si="166"/>
        <v>0</v>
      </c>
      <c r="T255" s="2"/>
      <c r="U255" s="2"/>
    </row>
    <row r="256" spans="2:21" s="86" customFormat="1" ht="15" customHeight="1" outlineLevel="1">
      <c r="B256" s="77"/>
      <c r="C256" s="93"/>
      <c r="D256" s="87"/>
      <c r="E256" s="87"/>
      <c r="F256" s="87"/>
      <c r="G256" s="87"/>
      <c r="H256" s="87"/>
      <c r="I256" s="87"/>
      <c r="J256" s="259"/>
      <c r="K256" s="259"/>
      <c r="L256" s="259"/>
      <c r="M256" s="259"/>
      <c r="N256" s="259"/>
      <c r="O256" s="259"/>
      <c r="P256" s="259"/>
      <c r="Q256" s="197"/>
      <c r="T256" s="2"/>
      <c r="U256" s="2"/>
    </row>
    <row r="257" spans="1:21" s="86" customFormat="1" ht="15" customHeight="1" outlineLevel="1">
      <c r="B257" s="264"/>
      <c r="C257" s="263"/>
      <c r="D257" s="262"/>
      <c r="E257" s="262"/>
      <c r="F257" s="262"/>
      <c r="G257" s="262"/>
      <c r="H257" s="262"/>
      <c r="I257" s="262"/>
      <c r="J257" s="140"/>
      <c r="K257" s="140"/>
      <c r="L257" s="140"/>
      <c r="M257" s="140"/>
      <c r="N257" s="140"/>
      <c r="O257" s="140"/>
      <c r="P257" s="147"/>
      <c r="Q257" s="197"/>
      <c r="T257" s="2"/>
      <c r="U257" s="2"/>
    </row>
    <row r="258" spans="1:21" s="86" customFormat="1" ht="15" customHeight="1" outlineLevel="1">
      <c r="B258" s="77"/>
      <c r="C258" s="93"/>
      <c r="D258" s="87"/>
      <c r="E258" s="87"/>
      <c r="F258" s="87"/>
      <c r="G258" s="87"/>
      <c r="H258" s="87"/>
      <c r="I258" s="87"/>
      <c r="J258" s="259"/>
      <c r="K258" s="259"/>
      <c r="L258" s="259"/>
      <c r="M258" s="259"/>
      <c r="N258" s="259"/>
      <c r="O258" s="259"/>
      <c r="P258" s="259"/>
      <c r="Q258" s="197"/>
      <c r="T258" s="2"/>
      <c r="U258" s="2"/>
    </row>
    <row r="259" spans="1:21" s="86" customFormat="1" ht="15" customHeight="1" outlineLevel="1">
      <c r="B259" s="191" t="s">
        <v>151</v>
      </c>
      <c r="C259" s="93"/>
      <c r="D259" s="87"/>
      <c r="E259" s="87"/>
      <c r="F259" s="87"/>
      <c r="G259" s="87"/>
      <c r="H259" s="87"/>
      <c r="I259" s="87"/>
      <c r="J259" s="259"/>
      <c r="K259" s="259"/>
      <c r="L259" s="259"/>
      <c r="M259" s="259"/>
      <c r="N259" s="259"/>
      <c r="O259" s="259"/>
      <c r="P259" s="259"/>
      <c r="Q259" s="197"/>
      <c r="T259" s="2"/>
      <c r="U259" s="2"/>
    </row>
    <row r="260" spans="1:21" s="86" customFormat="1" ht="15" customHeight="1" outlineLevel="1">
      <c r="B260" s="196" t="s">
        <v>137</v>
      </c>
      <c r="C260" s="93"/>
      <c r="D260" s="87"/>
      <c r="E260" s="87"/>
      <c r="F260" s="87"/>
      <c r="G260" s="87"/>
      <c r="H260" s="141"/>
      <c r="I260" s="141"/>
      <c r="J260" s="81"/>
      <c r="K260" s="81">
        <f>$D$236*K249</f>
        <v>5320213.4180000033</v>
      </c>
      <c r="L260" s="81">
        <f t="shared" ref="L260:R260" si="167">$D$236*L249</f>
        <v>6848352.1811840059</v>
      </c>
      <c r="M260" s="81">
        <f t="shared" si="167"/>
        <v>8503425.4916059803</v>
      </c>
      <c r="N260" s="81">
        <f t="shared" si="167"/>
        <v>9176989.2495012209</v>
      </c>
      <c r="O260" s="81">
        <f t="shared" si="167"/>
        <v>9730703.2098889612</v>
      </c>
      <c r="P260" s="81">
        <f t="shared" si="167"/>
        <v>10165597.338006539</v>
      </c>
      <c r="Q260" s="81">
        <f t="shared" si="167"/>
        <v>10535427.332865402</v>
      </c>
      <c r="R260" s="81">
        <f t="shared" si="167"/>
        <v>10928350.478295255</v>
      </c>
      <c r="T260" s="2"/>
      <c r="U260" s="2"/>
    </row>
    <row r="261" spans="1:21" s="86" customFormat="1" ht="15" customHeight="1" outlineLevel="1">
      <c r="B261" s="196" t="s">
        <v>150</v>
      </c>
      <c r="C261" s="93"/>
      <c r="D261" s="87"/>
      <c r="E261" s="87"/>
      <c r="F261" s="87"/>
      <c r="G261" s="87"/>
      <c r="H261" s="87"/>
      <c r="I261" s="87"/>
      <c r="J261" s="259"/>
      <c r="K261" s="81">
        <f>K262-K260</f>
        <v>2407787.7500000009</v>
      </c>
      <c r="L261" s="81">
        <f t="shared" ref="L261:R261" si="168">L262-L260</f>
        <v>2240718.1499999994</v>
      </c>
      <c r="M261" s="81">
        <f t="shared" si="168"/>
        <v>2060649.3900000006</v>
      </c>
      <c r="N261" s="81">
        <f t="shared" si="168"/>
        <v>1871979.3439999986</v>
      </c>
      <c r="O261" s="81">
        <f t="shared" si="168"/>
        <v>1662969.4048999995</v>
      </c>
      <c r="P261" s="81">
        <f t="shared" si="168"/>
        <v>1585699.3566650003</v>
      </c>
      <c r="Q261" s="81">
        <f t="shared" si="168"/>
        <v>1659443.6156652514</v>
      </c>
      <c r="R261" s="81">
        <f t="shared" si="168"/>
        <v>1722126.2358154617</v>
      </c>
      <c r="T261" s="2"/>
      <c r="U261" s="2"/>
    </row>
    <row r="262" spans="1:21" s="86" customFormat="1" ht="15" customHeight="1" outlineLevel="1" thickBot="1">
      <c r="B262" s="196" t="s">
        <v>149</v>
      </c>
      <c r="C262" s="93"/>
      <c r="D262" s="87"/>
      <c r="E262" s="87"/>
      <c r="F262" s="87"/>
      <c r="G262" s="87"/>
      <c r="H262" s="87"/>
      <c r="I262" s="87"/>
      <c r="J262" s="259"/>
      <c r="K262" s="251">
        <f>MAX($D$236*K241,0)</f>
        <v>7728001.1680000043</v>
      </c>
      <c r="L262" s="251">
        <f t="shared" ref="L262:R262" si="169">MAX($D$236*L241,0)</f>
        <v>9089070.3311840054</v>
      </c>
      <c r="M262" s="251">
        <f t="shared" si="169"/>
        <v>10564074.881605981</v>
      </c>
      <c r="N262" s="251">
        <f t="shared" si="169"/>
        <v>11048968.59350122</v>
      </c>
      <c r="O262" s="251">
        <f t="shared" si="169"/>
        <v>11393672.614788961</v>
      </c>
      <c r="P262" s="251">
        <f t="shared" si="169"/>
        <v>11751296.69467154</v>
      </c>
      <c r="Q262" s="251">
        <f t="shared" si="169"/>
        <v>12194870.948530653</v>
      </c>
      <c r="R262" s="251">
        <f t="shared" si="169"/>
        <v>12650476.714110717</v>
      </c>
      <c r="T262" s="2"/>
      <c r="U262" s="2"/>
    </row>
    <row r="263" spans="1:21" s="86" customFormat="1" ht="15" customHeight="1" outlineLevel="1">
      <c r="B263" s="77"/>
      <c r="C263" s="93"/>
      <c r="D263" s="87"/>
      <c r="E263" s="87"/>
      <c r="F263" s="87"/>
      <c r="G263" s="87"/>
      <c r="H263" s="87"/>
      <c r="I263" s="87"/>
      <c r="J263" s="87"/>
      <c r="K263" s="89"/>
      <c r="L263" s="89"/>
      <c r="M263" s="89"/>
      <c r="N263" s="89"/>
      <c r="O263" s="89"/>
      <c r="Q263" s="53"/>
      <c r="T263" s="2"/>
      <c r="U263" s="2"/>
    </row>
    <row r="264" spans="1:21" s="86" customFormat="1" ht="15" customHeight="1" outlineLevel="1">
      <c r="B264" s="77"/>
      <c r="C264" s="93"/>
      <c r="D264" s="87"/>
      <c r="E264" s="87"/>
      <c r="F264" s="87"/>
      <c r="G264" s="87"/>
      <c r="H264" s="87"/>
      <c r="I264" s="87"/>
      <c r="J264" s="87"/>
      <c r="K264" s="89"/>
      <c r="L264" s="89"/>
      <c r="M264" s="89"/>
      <c r="N264" s="89"/>
      <c r="O264" s="89"/>
      <c r="Q264" s="53"/>
      <c r="T264" s="2"/>
      <c r="U264" s="2"/>
    </row>
    <row r="265" spans="1:21" s="86" customFormat="1" ht="15" customHeight="1" outlineLevel="1">
      <c r="C265" s="93"/>
      <c r="D265" s="87"/>
      <c r="E265" s="87"/>
      <c r="F265" s="87"/>
      <c r="G265" s="87"/>
      <c r="H265" s="87"/>
      <c r="I265" s="87"/>
      <c r="J265" s="87"/>
      <c r="K265" s="89"/>
      <c r="L265" s="89"/>
      <c r="M265" s="89"/>
      <c r="N265" s="89"/>
      <c r="O265" s="6" t="s">
        <v>148</v>
      </c>
      <c r="Q265" s="53"/>
      <c r="T265" s="2"/>
      <c r="U265" s="2"/>
    </row>
    <row r="266" spans="1:21" s="86" customFormat="1" ht="15" customHeight="1" outlineLevel="1">
      <c r="C266" s="93"/>
      <c r="D266" s="87"/>
      <c r="E266" s="87"/>
      <c r="F266" s="87"/>
      <c r="G266" s="87"/>
      <c r="H266" s="87"/>
      <c r="I266" s="87"/>
      <c r="J266" s="87"/>
      <c r="K266" s="89"/>
      <c r="L266" s="89"/>
      <c r="M266" s="89"/>
      <c r="N266" s="89"/>
      <c r="O266" s="179" t="s">
        <v>147</v>
      </c>
      <c r="Q266" s="53"/>
      <c r="T266" s="2"/>
      <c r="U266" s="2"/>
    </row>
    <row r="267" spans="1:21" s="86" customFormat="1" ht="15" customHeight="1" outlineLevel="1">
      <c r="C267" s="93"/>
      <c r="D267" s="87"/>
      <c r="E267" s="87"/>
      <c r="F267" s="87"/>
      <c r="G267" s="87"/>
      <c r="H267" s="87"/>
      <c r="I267" s="87"/>
      <c r="J267" s="87"/>
      <c r="K267" s="89"/>
      <c r="L267" s="89"/>
      <c r="M267" s="89"/>
      <c r="N267" s="89"/>
      <c r="O267" s="261"/>
      <c r="Q267" s="53"/>
      <c r="T267" s="2"/>
      <c r="U267" s="2"/>
    </row>
    <row r="268" spans="1:21" s="86" customFormat="1" ht="15" customHeight="1" outlineLevel="1">
      <c r="B268" s="178"/>
      <c r="C268" s="137"/>
      <c r="D268" s="177"/>
      <c r="E268" s="177"/>
      <c r="F268" s="177"/>
      <c r="G268" s="177"/>
      <c r="H268" s="177"/>
      <c r="I268" s="177"/>
      <c r="J268" s="177"/>
      <c r="K268" s="176"/>
      <c r="L268" s="176"/>
      <c r="M268" s="176"/>
      <c r="N268" s="176"/>
      <c r="O268" s="176"/>
      <c r="P268" s="176"/>
      <c r="Q268" s="197"/>
      <c r="T268" s="2"/>
      <c r="U268" s="2"/>
    </row>
    <row r="269" spans="1:21" s="86" customFormat="1" ht="15" customHeight="1">
      <c r="B269" s="77"/>
      <c r="C269" s="93"/>
      <c r="D269" s="87"/>
      <c r="E269" s="87"/>
      <c r="F269" s="87"/>
      <c r="G269" s="87"/>
      <c r="H269" s="87"/>
      <c r="I269" s="87"/>
      <c r="J269" s="87"/>
      <c r="K269" s="89"/>
      <c r="L269" s="89"/>
      <c r="M269" s="89"/>
      <c r="N269" s="89"/>
      <c r="O269" s="89"/>
      <c r="P269" s="89"/>
      <c r="Q269" s="197"/>
      <c r="T269" s="2"/>
      <c r="U269" s="2"/>
    </row>
    <row r="270" spans="1:21" s="86" customFormat="1" ht="15" customHeight="1">
      <c r="A270" s="86" t="s">
        <v>0</v>
      </c>
      <c r="B270" s="476" t="s">
        <v>146</v>
      </c>
      <c r="C270" s="476"/>
      <c r="D270" s="476"/>
      <c r="E270" s="476"/>
      <c r="F270" s="476"/>
      <c r="G270" s="476"/>
      <c r="H270" s="476"/>
      <c r="I270" s="476"/>
      <c r="J270" s="476"/>
      <c r="K270" s="476"/>
      <c r="L270" s="476"/>
      <c r="M270" s="476"/>
      <c r="N270" s="476"/>
      <c r="O270" s="476"/>
      <c r="P270" s="476"/>
      <c r="Q270" s="476"/>
      <c r="R270" s="476"/>
      <c r="S270" s="476"/>
      <c r="T270" s="2"/>
      <c r="U270" s="2"/>
    </row>
    <row r="271" spans="1:21" s="86" customFormat="1" ht="15" customHeight="1" outlineLevel="1">
      <c r="B271" s="148"/>
      <c r="C271" s="93"/>
      <c r="D271" s="92"/>
      <c r="E271" s="92"/>
      <c r="F271" s="92"/>
      <c r="G271" s="92"/>
      <c r="H271" s="91"/>
      <c r="I271" s="91"/>
      <c r="J271" s="91"/>
      <c r="K271" s="91"/>
      <c r="L271" s="91"/>
      <c r="M271" s="91"/>
      <c r="N271" s="91"/>
      <c r="O271" s="91"/>
      <c r="P271" s="91"/>
      <c r="Q271" s="217"/>
      <c r="T271" s="2"/>
      <c r="U271" s="2"/>
    </row>
    <row r="272" spans="1:21" s="86" customFormat="1" ht="15" customHeight="1" outlineLevel="1" thickBot="1">
      <c r="B272" s="77" t="s">
        <v>22</v>
      </c>
      <c r="C272" s="93"/>
      <c r="D272" s="87"/>
      <c r="E272" s="87"/>
      <c r="F272" s="87"/>
      <c r="G272" s="87"/>
      <c r="H272" s="91"/>
      <c r="I272" s="91"/>
      <c r="J272" s="91"/>
      <c r="K272" s="488">
        <f t="shared" ref="K272:R272" si="170">K$5</f>
        <v>2025</v>
      </c>
      <c r="L272" s="488">
        <f t="shared" si="170"/>
        <v>2026</v>
      </c>
      <c r="M272" s="488">
        <f t="shared" si="170"/>
        <v>2027</v>
      </c>
      <c r="N272" s="488">
        <f t="shared" si="170"/>
        <v>2028</v>
      </c>
      <c r="O272" s="488">
        <f t="shared" si="170"/>
        <v>2029</v>
      </c>
      <c r="P272" s="488">
        <f t="shared" si="170"/>
        <v>2030</v>
      </c>
      <c r="Q272" s="488">
        <f t="shared" si="170"/>
        <v>2031</v>
      </c>
      <c r="R272" s="488">
        <f t="shared" si="170"/>
        <v>2032</v>
      </c>
      <c r="S272" s="488" t="s">
        <v>94</v>
      </c>
      <c r="T272" s="2"/>
      <c r="U272" s="2"/>
    </row>
    <row r="273" spans="1:21" ht="15" customHeight="1" outlineLevel="1">
      <c r="A273" s="57"/>
      <c r="B273" s="77" t="str">
        <f>$B$6</f>
        <v>Model Running: Base Case Drivers</v>
      </c>
      <c r="C273" s="93"/>
      <c r="D273" s="87"/>
      <c r="E273" s="87"/>
      <c r="F273" s="87"/>
      <c r="G273" s="87"/>
      <c r="H273" s="87"/>
      <c r="I273" s="87"/>
      <c r="J273" s="87"/>
      <c r="K273" s="89"/>
      <c r="L273" s="89"/>
      <c r="M273" s="89"/>
      <c r="N273" s="89"/>
      <c r="O273" s="89"/>
      <c r="P273" s="89"/>
      <c r="Q273" s="89"/>
      <c r="R273" s="89"/>
      <c r="S273" s="89"/>
    </row>
    <row r="274" spans="1:21" s="86" customFormat="1" ht="15" customHeight="1" outlineLevel="1">
      <c r="B274" s="77"/>
      <c r="C274" s="93"/>
      <c r="D274" s="87"/>
      <c r="E274" s="87"/>
      <c r="F274" s="87"/>
      <c r="G274" s="87"/>
      <c r="H274" s="87"/>
      <c r="I274" s="87"/>
      <c r="J274" s="87"/>
      <c r="K274" s="260"/>
      <c r="L274" s="260"/>
      <c r="M274" s="260"/>
      <c r="N274" s="260"/>
      <c r="O274" s="260"/>
      <c r="P274" s="260"/>
      <c r="Q274" s="260"/>
      <c r="R274" s="260"/>
      <c r="S274" s="260"/>
      <c r="T274" s="2"/>
      <c r="U274" s="2"/>
    </row>
    <row r="275" spans="1:21" s="86" customFormat="1" ht="15" customHeight="1" outlineLevel="1">
      <c r="B275" s="191" t="s">
        <v>145</v>
      </c>
      <c r="C275" s="93"/>
      <c r="D275" s="87"/>
      <c r="E275" s="87"/>
      <c r="F275" s="87"/>
      <c r="G275" s="191"/>
      <c r="H275" s="191" t="s">
        <v>144</v>
      </c>
      <c r="I275" s="259" t="s">
        <v>94</v>
      </c>
      <c r="J275" s="87"/>
      <c r="K275" s="89"/>
      <c r="L275" s="89"/>
      <c r="M275" s="89"/>
      <c r="N275" s="89"/>
      <c r="O275" s="89"/>
      <c r="P275" s="89"/>
      <c r="Q275" s="89"/>
      <c r="R275" s="89"/>
      <c r="S275" s="89"/>
      <c r="T275" s="2"/>
      <c r="U275" s="2"/>
    </row>
    <row r="276" spans="1:21" s="86" customFormat="1" ht="15" customHeight="1" outlineLevel="1">
      <c r="B276" s="196" t="s">
        <v>143</v>
      </c>
      <c r="C276" s="93"/>
      <c r="D276" s="87"/>
      <c r="E276" s="87"/>
      <c r="F276" s="87"/>
      <c r="G276" s="87"/>
      <c r="H276" s="258" t="s">
        <v>142</v>
      </c>
      <c r="I276" s="188">
        <f>S56</f>
        <v>32473857.712191895</v>
      </c>
      <c r="J276" s="141"/>
      <c r="K276" s="81">
        <f>K260</f>
        <v>5320213.4180000033</v>
      </c>
      <c r="L276" s="81">
        <f>L260</f>
        <v>6848352.1811840059</v>
      </c>
      <c r="M276" s="81">
        <f>M260</f>
        <v>8503425.4916059803</v>
      </c>
      <c r="N276" s="81">
        <f>N260</f>
        <v>9176989.2495012209</v>
      </c>
      <c r="O276" s="81">
        <f>O260</f>
        <v>9730703.2098889612</v>
      </c>
      <c r="P276" s="81">
        <f t="shared" ref="P276:R276" si="171">P260</f>
        <v>10165597.338006539</v>
      </c>
      <c r="Q276" s="81">
        <f t="shared" si="171"/>
        <v>10535427.332865402</v>
      </c>
      <c r="R276" s="81">
        <f t="shared" si="171"/>
        <v>10928350.478295255</v>
      </c>
      <c r="S276" s="81">
        <f>I276*I278</f>
        <v>11041111.622145245</v>
      </c>
      <c r="T276" s="2"/>
      <c r="U276" s="2"/>
    </row>
    <row r="277" spans="1:21" s="86" customFormat="1" ht="15" customHeight="1" outlineLevel="1">
      <c r="B277" s="196" t="s">
        <v>141</v>
      </c>
      <c r="C277" s="93"/>
      <c r="D277" s="87"/>
      <c r="E277" s="87"/>
      <c r="F277" s="87"/>
      <c r="G277" s="87"/>
      <c r="H277" s="257" t="s">
        <v>140</v>
      </c>
      <c r="I277" s="235">
        <f>S59</f>
        <v>29953857.712191895</v>
      </c>
      <c r="J277" s="141"/>
      <c r="K277" s="81">
        <f>K218</f>
        <v>4463413.4180000033</v>
      </c>
      <c r="L277" s="81">
        <f>L218</f>
        <v>5991552.1811840059</v>
      </c>
      <c r="M277" s="81">
        <f>M218</f>
        <v>7646625.4916059803</v>
      </c>
      <c r="N277" s="81">
        <f>N218</f>
        <v>8320189.2495012209</v>
      </c>
      <c r="O277" s="81">
        <f>O218</f>
        <v>8873903.2098889612</v>
      </c>
      <c r="P277" s="81">
        <f t="shared" ref="P277:R277" si="172">P218</f>
        <v>9308797.3380065393</v>
      </c>
      <c r="Q277" s="81">
        <f t="shared" si="172"/>
        <v>9678627.3328654021</v>
      </c>
      <c r="R277" s="81">
        <f t="shared" si="172"/>
        <v>10071550.478295255</v>
      </c>
      <c r="S277" s="81">
        <f>I277*I278</f>
        <v>10184311.622145245</v>
      </c>
      <c r="T277" s="2"/>
      <c r="U277" s="2"/>
    </row>
    <row r="278" spans="1:21" s="86" customFormat="1" ht="15" customHeight="1" outlineLevel="1">
      <c r="B278" s="196" t="s">
        <v>139</v>
      </c>
      <c r="C278" s="92"/>
      <c r="D278" s="195"/>
      <c r="E278" s="195"/>
      <c r="F278" s="195"/>
      <c r="G278" s="195"/>
      <c r="H278" s="256" t="s">
        <v>65</v>
      </c>
      <c r="I278" s="255">
        <f>$C$43</f>
        <v>0.34</v>
      </c>
      <c r="J278" s="141"/>
      <c r="K278" s="221">
        <f t="shared" ref="K278:O278" si="173">K276-K277</f>
        <v>856800</v>
      </c>
      <c r="L278" s="221">
        <f t="shared" si="173"/>
        <v>856800</v>
      </c>
      <c r="M278" s="221">
        <f t="shared" si="173"/>
        <v>856800</v>
      </c>
      <c r="N278" s="221">
        <f t="shared" si="173"/>
        <v>856800</v>
      </c>
      <c r="O278" s="221">
        <f t="shared" si="173"/>
        <v>856800</v>
      </c>
      <c r="P278" s="221">
        <f t="shared" ref="P278:R278" si="174">P276-P277</f>
        <v>856800</v>
      </c>
      <c r="Q278" s="221">
        <f t="shared" si="174"/>
        <v>856800</v>
      </c>
      <c r="R278" s="221">
        <f t="shared" si="174"/>
        <v>856800</v>
      </c>
      <c r="S278" s="221">
        <f>S276-S277</f>
        <v>856800</v>
      </c>
      <c r="T278" s="2"/>
      <c r="U278" s="2"/>
    </row>
    <row r="279" spans="1:21" s="86" customFormat="1" ht="15" customHeight="1" outlineLevel="1">
      <c r="B279" s="77"/>
      <c r="C279" s="93"/>
      <c r="D279" s="87"/>
      <c r="E279" s="87"/>
      <c r="F279" s="87"/>
      <c r="G279" s="87"/>
      <c r="H279" s="207"/>
      <c r="I279" s="207"/>
      <c r="J279" s="207"/>
      <c r="K279" s="254"/>
      <c r="L279" s="254"/>
      <c r="M279" s="254"/>
      <c r="N279" s="254"/>
      <c r="O279" s="254"/>
      <c r="P279" s="254"/>
      <c r="T279" s="2"/>
      <c r="U279" s="2"/>
    </row>
    <row r="280" spans="1:21" s="86" customFormat="1" ht="15" customHeight="1" outlineLevel="1">
      <c r="B280" s="77"/>
      <c r="C280" s="93"/>
      <c r="D280" s="87"/>
      <c r="E280" s="87"/>
      <c r="F280" s="87"/>
      <c r="G280" s="87"/>
      <c r="H280" s="87"/>
      <c r="I280" s="87"/>
      <c r="J280" s="87"/>
      <c r="K280" s="89"/>
      <c r="L280" s="89"/>
      <c r="M280" s="89"/>
      <c r="N280" s="89"/>
      <c r="O280" s="89"/>
      <c r="P280" s="89"/>
      <c r="T280" s="2"/>
      <c r="U280" s="2"/>
    </row>
    <row r="281" spans="1:21" s="86" customFormat="1" ht="15" customHeight="1" outlineLevel="1">
      <c r="B281" s="178"/>
      <c r="C281" s="137"/>
      <c r="D281" s="177"/>
      <c r="E281" s="177"/>
      <c r="F281" s="177"/>
      <c r="G281" s="177"/>
      <c r="H281" s="177"/>
      <c r="I281" s="177"/>
      <c r="J281" s="177"/>
      <c r="K281" s="176"/>
      <c r="L281" s="176"/>
      <c r="M281" s="176"/>
      <c r="N281" s="176"/>
      <c r="O281" s="176"/>
      <c r="P281" s="176"/>
      <c r="T281" s="2"/>
      <c r="U281" s="2"/>
    </row>
    <row r="282" spans="1:21" s="86" customFormat="1" ht="15" customHeight="1" outlineLevel="1">
      <c r="B282" s="77"/>
      <c r="C282" s="93"/>
      <c r="D282" s="87"/>
      <c r="E282" s="87"/>
      <c r="F282" s="87"/>
      <c r="G282" s="87"/>
      <c r="H282" s="87"/>
      <c r="I282" s="87"/>
      <c r="J282" s="87"/>
      <c r="K282" s="89"/>
      <c r="L282" s="89"/>
      <c r="M282" s="89"/>
      <c r="N282" s="89"/>
      <c r="O282" s="89"/>
      <c r="P282" s="89"/>
      <c r="T282" s="2"/>
      <c r="U282" s="2"/>
    </row>
    <row r="283" spans="1:21" s="86" customFormat="1" ht="15" customHeight="1" outlineLevel="1">
      <c r="B283" s="191" t="s">
        <v>138</v>
      </c>
      <c r="D283" s="253"/>
      <c r="E283" s="253"/>
      <c r="F283" s="253"/>
      <c r="G283" s="87"/>
      <c r="H283" s="87"/>
      <c r="I283" s="87"/>
      <c r="J283" s="87"/>
      <c r="T283" s="2"/>
      <c r="U283" s="2"/>
    </row>
    <row r="284" spans="1:21" s="86" customFormat="1" ht="15" customHeight="1" outlineLevel="1">
      <c r="B284" s="196" t="s">
        <v>119</v>
      </c>
      <c r="C284" s="93"/>
      <c r="D284" s="87"/>
      <c r="E284" s="87"/>
      <c r="F284" s="87"/>
      <c r="G284" s="87"/>
      <c r="H284" s="2"/>
      <c r="I284" s="141"/>
      <c r="J284" s="141"/>
      <c r="K284" s="81">
        <f>K52</f>
        <v>31718227.70000001</v>
      </c>
      <c r="L284" s="81">
        <f>L52</f>
        <v>36680972.297600016</v>
      </c>
      <c r="M284" s="81">
        <f>M52</f>
        <v>41994820.975311704</v>
      </c>
      <c r="N284" s="81">
        <f>N52</f>
        <v>44417378.951474175</v>
      </c>
      <c r="O284" s="81">
        <f>O52</f>
        <v>46430814.308202825</v>
      </c>
      <c r="P284" s="81">
        <f t="shared" ref="P284:R284" si="175">P52</f>
        <v>47972849.837269232</v>
      </c>
      <c r="Q284" s="81">
        <f t="shared" si="175"/>
        <v>49277479.995678388</v>
      </c>
      <c r="R284" s="81">
        <f t="shared" si="175"/>
        <v>50617496.953266814</v>
      </c>
      <c r="S284" s="81">
        <f t="shared" ref="S284" si="176">S52</f>
        <v>51993857.712191895</v>
      </c>
      <c r="T284" s="2"/>
      <c r="U284" s="2"/>
    </row>
    <row r="285" spans="1:21" s="86" customFormat="1" ht="15" customHeight="1" outlineLevel="1">
      <c r="B285" s="196" t="s">
        <v>137</v>
      </c>
      <c r="C285" s="93"/>
      <c r="D285" s="87"/>
      <c r="E285" s="87"/>
      <c r="F285" s="87"/>
      <c r="G285" s="87"/>
      <c r="H285" s="2"/>
      <c r="I285" s="141"/>
      <c r="J285" s="141"/>
      <c r="K285" s="81">
        <f>-K276</f>
        <v>-5320213.4180000033</v>
      </c>
      <c r="L285" s="81">
        <f t="shared" ref="L285:O285" si="177">-L276</f>
        <v>-6848352.1811840059</v>
      </c>
      <c r="M285" s="81">
        <f t="shared" si="177"/>
        <v>-8503425.4916059803</v>
      </c>
      <c r="N285" s="81">
        <f t="shared" si="177"/>
        <v>-9176989.2495012209</v>
      </c>
      <c r="O285" s="81">
        <f t="shared" si="177"/>
        <v>-9730703.2098889612</v>
      </c>
      <c r="P285" s="81">
        <f t="shared" ref="P285:R285" si="178">-P276</f>
        <v>-10165597.338006539</v>
      </c>
      <c r="Q285" s="81">
        <f t="shared" si="178"/>
        <v>-10535427.332865402</v>
      </c>
      <c r="R285" s="81">
        <f t="shared" si="178"/>
        <v>-10928350.478295255</v>
      </c>
      <c r="S285" s="81">
        <f t="shared" ref="S285" si="179">-S276</f>
        <v>-11041111.622145245</v>
      </c>
      <c r="T285" s="2"/>
      <c r="U285" s="2"/>
    </row>
    <row r="286" spans="1:21" s="86" customFormat="1" ht="15" customHeight="1" outlineLevel="1">
      <c r="B286" s="196" t="s">
        <v>92</v>
      </c>
      <c r="C286" s="93"/>
      <c r="D286" s="87"/>
      <c r="E286" s="87"/>
      <c r="F286" s="87"/>
      <c r="G286" s="87"/>
      <c r="H286" s="141"/>
      <c r="I286" s="141"/>
      <c r="J286" s="141"/>
      <c r="K286" s="81">
        <f>-Inputs!G24</f>
        <v>-18840000</v>
      </c>
      <c r="L286" s="81">
        <f>-Inputs!H24</f>
        <v>-19544000</v>
      </c>
      <c r="M286" s="81">
        <f>-Inputs!I24</f>
        <v>-19480000</v>
      </c>
      <c r="N286" s="81">
        <f>-Inputs!J24</f>
        <v>-20376000</v>
      </c>
      <c r="O286" s="81">
        <f>-Inputs!K24</f>
        <v>-19608000</v>
      </c>
      <c r="P286" s="81">
        <f>-Inputs!L24</f>
        <v>-19520000</v>
      </c>
      <c r="Q286" s="81">
        <f>-Inputs!M24</f>
        <v>-19520000</v>
      </c>
      <c r="R286" s="81">
        <f>-Inputs!N24</f>
        <v>-19520000</v>
      </c>
      <c r="S286" s="81">
        <f>-Inputs!O24</f>
        <v>-19520000</v>
      </c>
      <c r="T286" s="2"/>
      <c r="U286" s="2"/>
    </row>
    <row r="287" spans="1:21" s="86" customFormat="1" ht="15" customHeight="1" outlineLevel="1">
      <c r="B287" s="196" t="s">
        <v>130</v>
      </c>
      <c r="C287" s="93"/>
      <c r="D287" s="87"/>
      <c r="E287" s="87"/>
      <c r="F287" s="87"/>
      <c r="G287" s="87"/>
      <c r="H287" s="141"/>
      <c r="I287" s="141"/>
      <c r="J287" s="141"/>
      <c r="K287" s="81">
        <f>K97</f>
        <v>-703235.4997843504</v>
      </c>
      <c r="L287" s="81">
        <f>L97</f>
        <v>-7048765.4455356337</v>
      </c>
      <c r="M287" s="81">
        <f>M97</f>
        <v>854711.17892003246</v>
      </c>
      <c r="N287" s="81">
        <f>N97</f>
        <v>-274381.9087871965</v>
      </c>
      <c r="O287" s="81">
        <f>O97</f>
        <v>-239626.86700748652</v>
      </c>
      <c r="P287" s="81">
        <f t="shared" ref="P287:R287" si="180">P97</f>
        <v>-199369.55335022882</v>
      </c>
      <c r="Q287" s="81">
        <f t="shared" si="180"/>
        <v>-180030.70667525381</v>
      </c>
      <c r="R287" s="81">
        <f t="shared" si="180"/>
        <v>-185071.56646216661</v>
      </c>
      <c r="S287" s="81">
        <f>S97</f>
        <v>-190253.57032310218</v>
      </c>
      <c r="T287" s="2"/>
      <c r="U287" s="2"/>
    </row>
    <row r="288" spans="1:21" ht="15" customHeight="1" outlineLevel="1" thickBot="1">
      <c r="B288" s="196" t="s">
        <v>120</v>
      </c>
      <c r="C288" s="92"/>
      <c r="D288" s="195"/>
      <c r="E288" s="195"/>
      <c r="F288" s="195"/>
      <c r="G288" s="195"/>
      <c r="H288" s="141"/>
      <c r="I288" s="141"/>
      <c r="J288" s="141"/>
      <c r="K288" s="251">
        <f>SUM(K284:K287)</f>
        <v>6854778.7822156549</v>
      </c>
      <c r="L288" s="251">
        <f t="shared" ref="L288:O288" si="181">SUM(L284:L287)</f>
        <v>3239854.6708803773</v>
      </c>
      <c r="M288" s="251">
        <f t="shared" si="181"/>
        <v>14866106.662625754</v>
      </c>
      <c r="N288" s="251">
        <f t="shared" si="181"/>
        <v>14590007.793185757</v>
      </c>
      <c r="O288" s="251">
        <f t="shared" si="181"/>
        <v>16852484.231306382</v>
      </c>
      <c r="P288" s="251">
        <f t="shared" ref="P288:R288" si="182">SUM(P284:P287)</f>
        <v>18087882.945912462</v>
      </c>
      <c r="Q288" s="251">
        <f t="shared" si="182"/>
        <v>19042021.956137732</v>
      </c>
      <c r="R288" s="251">
        <f t="shared" si="182"/>
        <v>19984074.908509396</v>
      </c>
      <c r="S288" s="251">
        <f t="shared" ref="S288" si="183">SUM(S284:S287)</f>
        <v>21242492.519723549</v>
      </c>
    </row>
    <row r="289" spans="2:21" ht="15" customHeight="1" outlineLevel="1">
      <c r="P289" s="5"/>
    </row>
    <row r="290" spans="2:21" ht="15" customHeight="1" outlineLevel="1"/>
    <row r="291" spans="2:21" s="86" customFormat="1" ht="15" customHeight="1" outlineLevel="1">
      <c r="B291" s="191" t="s">
        <v>136</v>
      </c>
      <c r="D291" s="253"/>
      <c r="E291" s="253"/>
      <c r="F291" s="253"/>
      <c r="G291" s="87"/>
      <c r="H291" s="87"/>
      <c r="I291" s="87"/>
      <c r="J291" s="87"/>
      <c r="P291" s="220"/>
      <c r="T291" s="2"/>
      <c r="U291" s="2"/>
    </row>
    <row r="292" spans="2:21" s="86" customFormat="1" ht="15" customHeight="1" outlineLevel="1">
      <c r="B292" s="196" t="s">
        <v>135</v>
      </c>
      <c r="C292" s="93"/>
      <c r="D292" s="87"/>
      <c r="E292" s="87"/>
      <c r="F292" s="87"/>
      <c r="G292" s="87"/>
      <c r="H292" s="141"/>
      <c r="I292" s="141"/>
      <c r="J292" s="141"/>
      <c r="K292" s="81">
        <f>K65</f>
        <v>13338214.032000005</v>
      </c>
      <c r="L292" s="81">
        <f>L65</f>
        <v>15980289.466416009</v>
      </c>
      <c r="M292" s="81">
        <f>M65</f>
        <v>18843533.593705721</v>
      </c>
      <c r="N292" s="81">
        <f>N65</f>
        <v>19784797.857972957</v>
      </c>
      <c r="O292" s="81">
        <f t="shared" ref="O292:R292" si="184">O65</f>
        <v>20453929.193413865</v>
      </c>
      <c r="P292" s="81">
        <f t="shared" si="184"/>
        <v>21148140.64259769</v>
      </c>
      <c r="Q292" s="81">
        <f t="shared" si="184"/>
        <v>22009196.547147736</v>
      </c>
      <c r="R292" s="81">
        <f t="shared" si="184"/>
        <v>22893607.739156097</v>
      </c>
      <c r="S292" s="81">
        <f t="shared" ref="S292" si="185">S65</f>
        <v>19769546.090046652</v>
      </c>
      <c r="T292" s="2"/>
      <c r="U292" s="2"/>
    </row>
    <row r="293" spans="2:21" s="86" customFormat="1" ht="15" customHeight="1" outlineLevel="1">
      <c r="B293" s="196" t="s">
        <v>134</v>
      </c>
      <c r="C293" s="93"/>
      <c r="D293" s="87"/>
      <c r="E293" s="87"/>
      <c r="F293" s="87"/>
      <c r="G293" s="87"/>
      <c r="H293" s="141"/>
      <c r="I293" s="141"/>
      <c r="J293" s="141"/>
      <c r="K293" s="81">
        <f>K55</f>
        <v>8988812.5</v>
      </c>
      <c r="L293" s="81">
        <f>L55</f>
        <v>9948412.5</v>
      </c>
      <c r="M293" s="81">
        <f>M55</f>
        <v>10924012.5</v>
      </c>
      <c r="N293" s="81">
        <f>N55</f>
        <v>11920412.5</v>
      </c>
      <c r="O293" s="81">
        <f t="shared" ref="O293:R293" si="186">O55</f>
        <v>12920012.5</v>
      </c>
      <c r="P293" s="81">
        <f t="shared" si="186"/>
        <v>13410212.5</v>
      </c>
      <c r="Q293" s="81">
        <f t="shared" si="186"/>
        <v>13410212.5</v>
      </c>
      <c r="R293" s="81">
        <f t="shared" si="186"/>
        <v>13410212.5</v>
      </c>
      <c r="S293" s="81">
        <f>S55</f>
        <v>19520000</v>
      </c>
      <c r="T293" s="2"/>
      <c r="U293" s="2"/>
    </row>
    <row r="294" spans="2:21" s="86" customFormat="1" ht="15" customHeight="1" outlineLevel="1">
      <c r="B294" s="196" t="s">
        <v>133</v>
      </c>
      <c r="C294" s="93"/>
      <c r="D294" s="87"/>
      <c r="E294" s="87"/>
      <c r="F294" s="87"/>
      <c r="G294" s="87"/>
      <c r="H294" s="141"/>
      <c r="I294" s="141"/>
      <c r="J294" s="141"/>
      <c r="K294" s="81">
        <f>K62</f>
        <v>2407787.7500000009</v>
      </c>
      <c r="L294" s="81">
        <f>L62</f>
        <v>2240718.1500000004</v>
      </c>
      <c r="M294" s="81">
        <f>M62</f>
        <v>2060649.3900000006</v>
      </c>
      <c r="N294" s="81">
        <f>N62</f>
        <v>1871979.3439999986</v>
      </c>
      <c r="O294" s="81">
        <f t="shared" ref="O294:R294" si="187">O62</f>
        <v>1662969.4048999995</v>
      </c>
      <c r="P294" s="81">
        <f t="shared" si="187"/>
        <v>1585699.3566650003</v>
      </c>
      <c r="Q294" s="81">
        <f t="shared" si="187"/>
        <v>1659443.6156652514</v>
      </c>
      <c r="R294" s="81">
        <f t="shared" si="187"/>
        <v>1722126.2358154617</v>
      </c>
      <c r="S294" s="81">
        <f t="shared" ref="S294" si="188">S62</f>
        <v>0</v>
      </c>
      <c r="T294" s="2"/>
      <c r="U294" s="2"/>
    </row>
    <row r="295" spans="2:21" s="86" customFormat="1" ht="15" customHeight="1" outlineLevel="1">
      <c r="B295" s="196" t="s">
        <v>132</v>
      </c>
      <c r="C295" s="93"/>
      <c r="D295" s="87"/>
      <c r="E295" s="87"/>
      <c r="F295" s="87"/>
      <c r="G295" s="87"/>
      <c r="H295" s="141"/>
      <c r="I295" s="141"/>
      <c r="J295" s="141"/>
      <c r="K295" s="81">
        <f>K58</f>
        <v>2520000</v>
      </c>
      <c r="L295" s="81">
        <f>L58</f>
        <v>2520000</v>
      </c>
      <c r="M295" s="81">
        <f>M58</f>
        <v>2520000</v>
      </c>
      <c r="N295" s="81">
        <f>N58</f>
        <v>2520000</v>
      </c>
      <c r="O295" s="81">
        <f t="shared" ref="O295:R295" si="189">O58</f>
        <v>2520000</v>
      </c>
      <c r="P295" s="81">
        <f t="shared" si="189"/>
        <v>2520000</v>
      </c>
      <c r="Q295" s="81">
        <f t="shared" si="189"/>
        <v>2520000</v>
      </c>
      <c r="R295" s="81">
        <f t="shared" si="189"/>
        <v>2520000</v>
      </c>
      <c r="S295" s="81">
        <f t="shared" ref="S295" si="190">S58</f>
        <v>2520000</v>
      </c>
      <c r="T295" s="2"/>
      <c r="U295" s="2"/>
    </row>
    <row r="296" spans="2:21" s="86" customFormat="1" ht="15" customHeight="1" outlineLevel="1">
      <c r="B296" s="196" t="s">
        <v>131</v>
      </c>
      <c r="C296" s="93"/>
      <c r="D296" s="87"/>
      <c r="E296" s="87"/>
      <c r="F296" s="87"/>
      <c r="G296" s="87"/>
      <c r="H296" s="141"/>
      <c r="I296" s="141"/>
      <c r="J296" s="141"/>
      <c r="K296" s="81">
        <f>-K278</f>
        <v>-856800</v>
      </c>
      <c r="L296" s="81">
        <f t="shared" ref="L296:N296" si="191">-L278</f>
        <v>-856800</v>
      </c>
      <c r="M296" s="81">
        <f t="shared" si="191"/>
        <v>-856800</v>
      </c>
      <c r="N296" s="81">
        <f t="shared" si="191"/>
        <v>-856800</v>
      </c>
      <c r="O296" s="81">
        <f t="shared" ref="O296:R296" si="192">-O278</f>
        <v>-856800</v>
      </c>
      <c r="P296" s="81">
        <f t="shared" si="192"/>
        <v>-856800</v>
      </c>
      <c r="Q296" s="81">
        <f t="shared" si="192"/>
        <v>-856800</v>
      </c>
      <c r="R296" s="81">
        <f t="shared" si="192"/>
        <v>-856800</v>
      </c>
      <c r="S296" s="81">
        <f t="shared" ref="S296" si="193">-S278</f>
        <v>-856800</v>
      </c>
      <c r="T296" s="2"/>
      <c r="U296" s="2"/>
    </row>
    <row r="297" spans="2:21" s="86" customFormat="1" ht="15" customHeight="1" outlineLevel="1">
      <c r="B297" s="196" t="s">
        <v>92</v>
      </c>
      <c r="C297" s="93"/>
      <c r="D297" s="87"/>
      <c r="E297" s="87"/>
      <c r="F297" s="87"/>
      <c r="G297" s="87"/>
      <c r="H297" s="141"/>
      <c r="I297" s="141"/>
      <c r="J297" s="141"/>
      <c r="K297" s="81">
        <f>K286</f>
        <v>-18840000</v>
      </c>
      <c r="L297" s="81">
        <f t="shared" ref="L297:N298" si="194">L286</f>
        <v>-19544000</v>
      </c>
      <c r="M297" s="81">
        <f t="shared" si="194"/>
        <v>-19480000</v>
      </c>
      <c r="N297" s="81">
        <f t="shared" si="194"/>
        <v>-20376000</v>
      </c>
      <c r="O297" s="81">
        <f t="shared" ref="O297:R297" si="195">O286</f>
        <v>-19608000</v>
      </c>
      <c r="P297" s="81">
        <f t="shared" si="195"/>
        <v>-19520000</v>
      </c>
      <c r="Q297" s="81">
        <f t="shared" si="195"/>
        <v>-19520000</v>
      </c>
      <c r="R297" s="81">
        <f t="shared" si="195"/>
        <v>-19520000</v>
      </c>
      <c r="S297" s="81">
        <f t="shared" ref="S297" si="196">S286</f>
        <v>-19520000</v>
      </c>
      <c r="T297" s="2"/>
      <c r="U297" s="2"/>
    </row>
    <row r="298" spans="2:21" s="86" customFormat="1" ht="15" customHeight="1" outlineLevel="1">
      <c r="B298" s="196" t="s">
        <v>130</v>
      </c>
      <c r="C298" s="93"/>
      <c r="D298" s="87"/>
      <c r="E298" s="87"/>
      <c r="F298" s="87"/>
      <c r="G298" s="87"/>
      <c r="H298" s="141"/>
      <c r="I298" s="141"/>
      <c r="J298" s="141"/>
      <c r="K298" s="81">
        <f>K287</f>
        <v>-703235.4997843504</v>
      </c>
      <c r="L298" s="81">
        <f t="shared" si="194"/>
        <v>-7048765.4455356337</v>
      </c>
      <c r="M298" s="81">
        <f t="shared" si="194"/>
        <v>854711.17892003246</v>
      </c>
      <c r="N298" s="81">
        <f t="shared" si="194"/>
        <v>-274381.9087871965</v>
      </c>
      <c r="O298" s="81">
        <f t="shared" ref="O298:R298" si="197">O287</f>
        <v>-239626.86700748652</v>
      </c>
      <c r="P298" s="81">
        <f t="shared" si="197"/>
        <v>-199369.55335022882</v>
      </c>
      <c r="Q298" s="81">
        <f t="shared" si="197"/>
        <v>-180030.70667525381</v>
      </c>
      <c r="R298" s="81">
        <f t="shared" si="197"/>
        <v>-185071.56646216661</v>
      </c>
      <c r="S298" s="81">
        <f t="shared" ref="S298" si="198">S287</f>
        <v>-190253.57032310218</v>
      </c>
      <c r="T298" s="2"/>
      <c r="U298" s="2"/>
    </row>
    <row r="299" spans="2:21" ht="15" customHeight="1" outlineLevel="1" thickBot="1">
      <c r="B299" s="196" t="s">
        <v>120</v>
      </c>
      <c r="C299" s="92"/>
      <c r="D299" s="195"/>
      <c r="E299" s="195"/>
      <c r="F299" s="195"/>
      <c r="G299" s="195"/>
      <c r="H299" s="141"/>
      <c r="I299" s="141"/>
      <c r="J299" s="141"/>
      <c r="K299" s="251">
        <f>SUM(K292:K298)</f>
        <v>6854778.7822156549</v>
      </c>
      <c r="L299" s="251">
        <f t="shared" ref="L299:M299" si="199">SUM(L292:L298)</f>
        <v>3239854.6708803736</v>
      </c>
      <c r="M299" s="251">
        <f t="shared" si="199"/>
        <v>14866106.662625754</v>
      </c>
      <c r="N299" s="251">
        <f>SUM(N292:N298)</f>
        <v>14590007.793185757</v>
      </c>
      <c r="O299" s="251">
        <f t="shared" ref="O299:Q299" si="200">SUM(O292:O298)</f>
        <v>16852484.231306382</v>
      </c>
      <c r="P299" s="251">
        <f t="shared" si="200"/>
        <v>18087882.945912462</v>
      </c>
      <c r="Q299" s="251">
        <f t="shared" si="200"/>
        <v>19042021.956137732</v>
      </c>
      <c r="R299" s="251">
        <f>SUM(R292:R298)</f>
        <v>19984074.908509396</v>
      </c>
      <c r="S299" s="251">
        <f>SUM(S292:S298)</f>
        <v>21242492.519723549</v>
      </c>
    </row>
    <row r="300" spans="2:21" ht="15" customHeight="1" outlineLevel="1">
      <c r="P300" s="5"/>
    </row>
    <row r="301" spans="2:21" ht="15" customHeight="1" outlineLevel="1"/>
    <row r="302" spans="2:21" ht="15" customHeight="1" outlineLevel="1">
      <c r="B302" s="250" t="s">
        <v>1</v>
      </c>
      <c r="C302" s="246"/>
      <c r="D302" s="245"/>
      <c r="E302" s="245"/>
      <c r="F302" s="245"/>
      <c r="G302" s="245"/>
      <c r="H302" s="244"/>
      <c r="I302" s="244"/>
      <c r="J302" s="244"/>
      <c r="K302" s="249">
        <f t="shared" ref="K302:P302" si="201">IF(ROUND(K288-K299,1)=0,0,1)</f>
        <v>0</v>
      </c>
      <c r="L302" s="248">
        <f t="shared" si="201"/>
        <v>0</v>
      </c>
      <c r="M302" s="248">
        <f t="shared" si="201"/>
        <v>0</v>
      </c>
      <c r="N302" s="248">
        <f t="shared" si="201"/>
        <v>0</v>
      </c>
      <c r="O302" s="248">
        <f t="shared" si="201"/>
        <v>0</v>
      </c>
      <c r="P302" s="247">
        <f t="shared" si="201"/>
        <v>0</v>
      </c>
    </row>
    <row r="303" spans="2:21" ht="15" customHeight="1" outlineLevel="1">
      <c r="C303" s="246"/>
      <c r="D303" s="245"/>
      <c r="E303" s="245"/>
      <c r="F303" s="245"/>
      <c r="G303" s="245"/>
      <c r="H303" s="244"/>
      <c r="I303" s="244"/>
      <c r="J303" s="244"/>
      <c r="K303" s="244"/>
      <c r="L303" s="244"/>
      <c r="M303" s="244"/>
      <c r="N303" s="244"/>
      <c r="O303" s="244"/>
      <c r="P303" s="244"/>
    </row>
    <row r="304" spans="2:21" ht="15" customHeight="1" outlineLevel="1">
      <c r="C304" s="246"/>
      <c r="D304" s="245"/>
      <c r="E304" s="245"/>
      <c r="F304" s="245"/>
      <c r="G304" s="245"/>
      <c r="H304" s="244"/>
      <c r="I304" s="244"/>
      <c r="J304" s="244"/>
    </row>
    <row r="305" spans="1:21" s="86" customFormat="1" ht="15" customHeight="1" outlineLevel="1">
      <c r="C305" s="93"/>
      <c r="D305" s="87"/>
      <c r="E305" s="87"/>
      <c r="F305" s="87"/>
      <c r="G305" s="87"/>
      <c r="H305" s="87"/>
      <c r="I305" s="87"/>
      <c r="J305" s="87"/>
      <c r="K305" s="89"/>
      <c r="L305" s="89"/>
      <c r="M305" s="89"/>
      <c r="N305" s="89"/>
      <c r="P305" s="6" t="s">
        <v>129</v>
      </c>
      <c r="Q305" s="53"/>
      <c r="T305" s="2"/>
      <c r="U305" s="2"/>
    </row>
    <row r="306" spans="1:21" s="86" customFormat="1" ht="15" customHeight="1" outlineLevel="1">
      <c r="C306" s="93"/>
      <c r="D306" s="87"/>
      <c r="E306" s="87"/>
      <c r="F306" s="87"/>
      <c r="G306" s="87"/>
      <c r="H306" s="87"/>
      <c r="I306" s="87"/>
      <c r="J306" s="87"/>
      <c r="K306" s="89"/>
      <c r="L306" s="89"/>
      <c r="M306" s="89"/>
      <c r="N306" s="89"/>
      <c r="P306" s="179" t="s">
        <v>128</v>
      </c>
      <c r="Q306" s="53"/>
      <c r="T306" s="2"/>
      <c r="U306" s="2"/>
    </row>
    <row r="307" spans="1:21" ht="15" customHeight="1" outlineLevel="1"/>
    <row r="308" spans="1:21" s="57" customFormat="1" ht="15" customHeight="1" outlineLevel="1">
      <c r="B308" s="138"/>
      <c r="C308" s="243"/>
      <c r="D308" s="242"/>
      <c r="E308" s="242"/>
      <c r="F308" s="242"/>
      <c r="G308" s="242"/>
      <c r="H308" s="241"/>
      <c r="I308" s="241"/>
      <c r="J308" s="241"/>
      <c r="K308" s="241"/>
      <c r="L308" s="241"/>
      <c r="M308" s="241"/>
      <c r="N308" s="241"/>
      <c r="O308" s="241"/>
      <c r="P308" s="241"/>
      <c r="Q308" s="53"/>
      <c r="T308" s="2"/>
      <c r="U308" s="2"/>
    </row>
    <row r="309" spans="1:21" s="86" customFormat="1" ht="15" customHeight="1">
      <c r="B309" s="77"/>
      <c r="C309" s="93"/>
      <c r="D309" s="87"/>
      <c r="E309" s="87"/>
      <c r="F309" s="87"/>
      <c r="G309" s="87"/>
      <c r="H309" s="87"/>
      <c r="I309" s="87"/>
      <c r="J309" s="87"/>
      <c r="K309" s="89"/>
      <c r="L309" s="89"/>
      <c r="M309" s="89"/>
      <c r="N309" s="89"/>
      <c r="O309" s="89"/>
      <c r="P309" s="89"/>
      <c r="T309" s="2"/>
      <c r="U309" s="2"/>
    </row>
    <row r="310" spans="1:21" s="86" customFormat="1" ht="15" customHeight="1">
      <c r="A310" s="86" t="s">
        <v>0</v>
      </c>
      <c r="B310" s="476" t="s">
        <v>127</v>
      </c>
      <c r="C310" s="476"/>
      <c r="D310" s="476"/>
      <c r="E310" s="476"/>
      <c r="F310" s="476"/>
      <c r="G310" s="476"/>
      <c r="H310" s="476"/>
      <c r="I310" s="476"/>
      <c r="J310" s="476"/>
      <c r="K310" s="476"/>
      <c r="L310" s="476"/>
      <c r="M310" s="476"/>
      <c r="N310" s="476"/>
      <c r="O310" s="476"/>
      <c r="P310" s="476"/>
      <c r="Q310" s="476"/>
      <c r="R310" s="476"/>
      <c r="S310" s="476"/>
      <c r="T310" s="2"/>
      <c r="U310" s="2"/>
    </row>
    <row r="311" spans="1:21" s="86" customFormat="1" ht="15" customHeight="1" outlineLevel="1">
      <c r="B311" s="148"/>
      <c r="C311" s="93"/>
      <c r="D311" s="92"/>
      <c r="E311" s="92"/>
      <c r="F311" s="92"/>
      <c r="G311" s="92"/>
      <c r="H311" s="91"/>
      <c r="I311" s="91"/>
      <c r="J311" s="91"/>
      <c r="K311" s="91"/>
      <c r="L311" s="91"/>
      <c r="M311" s="91"/>
      <c r="N311" s="91"/>
      <c r="O311" s="91"/>
      <c r="P311" s="91"/>
      <c r="Q311" s="217"/>
      <c r="T311" s="2"/>
      <c r="U311" s="2"/>
    </row>
    <row r="312" spans="1:21" s="86" customFormat="1" ht="15" customHeight="1" outlineLevel="1">
      <c r="B312" s="77" t="s">
        <v>22</v>
      </c>
      <c r="C312" s="93"/>
      <c r="D312" s="92"/>
      <c r="E312" s="92"/>
      <c r="F312" s="92"/>
      <c r="G312" s="92"/>
      <c r="T312" s="2"/>
      <c r="U312" s="2"/>
    </row>
    <row r="313" spans="1:21" s="86" customFormat="1" ht="15" customHeight="1" outlineLevel="1">
      <c r="B313" s="77" t="str">
        <f>$B$6</f>
        <v>Model Running: Base Case Drivers</v>
      </c>
      <c r="G313" s="87"/>
      <c r="H313" s="91"/>
      <c r="I313" s="91"/>
      <c r="J313" s="571" t="s">
        <v>43</v>
      </c>
      <c r="K313" s="572" t="s">
        <v>110</v>
      </c>
      <c r="L313" s="573"/>
      <c r="M313" s="573"/>
      <c r="N313" s="573"/>
      <c r="O313" s="573"/>
      <c r="P313" s="573"/>
      <c r="Q313" s="573"/>
      <c r="R313" s="573"/>
      <c r="S313" s="574" t="s">
        <v>94</v>
      </c>
      <c r="T313" s="2"/>
      <c r="U313" s="2"/>
    </row>
    <row r="314" spans="1:21" s="86" customFormat="1" ht="15" customHeight="1" outlineLevel="1">
      <c r="G314" s="87"/>
      <c r="J314" s="575" t="s">
        <v>50</v>
      </c>
      <c r="K314" s="563" t="s">
        <v>50</v>
      </c>
      <c r="L314" s="563" t="s">
        <v>50</v>
      </c>
      <c r="M314" s="563" t="s">
        <v>50</v>
      </c>
      <c r="N314" s="563" t="s">
        <v>50</v>
      </c>
      <c r="O314" s="563" t="s">
        <v>50</v>
      </c>
      <c r="P314" s="563" t="s">
        <v>50</v>
      </c>
      <c r="Q314" s="563" t="s">
        <v>50</v>
      </c>
      <c r="R314" s="563" t="s">
        <v>50</v>
      </c>
      <c r="S314" s="575" t="s">
        <v>50</v>
      </c>
      <c r="T314" s="2"/>
      <c r="U314" s="2"/>
    </row>
    <row r="315" spans="1:21" s="86" customFormat="1" ht="15" customHeight="1" outlineLevel="1">
      <c r="B315" s="228" t="s">
        <v>126</v>
      </c>
      <c r="C315" s="240">
        <f>Outputs!$P$58</f>
        <v>0.01</v>
      </c>
      <c r="G315" s="87"/>
      <c r="H315" s="224" t="s">
        <v>122</v>
      </c>
      <c r="J315" s="576">
        <f>Inputs!$F$94</f>
        <v>45931</v>
      </c>
      <c r="K315" s="223">
        <f>Inputs!$F$96</f>
        <v>46022</v>
      </c>
      <c r="L315" s="223">
        <f t="shared" ref="L315:O316" si="202">EDATE(K315,12)</f>
        <v>46387</v>
      </c>
      <c r="M315" s="223">
        <f t="shared" si="202"/>
        <v>46752</v>
      </c>
      <c r="N315" s="223">
        <f t="shared" si="202"/>
        <v>47118</v>
      </c>
      <c r="O315" s="223">
        <f t="shared" si="202"/>
        <v>47483</v>
      </c>
      <c r="P315" s="223">
        <f t="shared" ref="P315:P316" si="203">EDATE(O315,12)</f>
        <v>47848</v>
      </c>
      <c r="Q315" s="223">
        <f t="shared" ref="Q315:Q316" si="204">EDATE(P315,12)</f>
        <v>48213</v>
      </c>
      <c r="R315" s="223">
        <f t="shared" ref="R315:R316" si="205">EDATE(Q315,12)</f>
        <v>48579</v>
      </c>
      <c r="S315" s="576">
        <f t="shared" ref="S315" si="206">EDATE(R315,12)</f>
        <v>48944</v>
      </c>
      <c r="T315" s="2"/>
      <c r="U315" s="2"/>
    </row>
    <row r="316" spans="1:21" s="86" customFormat="1" ht="15" customHeight="1" outlineLevel="1" thickBot="1">
      <c r="B316" s="226" t="s">
        <v>5</v>
      </c>
      <c r="C316" s="225">
        <f>Outputs!$P$59</f>
        <v>4.3493933511545804E-2</v>
      </c>
      <c r="D316" s="92"/>
      <c r="E316" s="92"/>
      <c r="F316" s="92"/>
      <c r="G316" s="92"/>
      <c r="H316" s="224" t="s">
        <v>121</v>
      </c>
      <c r="J316" s="577">
        <f>J315</f>
        <v>45931</v>
      </c>
      <c r="K316" s="562">
        <f>Inputs!$F$95</f>
        <v>45962</v>
      </c>
      <c r="L316" s="562">
        <f t="shared" si="202"/>
        <v>46327</v>
      </c>
      <c r="M316" s="562">
        <f t="shared" si="202"/>
        <v>46692</v>
      </c>
      <c r="N316" s="562">
        <f t="shared" si="202"/>
        <v>47058</v>
      </c>
      <c r="O316" s="562">
        <f t="shared" si="202"/>
        <v>47423</v>
      </c>
      <c r="P316" s="562">
        <f t="shared" si="203"/>
        <v>47788</v>
      </c>
      <c r="Q316" s="562">
        <f t="shared" si="204"/>
        <v>48153</v>
      </c>
      <c r="R316" s="562">
        <f t="shared" si="205"/>
        <v>48519</v>
      </c>
      <c r="S316" s="577">
        <f>EDATE(R316,12)</f>
        <v>48884</v>
      </c>
      <c r="T316" s="2"/>
      <c r="U316" s="2"/>
    </row>
    <row r="317" spans="1:21" s="86" customFormat="1" ht="15" customHeight="1" outlineLevel="1">
      <c r="B317" s="148"/>
      <c r="C317" s="93"/>
      <c r="D317" s="92"/>
      <c r="E317" s="92"/>
      <c r="F317" s="92"/>
      <c r="G317" s="92"/>
      <c r="H317" s="91"/>
      <c r="I317" s="91"/>
      <c r="J317" s="91"/>
      <c r="K317" s="91"/>
      <c r="L317" s="91"/>
      <c r="M317" s="91"/>
      <c r="N317" s="91"/>
      <c r="O317" s="91"/>
      <c r="P317" s="91"/>
      <c r="Q317" s="217"/>
      <c r="T317" s="2"/>
      <c r="U317" s="2"/>
    </row>
    <row r="318" spans="1:21" s="86" customFormat="1" ht="15" customHeight="1" outlineLevel="1">
      <c r="B318" s="145" t="s">
        <v>120</v>
      </c>
      <c r="D318" s="87"/>
      <c r="E318" s="87"/>
      <c r="F318" s="87"/>
      <c r="G318" s="87"/>
      <c r="H318" s="141"/>
      <c r="I318" s="141"/>
      <c r="J318" s="239">
        <v>0</v>
      </c>
      <c r="K318" s="238">
        <f>K$299</f>
        <v>6854778.7822156549</v>
      </c>
      <c r="L318" s="238">
        <f t="shared" ref="L318:P318" si="207">L$299</f>
        <v>3239854.6708803736</v>
      </c>
      <c r="M318" s="238">
        <f t="shared" si="207"/>
        <v>14866106.662625754</v>
      </c>
      <c r="N318" s="238">
        <f>N$299</f>
        <v>14590007.793185757</v>
      </c>
      <c r="O318" s="238">
        <f t="shared" si="207"/>
        <v>16852484.231306382</v>
      </c>
      <c r="P318" s="238">
        <f t="shared" si="207"/>
        <v>18087882.945912462</v>
      </c>
      <c r="Q318" s="238">
        <f>Q$299</f>
        <v>19042021.956137732</v>
      </c>
      <c r="R318" s="238">
        <f>R$299</f>
        <v>19984074.908509396</v>
      </c>
      <c r="S318" s="238">
        <f>R$299</f>
        <v>19984074.908509396</v>
      </c>
      <c r="T318" s="2"/>
      <c r="U318" s="2"/>
    </row>
    <row r="319" spans="1:21" s="86" customFormat="1" ht="15" customHeight="1" outlineLevel="1">
      <c r="Q319" s="197"/>
      <c r="T319" s="2"/>
      <c r="U319" s="2"/>
    </row>
    <row r="320" spans="1:21" s="86" customFormat="1" ht="15" customHeight="1" outlineLevel="1">
      <c r="B320" s="77"/>
      <c r="D320" s="2"/>
      <c r="E320" s="2"/>
      <c r="F320" s="2"/>
      <c r="G320" s="87"/>
      <c r="H320" s="2"/>
      <c r="I320" s="87"/>
      <c r="J320" s="87"/>
      <c r="K320" s="89"/>
      <c r="L320" s="89"/>
      <c r="M320" s="89"/>
      <c r="N320" s="89"/>
      <c r="O320" s="89"/>
      <c r="T320" s="2"/>
      <c r="U320" s="2"/>
    </row>
    <row r="321" spans="2:21" s="86" customFormat="1" ht="15" customHeight="1" outlineLevel="1">
      <c r="B321" s="191" t="s">
        <v>118</v>
      </c>
      <c r="D321" s="2"/>
      <c r="E321" s="2"/>
      <c r="F321" s="2"/>
      <c r="G321" s="87"/>
      <c r="H321" s="2"/>
      <c r="I321" s="87"/>
      <c r="J321" s="87"/>
      <c r="K321" s="89"/>
      <c r="L321" s="89"/>
      <c r="M321" s="89"/>
      <c r="N321" s="89"/>
      <c r="O321" s="89"/>
      <c r="T321" s="2"/>
      <c r="U321" s="2"/>
    </row>
    <row r="322" spans="2:21" s="86" customFormat="1" ht="15" customHeight="1" outlineLevel="1">
      <c r="B322" s="135" t="s">
        <v>110</v>
      </c>
      <c r="D322" s="216"/>
      <c r="E322" s="216"/>
      <c r="F322" s="216"/>
      <c r="G322" s="87"/>
      <c r="H322" s="2"/>
      <c r="I322" s="141"/>
      <c r="J322" s="206">
        <v>0</v>
      </c>
      <c r="K322" s="204">
        <f>K318</f>
        <v>6854778.7822156549</v>
      </c>
      <c r="L322" s="204">
        <f>L318</f>
        <v>3239854.6708803736</v>
      </c>
      <c r="M322" s="204">
        <f>M318</f>
        <v>14866106.662625754</v>
      </c>
      <c r="N322" s="204">
        <f>N318</f>
        <v>14590007.793185757</v>
      </c>
      <c r="O322" s="204">
        <f t="shared" ref="O322:Q322" si="208">O318</f>
        <v>16852484.231306382</v>
      </c>
      <c r="P322" s="204">
        <f t="shared" si="208"/>
        <v>18087882.945912462</v>
      </c>
      <c r="Q322" s="204">
        <f t="shared" si="208"/>
        <v>19042021.956137732</v>
      </c>
      <c r="R322" s="204">
        <f>R318</f>
        <v>19984074.908509396</v>
      </c>
      <c r="S322" s="204">
        <f>S318</f>
        <v>19984074.908509396</v>
      </c>
      <c r="T322" s="2"/>
      <c r="U322" s="2"/>
    </row>
    <row r="323" spans="2:21" s="86" customFormat="1" ht="15" customHeight="1" outlineLevel="1">
      <c r="B323" s="135" t="s">
        <v>109</v>
      </c>
      <c r="D323" s="87"/>
      <c r="E323" s="87"/>
      <c r="F323" s="87"/>
      <c r="G323" s="87"/>
      <c r="H323" s="2"/>
      <c r="I323" s="141"/>
      <c r="J323" s="212">
        <v>0</v>
      </c>
      <c r="K323" s="212">
        <v>0</v>
      </c>
      <c r="L323" s="212">
        <v>0</v>
      </c>
      <c r="M323" s="212">
        <v>0</v>
      </c>
      <c r="N323" s="212">
        <v>0</v>
      </c>
      <c r="O323" s="212">
        <v>0</v>
      </c>
      <c r="P323" s="212">
        <v>0</v>
      </c>
      <c r="Q323" s="212">
        <v>0</v>
      </c>
      <c r="R323" s="212">
        <v>0</v>
      </c>
      <c r="S323" s="679">
        <f>S318/(C316-C315)</f>
        <v>596647595.94810271</v>
      </c>
      <c r="T323" s="2"/>
      <c r="U323" s="2"/>
    </row>
    <row r="324" spans="2:21" s="86" customFormat="1" ht="15" customHeight="1" outlineLevel="1">
      <c r="B324" s="135" t="s">
        <v>108</v>
      </c>
      <c r="D324" s="195"/>
      <c r="E324" s="195"/>
      <c r="F324" s="195"/>
      <c r="G324" s="195"/>
      <c r="H324" s="141"/>
      <c r="I324" s="141"/>
      <c r="J324" s="204">
        <f t="shared" ref="J324:N324" si="209">SUM(J322:J323)</f>
        <v>0</v>
      </c>
      <c r="K324" s="204">
        <f>SUM(K322:K323)</f>
        <v>6854778.7822156549</v>
      </c>
      <c r="L324" s="204">
        <f t="shared" si="209"/>
        <v>3239854.6708803736</v>
      </c>
      <c r="M324" s="204">
        <f t="shared" si="209"/>
        <v>14866106.662625754</v>
      </c>
      <c r="N324" s="204">
        <f t="shared" si="209"/>
        <v>14590007.793185757</v>
      </c>
      <c r="O324" s="204">
        <f t="shared" ref="O324:S324" si="210">SUM(O322:O323)</f>
        <v>16852484.231306382</v>
      </c>
      <c r="P324" s="204">
        <f t="shared" si="210"/>
        <v>18087882.945912462</v>
      </c>
      <c r="Q324" s="204">
        <f t="shared" si="210"/>
        <v>19042021.956137732</v>
      </c>
      <c r="R324" s="204">
        <f t="shared" si="210"/>
        <v>19984074.908509396</v>
      </c>
      <c r="S324" s="204">
        <f t="shared" si="210"/>
        <v>616631670.85661209</v>
      </c>
      <c r="T324" s="2"/>
      <c r="U324" s="2"/>
    </row>
    <row r="325" spans="2:21" s="86" customFormat="1" ht="15" customHeight="1" outlineLevel="1">
      <c r="B325" s="191"/>
      <c r="D325" s="87"/>
      <c r="E325" s="87"/>
      <c r="F325" s="87"/>
      <c r="G325" s="87"/>
      <c r="H325" s="207"/>
      <c r="I325" s="207"/>
      <c r="J325" s="207"/>
      <c r="K325" s="207"/>
      <c r="L325" s="207"/>
      <c r="M325" s="207"/>
      <c r="N325" s="207"/>
      <c r="O325" s="2"/>
      <c r="P325" s="2"/>
      <c r="Q325" s="197"/>
      <c r="T325" s="2"/>
      <c r="U325" s="2"/>
    </row>
    <row r="326" spans="2:21" s="86" customFormat="1" ht="15" customHeight="1" outlineLevel="1">
      <c r="B326" s="191" t="s">
        <v>114</v>
      </c>
      <c r="D326" s="87"/>
      <c r="E326" s="87"/>
      <c r="F326" s="87"/>
      <c r="G326" s="87"/>
      <c r="H326" s="2"/>
      <c r="I326" s="87"/>
      <c r="J326" s="87"/>
      <c r="K326" s="89"/>
      <c r="L326" s="89"/>
      <c r="M326" s="89"/>
      <c r="N326" s="89"/>
      <c r="O326" s="89"/>
      <c r="P326" s="141"/>
      <c r="Q326" s="197"/>
      <c r="T326" s="2"/>
      <c r="U326" s="2"/>
    </row>
    <row r="327" spans="2:21" s="86" customFormat="1" ht="15" customHeight="1" outlineLevel="1">
      <c r="B327" s="196" t="s">
        <v>113</v>
      </c>
      <c r="D327" s="87"/>
      <c r="E327" s="87"/>
      <c r="F327" s="87"/>
      <c r="G327" s="87"/>
      <c r="H327" s="207"/>
      <c r="I327" s="207"/>
      <c r="J327" s="206">
        <v>0</v>
      </c>
      <c r="K327" s="205">
        <f>YEARFRAC(K315,J315)</f>
        <v>0.25</v>
      </c>
      <c r="L327" s="205">
        <f>YEARFRAC(L315,K315)</f>
        <v>1</v>
      </c>
      <c r="M327" s="205">
        <f>YEARFRAC(M315,L315)</f>
        <v>1</v>
      </c>
      <c r="N327" s="205">
        <f>YEARFRAC(N315,M315)</f>
        <v>1</v>
      </c>
      <c r="O327" s="205">
        <f>YEARFRAC(O315,N315)</f>
        <v>1</v>
      </c>
      <c r="P327" s="205">
        <f t="shared" ref="P327:S327" si="211">YEARFRAC(P315,O315)</f>
        <v>1</v>
      </c>
      <c r="Q327" s="205">
        <f t="shared" si="211"/>
        <v>1</v>
      </c>
      <c r="R327" s="205">
        <f t="shared" si="211"/>
        <v>1</v>
      </c>
      <c r="S327" s="205">
        <f t="shared" si="211"/>
        <v>1</v>
      </c>
      <c r="T327" s="2"/>
      <c r="U327" s="2"/>
    </row>
    <row r="328" spans="2:21" s="86" customFormat="1" ht="6" customHeight="1" outlineLevel="1">
      <c r="B328" s="196"/>
      <c r="D328" s="87"/>
      <c r="E328" s="87"/>
      <c r="F328" s="87"/>
      <c r="G328" s="87"/>
      <c r="H328" s="207"/>
      <c r="I328" s="207"/>
      <c r="J328" s="206"/>
      <c r="K328" s="205"/>
      <c r="L328" s="205"/>
      <c r="M328" s="205"/>
      <c r="N328" s="205"/>
      <c r="O328" s="205"/>
      <c r="P328" s="205"/>
      <c r="Q328" s="205"/>
      <c r="R328" s="205"/>
      <c r="S328" s="205"/>
      <c r="T328" s="2"/>
      <c r="U328" s="2"/>
    </row>
    <row r="329" spans="2:21" s="86" customFormat="1" ht="15" customHeight="1" outlineLevel="1">
      <c r="B329" s="135" t="s">
        <v>110</v>
      </c>
      <c r="D329" s="216"/>
      <c r="E329" s="216"/>
      <c r="F329" s="216"/>
      <c r="G329" s="87"/>
      <c r="H329" s="2"/>
      <c r="I329" s="141"/>
      <c r="J329" s="206">
        <v>0</v>
      </c>
      <c r="K329" s="204">
        <f>K322*K$327</f>
        <v>1713694.6955539137</v>
      </c>
      <c r="L329" s="204">
        <f t="shared" ref="K329:O330" si="212">L322*L$327</f>
        <v>3239854.6708803736</v>
      </c>
      <c r="M329" s="204">
        <f t="shared" si="212"/>
        <v>14866106.662625754</v>
      </c>
      <c r="N329" s="204">
        <f t="shared" si="212"/>
        <v>14590007.793185757</v>
      </c>
      <c r="O329" s="204">
        <f>O322*O$327</f>
        <v>16852484.231306382</v>
      </c>
      <c r="P329" s="204">
        <f t="shared" ref="P329:R329" si="213">P322*P$327</f>
        <v>18087882.945912462</v>
      </c>
      <c r="Q329" s="204">
        <f t="shared" si="213"/>
        <v>19042021.956137732</v>
      </c>
      <c r="R329" s="204">
        <f t="shared" si="213"/>
        <v>19984074.908509396</v>
      </c>
      <c r="S329" s="204">
        <f t="shared" ref="S329" si="214">S322*S$327</f>
        <v>19984074.908509396</v>
      </c>
      <c r="T329" s="2"/>
      <c r="U329" s="2"/>
    </row>
    <row r="330" spans="2:21" s="86" customFormat="1" ht="15" customHeight="1" outlineLevel="1">
      <c r="B330" s="135" t="s">
        <v>109</v>
      </c>
      <c r="D330" s="87"/>
      <c r="E330" s="87"/>
      <c r="F330" s="87"/>
      <c r="G330" s="87"/>
      <c r="H330" s="2"/>
      <c r="I330" s="141"/>
      <c r="J330" s="212">
        <v>0</v>
      </c>
      <c r="K330" s="211">
        <f t="shared" si="212"/>
        <v>0</v>
      </c>
      <c r="L330" s="211">
        <f t="shared" si="212"/>
        <v>0</v>
      </c>
      <c r="M330" s="211">
        <f t="shared" si="212"/>
        <v>0</v>
      </c>
      <c r="N330" s="211">
        <f t="shared" si="212"/>
        <v>0</v>
      </c>
      <c r="O330" s="211">
        <f t="shared" si="212"/>
        <v>0</v>
      </c>
      <c r="P330" s="211">
        <f t="shared" ref="P330:R330" si="215">P323*P$327</f>
        <v>0</v>
      </c>
      <c r="Q330" s="211">
        <f t="shared" si="215"/>
        <v>0</v>
      </c>
      <c r="R330" s="211">
        <f t="shared" si="215"/>
        <v>0</v>
      </c>
      <c r="S330" s="211">
        <f>S323*S$327</f>
        <v>596647595.94810271</v>
      </c>
      <c r="T330" s="2"/>
      <c r="U330" s="2"/>
    </row>
    <row r="331" spans="2:21" s="86" customFormat="1" ht="15" customHeight="1" outlineLevel="1">
      <c r="B331" s="135" t="s">
        <v>108</v>
      </c>
      <c r="D331" s="195"/>
      <c r="E331" s="195"/>
      <c r="F331" s="195"/>
      <c r="G331" s="195"/>
      <c r="H331" s="141"/>
      <c r="I331" s="141"/>
      <c r="J331" s="204">
        <f t="shared" ref="J331:O331" si="216">SUM(J329:J330)</f>
        <v>0</v>
      </c>
      <c r="K331" s="204">
        <f>SUM(K329:K330)</f>
        <v>1713694.6955539137</v>
      </c>
      <c r="L331" s="204">
        <f t="shared" si="216"/>
        <v>3239854.6708803736</v>
      </c>
      <c r="M331" s="204">
        <f t="shared" si="216"/>
        <v>14866106.662625754</v>
      </c>
      <c r="N331" s="204">
        <f t="shared" si="216"/>
        <v>14590007.793185757</v>
      </c>
      <c r="O331" s="204">
        <f t="shared" si="216"/>
        <v>16852484.231306382</v>
      </c>
      <c r="P331" s="204">
        <f t="shared" ref="P331:R331" si="217">SUM(P329:P330)</f>
        <v>18087882.945912462</v>
      </c>
      <c r="Q331" s="204">
        <f t="shared" si="217"/>
        <v>19042021.956137732</v>
      </c>
      <c r="R331" s="204">
        <f t="shared" si="217"/>
        <v>19984074.908509396</v>
      </c>
      <c r="S331" s="204">
        <f t="shared" ref="S331" si="218">SUM(S329:S330)</f>
        <v>616631670.85661209</v>
      </c>
      <c r="T331" s="2"/>
      <c r="U331" s="2"/>
    </row>
    <row r="332" spans="2:21" s="86" customFormat="1" ht="15" customHeight="1" outlineLevel="1">
      <c r="B332" s="196"/>
      <c r="D332" s="87"/>
      <c r="E332" s="87"/>
      <c r="F332" s="87"/>
      <c r="G332" s="87"/>
      <c r="H332" s="207"/>
      <c r="I332" s="207"/>
      <c r="J332" s="206"/>
      <c r="K332" s="205"/>
      <c r="L332" s="205"/>
      <c r="M332" s="205"/>
      <c r="N332" s="205"/>
      <c r="O332" s="205"/>
      <c r="P332" s="205"/>
      <c r="Q332" s="205"/>
      <c r="R332" s="205"/>
      <c r="T332" s="2"/>
      <c r="U332" s="2"/>
    </row>
    <row r="333" spans="2:21" s="86" customFormat="1" ht="15" customHeight="1" outlineLevel="1">
      <c r="B333" s="191" t="s">
        <v>112</v>
      </c>
      <c r="D333" s="87"/>
      <c r="E333" s="87"/>
      <c r="F333" s="87"/>
      <c r="G333" s="87"/>
      <c r="H333" s="2"/>
      <c r="I333" s="87"/>
      <c r="J333" s="87"/>
      <c r="K333" s="89"/>
      <c r="L333" s="89"/>
      <c r="M333" s="89"/>
      <c r="N333" s="89"/>
      <c r="O333" s="89"/>
      <c r="P333" s="89"/>
      <c r="Q333" s="89"/>
      <c r="R333" s="89"/>
      <c r="T333" s="2"/>
      <c r="U333" s="2"/>
    </row>
    <row r="334" spans="2:21" s="86" customFormat="1" ht="15" customHeight="1" outlineLevel="1">
      <c r="B334" s="196" t="s">
        <v>111</v>
      </c>
      <c r="C334" s="2"/>
      <c r="D334" s="87"/>
      <c r="E334" s="87"/>
      <c r="F334" s="87"/>
      <c r="G334" s="87"/>
      <c r="H334" s="141"/>
      <c r="I334" s="141"/>
      <c r="J334" s="144">
        <v>0</v>
      </c>
      <c r="K334" s="142">
        <f>J334+YEARFRAC(J316,K316)</f>
        <v>8.3333333333333329E-2</v>
      </c>
      <c r="L334" s="142">
        <f>K334+YEARFRAC(K316,L316)</f>
        <v>1.0833333333333333</v>
      </c>
      <c r="M334" s="142">
        <f>L334+YEARFRAC(L316,M316)</f>
        <v>2.083333333333333</v>
      </c>
      <c r="N334" s="142">
        <f>M334+YEARFRAC(M316,N316)</f>
        <v>3.083333333333333</v>
      </c>
      <c r="O334" s="142">
        <f>N334+YEARFRAC(N316,O316)</f>
        <v>4.083333333333333</v>
      </c>
      <c r="P334" s="142">
        <f t="shared" ref="P334:S334" si="219">O334+YEARFRAC(O316,P316)</f>
        <v>5.083333333333333</v>
      </c>
      <c r="Q334" s="142">
        <f t="shared" si="219"/>
        <v>6.083333333333333</v>
      </c>
      <c r="R334" s="142">
        <f t="shared" si="219"/>
        <v>7.083333333333333</v>
      </c>
      <c r="S334" s="142">
        <f t="shared" si="219"/>
        <v>8.0833333333333321</v>
      </c>
      <c r="T334" s="2"/>
      <c r="U334" s="2"/>
    </row>
    <row r="335" spans="2:21" s="86" customFormat="1" ht="6" customHeight="1" outlineLevel="1">
      <c r="B335" s="196"/>
      <c r="C335" s="2"/>
      <c r="D335" s="87"/>
      <c r="E335" s="87"/>
      <c r="F335" s="87"/>
      <c r="G335" s="87"/>
      <c r="H335" s="141"/>
      <c r="I335" s="141"/>
      <c r="J335" s="144"/>
      <c r="K335" s="142"/>
      <c r="L335" s="142"/>
      <c r="M335" s="142"/>
      <c r="N335" s="142"/>
      <c r="O335" s="142"/>
      <c r="P335" s="142"/>
      <c r="Q335" s="142"/>
      <c r="R335" s="142"/>
      <c r="S335" s="142"/>
      <c r="T335" s="2"/>
      <c r="U335" s="2"/>
    </row>
    <row r="336" spans="2:21" s="86" customFormat="1" ht="15" customHeight="1" outlineLevel="1">
      <c r="B336" s="135" t="s">
        <v>110</v>
      </c>
      <c r="D336" s="216"/>
      <c r="E336" s="216"/>
      <c r="F336" s="216"/>
      <c r="G336" s="87"/>
      <c r="H336" s="2"/>
      <c r="I336" s="141"/>
      <c r="J336" s="210">
        <v>0</v>
      </c>
      <c r="K336" s="204">
        <f t="shared" ref="K336:O337" si="220">K329/(1+$C$316)^K$334</f>
        <v>1707625.4746796442</v>
      </c>
      <c r="L336" s="204">
        <f t="shared" si="220"/>
        <v>3093818.0840251842</v>
      </c>
      <c r="M336" s="204">
        <f t="shared" si="220"/>
        <v>13604311.264001444</v>
      </c>
      <c r="N336" s="204">
        <f t="shared" si="220"/>
        <v>12795136.128580505</v>
      </c>
      <c r="O336" s="204">
        <f t="shared" si="220"/>
        <v>14163265.218524264</v>
      </c>
      <c r="P336" s="204">
        <f t="shared" ref="P336:R336" si="221">P329/(1+$C$316)^P$334</f>
        <v>14567910.631364224</v>
      </c>
      <c r="Q336" s="204">
        <f t="shared" si="221"/>
        <v>14697134.300155852</v>
      </c>
      <c r="R336" s="204">
        <f t="shared" si="221"/>
        <v>14781337.098764228</v>
      </c>
      <c r="S336" s="204">
        <f>S329/(1+$C$316)^S$334</f>
        <v>14165235.296598567</v>
      </c>
      <c r="T336" s="2"/>
      <c r="U336" s="2"/>
    </row>
    <row r="337" spans="2:21" s="86" customFormat="1" ht="15" customHeight="1" outlineLevel="1">
      <c r="B337" s="135" t="s">
        <v>109</v>
      </c>
      <c r="D337" s="87"/>
      <c r="E337" s="87"/>
      <c r="F337" s="87"/>
      <c r="G337" s="87"/>
      <c r="H337" s="2"/>
      <c r="I337" s="141"/>
      <c r="J337" s="212">
        <v>0</v>
      </c>
      <c r="K337" s="211">
        <f t="shared" si="220"/>
        <v>0</v>
      </c>
      <c r="L337" s="211">
        <f t="shared" si="220"/>
        <v>0</v>
      </c>
      <c r="M337" s="211">
        <f t="shared" si="220"/>
        <v>0</v>
      </c>
      <c r="N337" s="211">
        <f t="shared" si="220"/>
        <v>0</v>
      </c>
      <c r="O337" s="211">
        <f t="shared" si="220"/>
        <v>0</v>
      </c>
      <c r="P337" s="211">
        <f t="shared" ref="P337:Q337" si="222">P330/(1+$C$316)^P$334</f>
        <v>0</v>
      </c>
      <c r="Q337" s="211">
        <f t="shared" si="222"/>
        <v>0</v>
      </c>
      <c r="R337" s="211">
        <f>R330/(1+$C$316)^R$334</f>
        <v>0</v>
      </c>
      <c r="S337" s="211">
        <f>S330/(1+$C$316)^S$334</f>
        <v>422919430.81918472</v>
      </c>
      <c r="T337" s="2"/>
      <c r="U337" s="2"/>
    </row>
    <row r="338" spans="2:21" s="86" customFormat="1" ht="15" customHeight="1" outlineLevel="1">
      <c r="B338" s="135" t="s">
        <v>108</v>
      </c>
      <c r="D338" s="195"/>
      <c r="E338" s="195"/>
      <c r="F338" s="195"/>
      <c r="G338" s="195"/>
      <c r="H338" s="141"/>
      <c r="I338" s="141"/>
      <c r="J338" s="204">
        <f t="shared" ref="J338:O338" si="223">SUM(J336:J337)</f>
        <v>0</v>
      </c>
      <c r="K338" s="204">
        <f>SUM(K336:K337)</f>
        <v>1707625.4746796442</v>
      </c>
      <c r="L338" s="204">
        <f t="shared" si="223"/>
        <v>3093818.0840251842</v>
      </c>
      <c r="M338" s="204">
        <f t="shared" si="223"/>
        <v>13604311.264001444</v>
      </c>
      <c r="N338" s="204">
        <f t="shared" si="223"/>
        <v>12795136.128580505</v>
      </c>
      <c r="O338" s="204">
        <f t="shared" si="223"/>
        <v>14163265.218524264</v>
      </c>
      <c r="P338" s="204">
        <f t="shared" ref="P338:R338" si="224">SUM(P336:P337)</f>
        <v>14567910.631364224</v>
      </c>
      <c r="Q338" s="204">
        <f t="shared" si="224"/>
        <v>14697134.300155852</v>
      </c>
      <c r="R338" s="204">
        <f t="shared" si="224"/>
        <v>14781337.098764228</v>
      </c>
      <c r="S338" s="204">
        <f t="shared" ref="S338" si="225">SUM(S336:S337)</f>
        <v>437084666.11578327</v>
      </c>
      <c r="T338" s="2"/>
      <c r="U338" s="2"/>
    </row>
    <row r="339" spans="2:21" s="86" customFormat="1" ht="15" customHeight="1" outlineLevel="1">
      <c r="B339" s="196"/>
      <c r="D339" s="87"/>
      <c r="E339" s="87"/>
      <c r="F339" s="87"/>
      <c r="G339" s="87"/>
      <c r="H339" s="207"/>
      <c r="I339" s="207"/>
      <c r="J339" s="206"/>
      <c r="K339" s="205"/>
      <c r="L339" s="205"/>
      <c r="M339" s="205"/>
      <c r="N339" s="205"/>
      <c r="O339" s="205"/>
      <c r="P339" s="141"/>
      <c r="Q339" s="197"/>
      <c r="T339" s="2"/>
      <c r="U339" s="2"/>
    </row>
    <row r="340" spans="2:21" ht="15" customHeight="1" outlineLevel="1">
      <c r="H340" s="5"/>
      <c r="I340" s="5"/>
      <c r="J340" s="5"/>
      <c r="K340" s="5"/>
      <c r="L340" s="5"/>
      <c r="M340" s="5"/>
      <c r="N340" s="5"/>
      <c r="O340" s="5"/>
    </row>
    <row r="341" spans="2:21" ht="15" customHeight="1" outlineLevel="1">
      <c r="H341" s="69" t="s">
        <v>107</v>
      </c>
      <c r="I341" s="202"/>
      <c r="J341" s="5"/>
      <c r="K341" s="5"/>
      <c r="L341" s="69" t="s">
        <v>107</v>
      </c>
      <c r="M341" s="202"/>
      <c r="N341" s="5"/>
      <c r="O341" s="5"/>
    </row>
    <row r="342" spans="2:21" ht="15" customHeight="1" outlineLevel="1">
      <c r="H342" s="200" t="s">
        <v>106</v>
      </c>
      <c r="I342" s="199"/>
      <c r="J342" s="188">
        <f>SUM(K338:S338)</f>
        <v>526495204.31587863</v>
      </c>
      <c r="K342" s="5"/>
      <c r="L342" s="200" t="s">
        <v>105</v>
      </c>
      <c r="M342" s="199"/>
      <c r="N342" s="198">
        <f>O342/$O$344</f>
        <v>0.19672690776220647</v>
      </c>
      <c r="O342" s="188">
        <f>SUM(K336:S336)</f>
        <v>103575773.49669391</v>
      </c>
    </row>
    <row r="343" spans="2:21" ht="15" customHeight="1" outlineLevel="1">
      <c r="H343" s="194" t="s">
        <v>125</v>
      </c>
      <c r="I343" s="193"/>
      <c r="J343" s="183">
        <f>XNPV(C316,J331:S331,J316:S316)</f>
        <v>526347430.30260146</v>
      </c>
      <c r="K343" s="5"/>
      <c r="L343" s="187" t="s">
        <v>103</v>
      </c>
      <c r="M343" s="5"/>
      <c r="N343" s="237">
        <f>O343/$O$344</f>
        <v>0.80327309223779353</v>
      </c>
      <c r="O343" s="235">
        <f>SUM(K337:S337)</f>
        <v>422919430.81918472</v>
      </c>
    </row>
    <row r="344" spans="2:21" ht="15" customHeight="1" outlineLevel="1">
      <c r="K344" s="5"/>
      <c r="L344" s="187" t="s">
        <v>100</v>
      </c>
      <c r="M344" s="5"/>
      <c r="N344" s="198">
        <f>O344/$O$344</f>
        <v>1</v>
      </c>
      <c r="O344" s="188">
        <f>SUM(O342:O343)</f>
        <v>526495204.31587863</v>
      </c>
    </row>
    <row r="345" spans="2:21" ht="15" customHeight="1" outlineLevel="1">
      <c r="H345" s="5"/>
      <c r="I345" s="5"/>
      <c r="J345" s="5"/>
      <c r="K345" s="5"/>
      <c r="L345" s="199"/>
      <c r="M345" s="199"/>
      <c r="N345" s="199"/>
      <c r="O345" s="199"/>
    </row>
    <row r="346" spans="2:21" ht="15" customHeight="1" outlineLevel="1">
      <c r="H346" s="5"/>
      <c r="I346" s="5"/>
      <c r="J346" s="5"/>
      <c r="K346" s="5"/>
      <c r="L346" s="5"/>
      <c r="M346" s="5"/>
      <c r="N346" s="5"/>
      <c r="O346" s="5"/>
    </row>
    <row r="347" spans="2:21" ht="15" customHeight="1" outlineLevel="1">
      <c r="H347" s="69" t="s">
        <v>102</v>
      </c>
      <c r="I347" s="141"/>
      <c r="J347" s="5"/>
      <c r="K347" s="5"/>
      <c r="L347" s="69" t="s">
        <v>101</v>
      </c>
      <c r="M347" s="141"/>
      <c r="N347" s="5"/>
      <c r="O347" s="5"/>
    </row>
    <row r="348" spans="2:21" ht="15" customHeight="1" outlineLevel="1">
      <c r="H348" s="200" t="s">
        <v>100</v>
      </c>
      <c r="I348" s="199"/>
      <c r="J348" s="221">
        <f>J343</f>
        <v>526347430.30260146</v>
      </c>
      <c r="K348" s="234"/>
      <c r="L348" s="200" t="s">
        <v>8</v>
      </c>
      <c r="M348" s="199"/>
      <c r="N348" s="199"/>
      <c r="O348" s="188">
        <f>J350</f>
        <v>521107430.30260146</v>
      </c>
    </row>
    <row r="349" spans="2:21" ht="15" customHeight="1" outlineLevel="1">
      <c r="H349" s="187" t="s">
        <v>99</v>
      </c>
      <c r="I349" s="5"/>
      <c r="J349" s="81">
        <f>-Inputs!$L$94</f>
        <v>-5240000</v>
      </c>
      <c r="K349" s="234"/>
      <c r="L349" s="187" t="s">
        <v>14</v>
      </c>
      <c r="M349" s="5"/>
      <c r="N349" s="236" t="s">
        <v>13</v>
      </c>
      <c r="O349" s="235">
        <f>Inputs!$F$105</f>
        <v>12888732.761</v>
      </c>
    </row>
    <row r="350" spans="2:21" ht="15" customHeight="1" outlineLevel="1">
      <c r="H350" s="187" t="s">
        <v>8</v>
      </c>
      <c r="I350" s="5"/>
      <c r="J350" s="221">
        <f>SUM(J348:J349)</f>
        <v>521107430.30260146</v>
      </c>
      <c r="K350" s="234"/>
      <c r="L350" s="187" t="s">
        <v>8</v>
      </c>
      <c r="M350" s="5"/>
      <c r="N350" s="233" t="s">
        <v>98</v>
      </c>
      <c r="O350" s="232">
        <f>O348/O349</f>
        <v>40.431238661369392</v>
      </c>
    </row>
    <row r="351" spans="2:21" ht="15" customHeight="1" outlineLevel="1">
      <c r="C351" s="141"/>
      <c r="H351" s="199"/>
      <c r="I351" s="199"/>
      <c r="J351" s="199"/>
      <c r="K351" s="5"/>
      <c r="L351" s="199"/>
      <c r="M351" s="199"/>
      <c r="N351" s="199"/>
      <c r="O351" s="199"/>
    </row>
    <row r="352" spans="2:21" ht="15" customHeight="1" outlineLevel="1">
      <c r="C352" s="141"/>
      <c r="H352" s="5"/>
      <c r="I352" s="5"/>
      <c r="J352" s="5"/>
      <c r="K352" s="5"/>
      <c r="L352" s="5"/>
      <c r="M352" s="5"/>
      <c r="N352" s="5"/>
      <c r="O352" s="5"/>
    </row>
    <row r="353" spans="1:21" s="86" customFormat="1" ht="15" customHeight="1" outlineLevel="1">
      <c r="C353" s="93"/>
      <c r="D353" s="87"/>
      <c r="E353" s="87"/>
      <c r="F353" s="87"/>
      <c r="G353" s="87"/>
      <c r="H353" s="219"/>
      <c r="I353" s="219"/>
      <c r="J353" s="219"/>
      <c r="K353" s="231"/>
      <c r="L353" s="231"/>
      <c r="M353" s="231"/>
      <c r="N353" s="231"/>
      <c r="O353" s="230" t="s">
        <v>124</v>
      </c>
      <c r="Q353" s="53"/>
      <c r="T353" s="2"/>
      <c r="U353" s="2"/>
    </row>
    <row r="354" spans="1:21" s="86" customFormat="1" ht="15" customHeight="1" outlineLevel="1">
      <c r="C354" s="93"/>
      <c r="D354" s="87"/>
      <c r="E354" s="87"/>
      <c r="F354" s="87"/>
      <c r="G354" s="87"/>
      <c r="H354" s="87"/>
      <c r="I354" s="87"/>
      <c r="J354" s="87"/>
      <c r="K354" s="89"/>
      <c r="L354" s="89"/>
      <c r="M354" s="89"/>
      <c r="N354" s="89"/>
      <c r="O354" s="229"/>
      <c r="Q354" s="53"/>
      <c r="T354" s="2"/>
      <c r="U354" s="2"/>
    </row>
    <row r="355" spans="1:21" s="86" customFormat="1" ht="15" customHeight="1" outlineLevel="1">
      <c r="B355" s="178"/>
      <c r="C355" s="137"/>
      <c r="D355" s="177"/>
      <c r="E355" s="177"/>
      <c r="F355" s="177"/>
      <c r="G355" s="177"/>
      <c r="H355" s="177"/>
      <c r="I355" s="177"/>
      <c r="J355" s="177"/>
      <c r="K355" s="176"/>
      <c r="L355" s="176"/>
      <c r="M355" s="176"/>
      <c r="N355" s="176"/>
      <c r="O355" s="176"/>
      <c r="P355" s="176"/>
      <c r="T355" s="2"/>
      <c r="U355" s="2"/>
    </row>
    <row r="356" spans="1:21" s="86" customFormat="1" ht="15" customHeight="1">
      <c r="B356" s="77"/>
      <c r="C356" s="93"/>
      <c r="D356" s="87"/>
      <c r="E356" s="87"/>
      <c r="F356" s="87"/>
      <c r="G356" s="87"/>
      <c r="H356" s="87"/>
      <c r="I356" s="87"/>
      <c r="J356" s="87"/>
      <c r="K356" s="89"/>
      <c r="L356" s="89"/>
      <c r="M356" s="89"/>
      <c r="N356" s="89"/>
      <c r="O356" s="89"/>
      <c r="P356" s="89"/>
      <c r="T356" s="2"/>
      <c r="U356" s="2"/>
    </row>
    <row r="357" spans="1:21" s="86" customFormat="1" ht="15" customHeight="1">
      <c r="A357" s="86" t="s">
        <v>0</v>
      </c>
      <c r="B357" s="476" t="s">
        <v>123</v>
      </c>
      <c r="C357" s="476"/>
      <c r="D357" s="476"/>
      <c r="E357" s="476"/>
      <c r="F357" s="476"/>
      <c r="G357" s="476"/>
      <c r="H357" s="476"/>
      <c r="I357" s="476"/>
      <c r="J357" s="476"/>
      <c r="K357" s="476"/>
      <c r="L357" s="476"/>
      <c r="M357" s="476"/>
      <c r="N357" s="476"/>
      <c r="O357" s="476"/>
      <c r="P357" s="476"/>
      <c r="Q357" s="476"/>
      <c r="R357" s="476"/>
      <c r="S357" s="476"/>
      <c r="T357" s="2"/>
      <c r="U357" s="2"/>
    </row>
    <row r="358" spans="1:21" s="86" customFormat="1" ht="15" customHeight="1" outlineLevel="1">
      <c r="B358" s="148"/>
      <c r="C358" s="93"/>
      <c r="D358" s="92"/>
      <c r="E358" s="92"/>
      <c r="F358" s="92"/>
      <c r="T358" s="2"/>
      <c r="U358" s="2"/>
    </row>
    <row r="359" spans="1:21" s="86" customFormat="1" ht="15" customHeight="1" outlineLevel="1">
      <c r="B359" s="77" t="s">
        <v>22</v>
      </c>
      <c r="C359" s="93"/>
      <c r="D359" s="92"/>
      <c r="E359" s="92"/>
      <c r="F359" s="92"/>
      <c r="G359" s="92"/>
      <c r="H359" s="91"/>
      <c r="I359" s="91"/>
      <c r="J359" s="91"/>
      <c r="K359" s="91"/>
      <c r="L359" s="91"/>
      <c r="M359" s="91"/>
      <c r="N359" s="91"/>
      <c r="O359" s="91"/>
      <c r="P359" s="91"/>
      <c r="Q359" s="217"/>
      <c r="T359" s="2"/>
      <c r="U359" s="2"/>
    </row>
    <row r="360" spans="1:21" s="86" customFormat="1" ht="15" customHeight="1" outlineLevel="1">
      <c r="B360" s="77" t="str">
        <f>$B$6</f>
        <v>Model Running: Base Case Drivers</v>
      </c>
      <c r="G360" s="92"/>
      <c r="H360" s="91"/>
      <c r="I360" s="91"/>
      <c r="J360" s="567" t="s">
        <v>43</v>
      </c>
      <c r="K360" s="565" t="s">
        <v>110</v>
      </c>
      <c r="L360" s="566"/>
      <c r="M360" s="566"/>
      <c r="N360" s="566"/>
      <c r="O360" s="566"/>
      <c r="P360" s="566"/>
      <c r="Q360" s="566"/>
      <c r="R360" s="566"/>
      <c r="S360" s="566"/>
      <c r="T360" s="2"/>
      <c r="U360" s="2"/>
    </row>
    <row r="361" spans="1:21" s="86" customFormat="1" ht="15" customHeight="1" outlineLevel="1">
      <c r="G361" s="87"/>
      <c r="J361" s="568" t="s">
        <v>50</v>
      </c>
      <c r="K361" s="563" t="s">
        <v>50</v>
      </c>
      <c r="L361" s="563" t="s">
        <v>50</v>
      </c>
      <c r="M361" s="563" t="s">
        <v>50</v>
      </c>
      <c r="N361" s="563" t="s">
        <v>50</v>
      </c>
      <c r="O361" s="563" t="s">
        <v>50</v>
      </c>
      <c r="P361" s="563" t="s">
        <v>50</v>
      </c>
      <c r="Q361" s="563" t="s">
        <v>50</v>
      </c>
      <c r="R361" s="563" t="s">
        <v>50</v>
      </c>
      <c r="S361" s="563" t="s">
        <v>50</v>
      </c>
      <c r="T361" s="2"/>
      <c r="U361" s="2"/>
    </row>
    <row r="362" spans="1:21" s="86" customFormat="1" ht="15" customHeight="1" outlineLevel="1">
      <c r="B362" s="228" t="s">
        <v>6</v>
      </c>
      <c r="C362" s="227">
        <f>Inputs!F108</f>
        <v>6.9249443662970993</v>
      </c>
      <c r="G362" s="87"/>
      <c r="H362" s="224" t="s">
        <v>122</v>
      </c>
      <c r="J362" s="569">
        <f>Inputs!$F$94</f>
        <v>45931</v>
      </c>
      <c r="K362" s="223">
        <f>Inputs!$F$96</f>
        <v>46022</v>
      </c>
      <c r="L362" s="223">
        <f t="shared" ref="L362:O363" si="226">EDATE(K362,12)</f>
        <v>46387</v>
      </c>
      <c r="M362" s="223">
        <f t="shared" si="226"/>
        <v>46752</v>
      </c>
      <c r="N362" s="223">
        <f t="shared" si="226"/>
        <v>47118</v>
      </c>
      <c r="O362" s="223">
        <f t="shared" si="226"/>
        <v>47483</v>
      </c>
      <c r="P362" s="223">
        <f t="shared" ref="P362:P363" si="227">EDATE(O362,12)</f>
        <v>47848</v>
      </c>
      <c r="Q362" s="223">
        <f t="shared" ref="Q362:Q363" si="228">EDATE(P362,12)</f>
        <v>48213</v>
      </c>
      <c r="R362" s="223">
        <f t="shared" ref="R362:R363" si="229">EDATE(Q362,12)</f>
        <v>48579</v>
      </c>
      <c r="S362" s="223">
        <f t="shared" ref="S362:S363" si="230">EDATE(R362,12)</f>
        <v>48944</v>
      </c>
      <c r="T362" s="2"/>
      <c r="U362" s="2"/>
    </row>
    <row r="363" spans="1:21" s="86" customFormat="1" ht="15" customHeight="1" outlineLevel="1">
      <c r="B363" s="226" t="s">
        <v>5</v>
      </c>
      <c r="C363" s="225">
        <f>+Outputs!$O$13</f>
        <v>4.3493933511545804E-2</v>
      </c>
      <c r="D363" s="92"/>
      <c r="E363" s="92"/>
      <c r="F363" s="92"/>
      <c r="G363" s="87"/>
      <c r="H363" s="224" t="s">
        <v>121</v>
      </c>
      <c r="J363" s="570">
        <f>J362</f>
        <v>45931</v>
      </c>
      <c r="K363" s="564">
        <f>Inputs!$F$95</f>
        <v>45962</v>
      </c>
      <c r="L363" s="564">
        <f t="shared" si="226"/>
        <v>46327</v>
      </c>
      <c r="M363" s="564">
        <f t="shared" si="226"/>
        <v>46692</v>
      </c>
      <c r="N363" s="564">
        <f t="shared" si="226"/>
        <v>47058</v>
      </c>
      <c r="O363" s="564">
        <f t="shared" si="226"/>
        <v>47423</v>
      </c>
      <c r="P363" s="564">
        <f t="shared" si="227"/>
        <v>47788</v>
      </c>
      <c r="Q363" s="564">
        <f t="shared" si="228"/>
        <v>48153</v>
      </c>
      <c r="R363" s="564">
        <f t="shared" si="229"/>
        <v>48519</v>
      </c>
      <c r="S363" s="564">
        <f t="shared" si="230"/>
        <v>48884</v>
      </c>
      <c r="T363" s="2"/>
      <c r="U363" s="2"/>
    </row>
    <row r="364" spans="1:21" s="86" customFormat="1" ht="15" customHeight="1" outlineLevel="1">
      <c r="B364" s="148"/>
      <c r="C364" s="93"/>
      <c r="D364" s="92"/>
      <c r="E364" s="92"/>
      <c r="F364" s="92"/>
      <c r="G364" s="92"/>
      <c r="H364" s="91"/>
      <c r="I364" s="91"/>
      <c r="J364" s="91"/>
      <c r="K364" s="91"/>
      <c r="L364" s="91"/>
      <c r="M364" s="91"/>
      <c r="N364" s="91"/>
      <c r="O364" s="91"/>
      <c r="P364" s="91"/>
      <c r="Q364" s="217"/>
      <c r="R364" s="217"/>
      <c r="S364" s="217"/>
      <c r="T364" s="2"/>
      <c r="U364" s="2"/>
    </row>
    <row r="365" spans="1:21" s="86" customFormat="1" ht="15" customHeight="1" outlineLevel="1">
      <c r="B365" s="59" t="s">
        <v>120</v>
      </c>
      <c r="C365" s="220"/>
      <c r="D365" s="219"/>
      <c r="E365" s="219"/>
      <c r="F365" s="219"/>
      <c r="G365" s="219"/>
      <c r="H365" s="141"/>
      <c r="I365" s="141"/>
      <c r="J365" s="222"/>
      <c r="K365" s="221">
        <f t="shared" ref="K365:S365" si="231">K$299</f>
        <v>6854778.7822156549</v>
      </c>
      <c r="L365" s="221">
        <f t="shared" si="231"/>
        <v>3239854.6708803736</v>
      </c>
      <c r="M365" s="221">
        <f t="shared" si="231"/>
        <v>14866106.662625754</v>
      </c>
      <c r="N365" s="221">
        <f t="shared" si="231"/>
        <v>14590007.793185757</v>
      </c>
      <c r="O365" s="221">
        <f t="shared" si="231"/>
        <v>16852484.231306382</v>
      </c>
      <c r="P365" s="221">
        <f t="shared" si="231"/>
        <v>18087882.945912462</v>
      </c>
      <c r="Q365" s="221">
        <f t="shared" si="231"/>
        <v>19042021.956137732</v>
      </c>
      <c r="R365" s="221">
        <f t="shared" si="231"/>
        <v>19984074.908509396</v>
      </c>
      <c r="S365" s="221">
        <f t="shared" si="231"/>
        <v>21242492.519723549</v>
      </c>
      <c r="T365" s="2"/>
      <c r="U365" s="2"/>
    </row>
    <row r="366" spans="1:21" s="86" customFormat="1" ht="15" customHeight="1" outlineLevel="1">
      <c r="B366" s="59" t="s">
        <v>119</v>
      </c>
      <c r="C366" s="220"/>
      <c r="D366" s="219"/>
      <c r="E366" s="219"/>
      <c r="F366" s="219"/>
      <c r="G366" s="219"/>
      <c r="H366" s="141"/>
      <c r="I366" s="141"/>
      <c r="J366" s="218"/>
      <c r="K366" s="208"/>
      <c r="L366" s="208"/>
      <c r="M366" s="208"/>
      <c r="N366" s="208"/>
      <c r="O366" s="209"/>
      <c r="P366" s="209"/>
      <c r="Q366" s="209"/>
      <c r="R366" s="209"/>
      <c r="S366" s="680">
        <f>S284</f>
        <v>51993857.712191895</v>
      </c>
      <c r="T366" s="209"/>
      <c r="U366" s="2"/>
    </row>
    <row r="367" spans="1:21" s="86" customFormat="1" ht="15" customHeight="1" outlineLevel="1">
      <c r="T367" s="2"/>
      <c r="U367" s="2"/>
    </row>
    <row r="368" spans="1:21" s="86" customFormat="1" ht="15" customHeight="1" outlineLevel="1">
      <c r="B368" s="191" t="s">
        <v>118</v>
      </c>
      <c r="G368" s="87"/>
      <c r="H368" s="2"/>
      <c r="I368" s="2"/>
      <c r="J368" s="2"/>
      <c r="K368" s="2"/>
      <c r="L368" s="2"/>
      <c r="M368" s="2"/>
      <c r="N368" s="2"/>
      <c r="O368" s="2"/>
      <c r="P368" s="2"/>
      <c r="Q368" s="2"/>
      <c r="T368" s="2"/>
      <c r="U368" s="2"/>
    </row>
    <row r="369" spans="2:21" s="86" customFormat="1" ht="15" customHeight="1" outlineLevel="1">
      <c r="B369" s="196" t="s">
        <v>110</v>
      </c>
      <c r="D369" s="216"/>
      <c r="E369" s="216"/>
      <c r="F369" s="216"/>
      <c r="G369" s="87"/>
      <c r="H369" s="215" t="s">
        <v>117</v>
      </c>
      <c r="I369" s="141"/>
      <c r="J369" s="206">
        <v>0</v>
      </c>
      <c r="K369" s="204">
        <f t="shared" ref="K369:P369" si="232">K365</f>
        <v>6854778.7822156549</v>
      </c>
      <c r="L369" s="204">
        <f t="shared" si="232"/>
        <v>3239854.6708803736</v>
      </c>
      <c r="M369" s="204">
        <f t="shared" si="232"/>
        <v>14866106.662625754</v>
      </c>
      <c r="N369" s="204">
        <f t="shared" si="232"/>
        <v>14590007.793185757</v>
      </c>
      <c r="O369" s="204">
        <f t="shared" si="232"/>
        <v>16852484.231306382</v>
      </c>
      <c r="P369" s="204">
        <f t="shared" si="232"/>
        <v>18087882.945912462</v>
      </c>
      <c r="Q369" s="204">
        <f t="shared" ref="Q369:S369" si="233">Q365</f>
        <v>19042021.956137732</v>
      </c>
      <c r="R369" s="204">
        <f t="shared" si="233"/>
        <v>19984074.908509396</v>
      </c>
      <c r="S369" s="204">
        <f t="shared" si="233"/>
        <v>21242492.519723549</v>
      </c>
      <c r="T369" s="2"/>
      <c r="U369" s="2"/>
    </row>
    <row r="370" spans="2:21" s="86" customFormat="1" ht="15" customHeight="1" outlineLevel="1">
      <c r="B370" s="196" t="s">
        <v>116</v>
      </c>
      <c r="D370" s="87"/>
      <c r="E370" s="87"/>
      <c r="F370" s="87"/>
      <c r="G370" s="87"/>
      <c r="H370" s="214" t="s">
        <v>115</v>
      </c>
      <c r="I370" s="141"/>
      <c r="J370" s="212">
        <v>0</v>
      </c>
      <c r="K370" s="212">
        <v>0</v>
      </c>
      <c r="L370" s="212">
        <v>0</v>
      </c>
      <c r="M370" s="212">
        <v>0</v>
      </c>
      <c r="N370" s="212">
        <v>0</v>
      </c>
      <c r="O370" s="212">
        <v>0</v>
      </c>
      <c r="P370" s="211">
        <f>(P366*C362)/(1+C363)^H371</f>
        <v>0</v>
      </c>
      <c r="Q370" s="211">
        <f>(Q366*D362)/(1+D363)^I371</f>
        <v>0</v>
      </c>
      <c r="R370" s="211">
        <f>(R366*E362)/(1+E363)^J371</f>
        <v>0</v>
      </c>
      <c r="S370" s="211">
        <f>(S366*C362)/(1+C363)^H371</f>
        <v>357508749.74953401</v>
      </c>
      <c r="T370" s="2"/>
      <c r="U370" s="2"/>
    </row>
    <row r="371" spans="2:21" s="86" customFormat="1" ht="15" customHeight="1" outlineLevel="1">
      <c r="B371" s="196" t="s">
        <v>108</v>
      </c>
      <c r="D371" s="195"/>
      <c r="E371" s="195"/>
      <c r="F371" s="195"/>
      <c r="G371" s="195"/>
      <c r="H371" s="213">
        <f>YEARFRAC(P363,P362)</f>
        <v>0.16666666666666666</v>
      </c>
      <c r="I371" s="141"/>
      <c r="J371" s="204">
        <f t="shared" ref="J371:P371" si="234">SUM(J369:J370)</f>
        <v>0</v>
      </c>
      <c r="K371" s="204">
        <f t="shared" si="234"/>
        <v>6854778.7822156549</v>
      </c>
      <c r="L371" s="204">
        <f t="shared" si="234"/>
        <v>3239854.6708803736</v>
      </c>
      <c r="M371" s="204">
        <f t="shared" si="234"/>
        <v>14866106.662625754</v>
      </c>
      <c r="N371" s="204">
        <f t="shared" si="234"/>
        <v>14590007.793185757</v>
      </c>
      <c r="O371" s="204">
        <f t="shared" si="234"/>
        <v>16852484.231306382</v>
      </c>
      <c r="P371" s="204">
        <f t="shared" si="234"/>
        <v>18087882.945912462</v>
      </c>
      <c r="Q371" s="204">
        <f t="shared" ref="Q371:S371" si="235">SUM(Q369:Q370)</f>
        <v>19042021.956137732</v>
      </c>
      <c r="R371" s="204">
        <f t="shared" si="235"/>
        <v>19984074.908509396</v>
      </c>
      <c r="S371" s="204">
        <f t="shared" si="235"/>
        <v>378751242.26925755</v>
      </c>
      <c r="T371" s="2"/>
      <c r="U371" s="2"/>
    </row>
    <row r="372" spans="2:21" s="86" customFormat="1" ht="15" customHeight="1" outlineLevel="1">
      <c r="B372" s="191"/>
      <c r="D372" s="87"/>
      <c r="E372" s="87"/>
      <c r="F372" s="87"/>
      <c r="G372" s="87"/>
      <c r="H372" s="207"/>
      <c r="I372" s="207"/>
      <c r="J372" s="207"/>
      <c r="K372" s="207"/>
      <c r="L372" s="207"/>
      <c r="M372" s="207"/>
      <c r="N372" s="207"/>
      <c r="O372" s="2"/>
      <c r="P372" s="2"/>
      <c r="Q372" s="2"/>
      <c r="T372" s="2"/>
      <c r="U372" s="2"/>
    </row>
    <row r="373" spans="2:21" s="86" customFormat="1" ht="15" customHeight="1" outlineLevel="1">
      <c r="B373" s="191" t="s">
        <v>114</v>
      </c>
      <c r="D373" s="87"/>
      <c r="E373" s="87"/>
      <c r="F373" s="87"/>
      <c r="G373" s="87"/>
      <c r="H373" s="207"/>
      <c r="I373" s="207"/>
      <c r="J373" s="206"/>
      <c r="K373" s="205"/>
      <c r="L373" s="205"/>
      <c r="M373" s="205"/>
      <c r="N373" s="205"/>
      <c r="O373" s="205"/>
      <c r="P373" s="205"/>
      <c r="Q373" s="205"/>
      <c r="T373" s="2"/>
      <c r="U373" s="2"/>
    </row>
    <row r="374" spans="2:21" s="86" customFormat="1" ht="15" customHeight="1" outlineLevel="1">
      <c r="B374" s="196" t="s">
        <v>113</v>
      </c>
      <c r="D374" s="87"/>
      <c r="E374" s="87"/>
      <c r="F374" s="87"/>
      <c r="G374" s="87"/>
      <c r="H374" s="207"/>
      <c r="I374" s="207"/>
      <c r="J374" s="206">
        <v>0</v>
      </c>
      <c r="K374" s="205">
        <f t="shared" ref="K374:S374" si="236">YEARFRAC(K362,J362)</f>
        <v>0.25</v>
      </c>
      <c r="L374" s="205">
        <f t="shared" si="236"/>
        <v>1</v>
      </c>
      <c r="M374" s="205">
        <f t="shared" si="236"/>
        <v>1</v>
      </c>
      <c r="N374" s="205">
        <f t="shared" si="236"/>
        <v>1</v>
      </c>
      <c r="O374" s="205">
        <f t="shared" si="236"/>
        <v>1</v>
      </c>
      <c r="P374" s="205">
        <f t="shared" si="236"/>
        <v>1</v>
      </c>
      <c r="Q374" s="205">
        <f t="shared" si="236"/>
        <v>1</v>
      </c>
      <c r="R374" s="205">
        <f t="shared" si="236"/>
        <v>1</v>
      </c>
      <c r="S374" s="205">
        <f t="shared" si="236"/>
        <v>1</v>
      </c>
      <c r="T374" s="2"/>
      <c r="U374" s="2"/>
    </row>
    <row r="375" spans="2:21" s="86" customFormat="1" ht="6" customHeight="1" outlineLevel="1">
      <c r="B375" s="196"/>
      <c r="D375" s="87"/>
      <c r="E375" s="87"/>
      <c r="F375" s="87"/>
      <c r="G375" s="87"/>
      <c r="H375" s="207"/>
      <c r="I375" s="207"/>
      <c r="J375" s="206"/>
      <c r="K375" s="205"/>
      <c r="L375" s="205"/>
      <c r="M375" s="205"/>
      <c r="N375" s="205"/>
      <c r="O375" s="205"/>
      <c r="P375" s="205"/>
      <c r="Q375" s="205"/>
      <c r="R375" s="205"/>
      <c r="S375" s="205"/>
      <c r="T375" s="2"/>
      <c r="U375" s="2"/>
    </row>
    <row r="376" spans="2:21" s="86" customFormat="1" ht="15" customHeight="1" outlineLevel="1">
      <c r="B376" s="135" t="s">
        <v>110</v>
      </c>
      <c r="D376" s="87"/>
      <c r="E376" s="87"/>
      <c r="F376" s="87"/>
      <c r="G376" s="87"/>
      <c r="H376" s="207"/>
      <c r="I376" s="207"/>
      <c r="J376" s="206">
        <v>0</v>
      </c>
      <c r="K376" s="204">
        <f t="shared" ref="K376:P377" si="237">K369*K$374</f>
        <v>1713694.6955539137</v>
      </c>
      <c r="L376" s="204">
        <f t="shared" si="237"/>
        <v>3239854.6708803736</v>
      </c>
      <c r="M376" s="204">
        <f t="shared" si="237"/>
        <v>14866106.662625754</v>
      </c>
      <c r="N376" s="204">
        <f t="shared" si="237"/>
        <v>14590007.793185757</v>
      </c>
      <c r="O376" s="204">
        <f t="shared" si="237"/>
        <v>16852484.231306382</v>
      </c>
      <c r="P376" s="204">
        <f t="shared" si="237"/>
        <v>18087882.945912462</v>
      </c>
      <c r="Q376" s="204">
        <f>Q369*Q$374</f>
        <v>19042021.956137732</v>
      </c>
      <c r="R376" s="204">
        <f>R369*R$374</f>
        <v>19984074.908509396</v>
      </c>
      <c r="S376" s="204">
        <f>S369*S$374</f>
        <v>21242492.519723549</v>
      </c>
      <c r="T376" s="2"/>
      <c r="U376" s="2"/>
    </row>
    <row r="377" spans="2:21" s="86" customFormat="1" ht="15" customHeight="1" outlineLevel="1">
      <c r="B377" s="135" t="s">
        <v>109</v>
      </c>
      <c r="D377" s="87"/>
      <c r="E377" s="87"/>
      <c r="F377" s="87"/>
      <c r="G377" s="87"/>
      <c r="H377" s="207"/>
      <c r="I377" s="207"/>
      <c r="J377" s="212">
        <v>0</v>
      </c>
      <c r="K377" s="211">
        <f t="shared" si="237"/>
        <v>0</v>
      </c>
      <c r="L377" s="211">
        <f t="shared" si="237"/>
        <v>0</v>
      </c>
      <c r="M377" s="211">
        <f t="shared" si="237"/>
        <v>0</v>
      </c>
      <c r="N377" s="211">
        <f t="shared" si="237"/>
        <v>0</v>
      </c>
      <c r="O377" s="211">
        <f t="shared" si="237"/>
        <v>0</v>
      </c>
      <c r="P377" s="211">
        <f t="shared" si="237"/>
        <v>0</v>
      </c>
      <c r="Q377" s="211">
        <f t="shared" ref="Q377" si="238">Q370*Q$374</f>
        <v>0</v>
      </c>
      <c r="R377" s="211">
        <f>R370*R$374</f>
        <v>0</v>
      </c>
      <c r="S377" s="211">
        <f>S370*S$374</f>
        <v>357508749.74953401</v>
      </c>
      <c r="T377" s="2"/>
      <c r="U377" s="2"/>
    </row>
    <row r="378" spans="2:21" s="86" customFormat="1" ht="15" customHeight="1" outlineLevel="1">
      <c r="B378" s="135" t="s">
        <v>108</v>
      </c>
      <c r="D378" s="87"/>
      <c r="E378" s="87"/>
      <c r="F378" s="87"/>
      <c r="G378" s="87"/>
      <c r="H378" s="207"/>
      <c r="I378" s="207"/>
      <c r="J378" s="204">
        <f t="shared" ref="J378:P378" si="239">SUM(J376:J377)</f>
        <v>0</v>
      </c>
      <c r="K378" s="204">
        <f t="shared" si="239"/>
        <v>1713694.6955539137</v>
      </c>
      <c r="L378" s="204">
        <f t="shared" si="239"/>
        <v>3239854.6708803736</v>
      </c>
      <c r="M378" s="204">
        <f t="shared" si="239"/>
        <v>14866106.662625754</v>
      </c>
      <c r="N378" s="204">
        <f t="shared" si="239"/>
        <v>14590007.793185757</v>
      </c>
      <c r="O378" s="204">
        <f t="shared" si="239"/>
        <v>16852484.231306382</v>
      </c>
      <c r="P378" s="204">
        <f t="shared" si="239"/>
        <v>18087882.945912462</v>
      </c>
      <c r="Q378" s="204">
        <f t="shared" ref="Q378:R378" si="240">SUM(Q376:Q377)</f>
        <v>19042021.956137732</v>
      </c>
      <c r="R378" s="204">
        <f t="shared" si="240"/>
        <v>19984074.908509396</v>
      </c>
      <c r="S378" s="204">
        <f t="shared" ref="S378" si="241">SUM(S376:S377)</f>
        <v>378751242.26925755</v>
      </c>
      <c r="T378" s="2"/>
      <c r="U378" s="2"/>
    </row>
    <row r="379" spans="2:21" s="86" customFormat="1" ht="15" customHeight="1" outlineLevel="1">
      <c r="B379" s="196"/>
      <c r="D379" s="87"/>
      <c r="E379" s="87"/>
      <c r="F379" s="87"/>
      <c r="G379" s="87"/>
      <c r="H379" s="207"/>
      <c r="I379" s="207"/>
      <c r="J379" s="206"/>
      <c r="K379" s="205"/>
      <c r="L379" s="205"/>
      <c r="M379" s="205"/>
      <c r="N379" s="205"/>
      <c r="O379" s="205"/>
      <c r="P379" s="205"/>
      <c r="Q379" s="205"/>
      <c r="T379" s="2"/>
      <c r="U379" s="2"/>
    </row>
    <row r="380" spans="2:21" s="86" customFormat="1" ht="15" customHeight="1" outlineLevel="1">
      <c r="B380" s="191" t="s">
        <v>112</v>
      </c>
      <c r="D380" s="87"/>
      <c r="E380" s="87"/>
      <c r="F380" s="87"/>
      <c r="G380" s="87"/>
      <c r="H380" s="207"/>
      <c r="I380" s="207"/>
      <c r="J380" s="206"/>
      <c r="K380" s="205"/>
      <c r="L380" s="205"/>
      <c r="M380" s="205"/>
      <c r="N380" s="205"/>
      <c r="O380" s="205"/>
      <c r="P380" s="205"/>
      <c r="Q380" s="205"/>
      <c r="T380" s="2"/>
      <c r="U380" s="2"/>
    </row>
    <row r="381" spans="2:21" s="86" customFormat="1" ht="15" customHeight="1" outlineLevel="1">
      <c r="B381" s="196" t="s">
        <v>111</v>
      </c>
      <c r="D381" s="87"/>
      <c r="E381" s="87"/>
      <c r="F381" s="87"/>
      <c r="G381" s="87"/>
      <c r="H381" s="207"/>
      <c r="I381" s="207"/>
      <c r="J381" s="144">
        <v>0</v>
      </c>
      <c r="K381" s="142">
        <f>J381+YEARFRAC(J363,K363)</f>
        <v>8.3333333333333329E-2</v>
      </c>
      <c r="L381" s="142">
        <f t="shared" ref="L381:S381" si="242">K381+YEARFRAC(K363,L363)</f>
        <v>1.0833333333333333</v>
      </c>
      <c r="M381" s="142">
        <f t="shared" si="242"/>
        <v>2.083333333333333</v>
      </c>
      <c r="N381" s="142">
        <f t="shared" si="242"/>
        <v>3.083333333333333</v>
      </c>
      <c r="O381" s="142">
        <f t="shared" si="242"/>
        <v>4.083333333333333</v>
      </c>
      <c r="P381" s="142">
        <f t="shared" si="242"/>
        <v>5.083333333333333</v>
      </c>
      <c r="Q381" s="142">
        <f t="shared" si="242"/>
        <v>6.083333333333333</v>
      </c>
      <c r="R381" s="142">
        <f t="shared" si="242"/>
        <v>7.083333333333333</v>
      </c>
      <c r="S381" s="142">
        <f t="shared" si="242"/>
        <v>8.0833333333333321</v>
      </c>
      <c r="T381" s="2"/>
      <c r="U381" s="2"/>
    </row>
    <row r="382" spans="2:21" s="86" customFormat="1" ht="6" customHeight="1" outlineLevel="1">
      <c r="B382" s="196"/>
      <c r="D382" s="87"/>
      <c r="E382" s="87"/>
      <c r="F382" s="87"/>
      <c r="G382" s="87"/>
      <c r="H382" s="207"/>
      <c r="I382" s="207"/>
      <c r="J382" s="144"/>
      <c r="K382" s="142"/>
      <c r="L382" s="142"/>
      <c r="M382" s="142"/>
      <c r="N382" s="142"/>
      <c r="O382" s="142"/>
      <c r="P382" s="142"/>
      <c r="Q382" s="142"/>
      <c r="R382" s="142"/>
      <c r="S382" s="142"/>
      <c r="T382" s="2"/>
      <c r="U382" s="2"/>
    </row>
    <row r="383" spans="2:21" s="86" customFormat="1" ht="15" customHeight="1" outlineLevel="1">
      <c r="B383" s="135" t="s">
        <v>110</v>
      </c>
      <c r="D383" s="87"/>
      <c r="E383" s="87"/>
      <c r="F383" s="87"/>
      <c r="G383" s="87"/>
      <c r="H383" s="207"/>
      <c r="I383" s="207"/>
      <c r="J383" s="210">
        <v>0</v>
      </c>
      <c r="K383" s="81">
        <f>K376/(1+$C$363)^K$381</f>
        <v>1707625.4746796442</v>
      </c>
      <c r="L383" s="81">
        <f t="shared" ref="K383:P384" si="243">L376/(1+$C$363)^L$381</f>
        <v>3093818.0840251842</v>
      </c>
      <c r="M383" s="81">
        <f t="shared" si="243"/>
        <v>13604311.264001444</v>
      </c>
      <c r="N383" s="81">
        <f t="shared" si="243"/>
        <v>12795136.128580505</v>
      </c>
      <c r="O383" s="81">
        <f t="shared" si="243"/>
        <v>14163265.218524264</v>
      </c>
      <c r="P383" s="81">
        <f t="shared" si="243"/>
        <v>14567910.631364224</v>
      </c>
      <c r="Q383" s="81">
        <f t="shared" ref="Q383:R383" si="244">Q376/(1+$C$363)^Q$381</f>
        <v>14697134.300155852</v>
      </c>
      <c r="R383" s="81">
        <f t="shared" si="244"/>
        <v>14781337.098764228</v>
      </c>
      <c r="S383" s="81">
        <f t="shared" ref="S383" si="245">S376/(1+$C$363)^S$381</f>
        <v>15057234.633362541</v>
      </c>
      <c r="T383" s="2"/>
      <c r="U383" s="2"/>
    </row>
    <row r="384" spans="2:21" s="86" customFormat="1" ht="15" customHeight="1" outlineLevel="1">
      <c r="B384" s="135" t="s">
        <v>109</v>
      </c>
      <c r="D384" s="87"/>
      <c r="E384" s="87"/>
      <c r="F384" s="87"/>
      <c r="G384" s="87"/>
      <c r="H384" s="207"/>
      <c r="I384" s="207"/>
      <c r="J384" s="209">
        <v>0</v>
      </c>
      <c r="K384" s="208">
        <f t="shared" si="243"/>
        <v>0</v>
      </c>
      <c r="L384" s="208">
        <f t="shared" si="243"/>
        <v>0</v>
      </c>
      <c r="M384" s="208">
        <f t="shared" si="243"/>
        <v>0</v>
      </c>
      <c r="N384" s="208">
        <f t="shared" si="243"/>
        <v>0</v>
      </c>
      <c r="O384" s="208">
        <f t="shared" si="243"/>
        <v>0</v>
      </c>
      <c r="P384" s="208">
        <f>P377/(1+$C$363)^P$381</f>
        <v>0</v>
      </c>
      <c r="Q384" s="208">
        <f>Q377/(1+$C$363)^Q$381</f>
        <v>0</v>
      </c>
      <c r="R384" s="208">
        <f>R377/(1+$C$363)^R$381</f>
        <v>0</v>
      </c>
      <c r="S384" s="208">
        <f>S377/(1+$C$363)^S$381</f>
        <v>253411558.15216362</v>
      </c>
      <c r="T384" s="2"/>
      <c r="U384" s="2"/>
    </row>
    <row r="385" spans="2:21" s="86" customFormat="1" ht="15" customHeight="1" outlineLevel="1">
      <c r="B385" s="135" t="s">
        <v>108</v>
      </c>
      <c r="D385" s="87"/>
      <c r="E385" s="87"/>
      <c r="F385" s="87"/>
      <c r="G385" s="87"/>
      <c r="H385" s="207"/>
      <c r="I385" s="207"/>
      <c r="J385" s="204">
        <f t="shared" ref="J385:P385" si="246">SUM(J383:J384)</f>
        <v>0</v>
      </c>
      <c r="K385" s="204">
        <f t="shared" si="246"/>
        <v>1707625.4746796442</v>
      </c>
      <c r="L385" s="204">
        <f t="shared" si="246"/>
        <v>3093818.0840251842</v>
      </c>
      <c r="M385" s="204">
        <f t="shared" si="246"/>
        <v>13604311.264001444</v>
      </c>
      <c r="N385" s="204">
        <f t="shared" si="246"/>
        <v>12795136.128580505</v>
      </c>
      <c r="O385" s="204">
        <f t="shared" si="246"/>
        <v>14163265.218524264</v>
      </c>
      <c r="P385" s="204">
        <f t="shared" si="246"/>
        <v>14567910.631364224</v>
      </c>
      <c r="Q385" s="204">
        <f t="shared" ref="Q385:R385" si="247">SUM(Q383:Q384)</f>
        <v>14697134.300155852</v>
      </c>
      <c r="R385" s="204">
        <f t="shared" si="247"/>
        <v>14781337.098764228</v>
      </c>
      <c r="S385" s="204">
        <f t="shared" ref="S385" si="248">SUM(S383:S384)</f>
        <v>268468792.78552616</v>
      </c>
      <c r="T385" s="2"/>
      <c r="U385" s="2"/>
    </row>
    <row r="386" spans="2:21" s="86" customFormat="1" ht="15" customHeight="1" outlineLevel="1">
      <c r="B386" s="135"/>
      <c r="D386" s="87"/>
      <c r="E386" s="87"/>
      <c r="F386" s="87"/>
      <c r="G386" s="87"/>
      <c r="H386" s="207"/>
      <c r="I386" s="207"/>
      <c r="J386" s="206"/>
      <c r="K386" s="205"/>
      <c r="L386" s="205"/>
      <c r="M386" s="205"/>
      <c r="N386" s="205"/>
      <c r="O386" s="205"/>
      <c r="P386" s="205"/>
      <c r="Q386" s="197"/>
      <c r="T386" s="2"/>
      <c r="U386" s="2"/>
    </row>
    <row r="387" spans="2:21" s="86" customFormat="1" ht="15" customHeight="1" outlineLevel="1">
      <c r="B387" s="196"/>
      <c r="D387" s="195"/>
      <c r="E387" s="195"/>
      <c r="F387" s="195"/>
      <c r="G387" s="195"/>
      <c r="H387" s="141"/>
      <c r="I387" s="141"/>
      <c r="J387" s="204"/>
      <c r="K387" s="204"/>
      <c r="L387" s="204"/>
      <c r="M387" s="204"/>
      <c r="N387" s="204"/>
      <c r="O387" s="204"/>
      <c r="P387" s="204"/>
      <c r="Q387" s="197"/>
      <c r="T387" s="2"/>
      <c r="U387" s="2"/>
    </row>
    <row r="388" spans="2:21" s="86" customFormat="1" ht="15" customHeight="1" outlineLevel="1">
      <c r="B388" s="191"/>
      <c r="D388" s="87"/>
      <c r="E388" s="87"/>
      <c r="F388" s="87"/>
      <c r="G388" s="87"/>
      <c r="H388" s="191" t="s">
        <v>107</v>
      </c>
      <c r="I388" s="82"/>
      <c r="J388" s="203"/>
      <c r="K388" s="141"/>
      <c r="L388" s="69" t="s">
        <v>107</v>
      </c>
      <c r="M388" s="202"/>
      <c r="N388" s="5"/>
      <c r="O388" s="5"/>
      <c r="P388" s="141"/>
      <c r="Q388" s="197"/>
      <c r="T388" s="2"/>
      <c r="U388" s="2"/>
    </row>
    <row r="389" spans="2:21" s="86" customFormat="1" ht="15" customHeight="1" outlineLevel="1">
      <c r="B389" s="196"/>
      <c r="D389" s="87"/>
      <c r="E389" s="87"/>
      <c r="F389" s="87"/>
      <c r="G389" s="87"/>
      <c r="H389" s="190" t="s">
        <v>106</v>
      </c>
      <c r="I389" s="201"/>
      <c r="J389" s="188">
        <f>SUM(K385:S385)</f>
        <v>357879330.98562151</v>
      </c>
      <c r="K389" s="81"/>
      <c r="L389" s="200" t="s">
        <v>105</v>
      </c>
      <c r="M389" s="199"/>
      <c r="N389" s="198">
        <f>O389/$O$391</f>
        <v>0.2919078130210741</v>
      </c>
      <c r="O389" s="188">
        <f>SUM(K383:S383)</f>
        <v>104467772.83345789</v>
      </c>
      <c r="P389" s="81"/>
      <c r="Q389" s="197"/>
      <c r="T389" s="2"/>
      <c r="U389" s="2"/>
    </row>
    <row r="390" spans="2:21" ht="15" customHeight="1" outlineLevel="1">
      <c r="B390" s="196"/>
      <c r="D390" s="195"/>
      <c r="E390" s="195"/>
      <c r="F390" s="195"/>
      <c r="G390" s="195"/>
      <c r="H390" s="182" t="s">
        <v>104</v>
      </c>
      <c r="I390" s="3"/>
      <c r="J390" s="183">
        <f>XNPV(C363,J378:S378,J363:S363)</f>
        <v>357782357.88694185</v>
      </c>
      <c r="K390" s="81"/>
      <c r="L390" s="187" t="s">
        <v>103</v>
      </c>
      <c r="M390" s="5"/>
      <c r="N390" s="192">
        <f>O390/$O$391</f>
        <v>0.70809218697892595</v>
      </c>
      <c r="O390" s="183">
        <f>SUM(K384:S384)</f>
        <v>253411558.15216362</v>
      </c>
      <c r="P390" s="81"/>
    </row>
    <row r="391" spans="2:21" ht="15" customHeight="1" outlineLevel="1">
      <c r="L391" s="194" t="s">
        <v>100</v>
      </c>
      <c r="M391" s="193"/>
      <c r="N391" s="192">
        <f>O391/$O$391</f>
        <v>1</v>
      </c>
      <c r="O391" s="183">
        <f>SUM(O389:O390)</f>
        <v>357879330.98562151</v>
      </c>
    </row>
    <row r="392" spans="2:21" ht="15" customHeight="1" outlineLevel="1"/>
    <row r="393" spans="2:21" ht="15" customHeight="1" outlineLevel="1"/>
    <row r="394" spans="2:21" ht="15" customHeight="1" outlineLevel="1">
      <c r="H394" s="191" t="s">
        <v>102</v>
      </c>
      <c r="I394" s="141"/>
      <c r="L394" s="191" t="s">
        <v>101</v>
      </c>
      <c r="M394" s="141"/>
    </row>
    <row r="395" spans="2:21" ht="15" customHeight="1" outlineLevel="1">
      <c r="H395" s="190" t="s">
        <v>100</v>
      </c>
      <c r="I395" s="189"/>
      <c r="J395" s="188">
        <f>J390</f>
        <v>357782357.88694185</v>
      </c>
      <c r="L395" s="190" t="s">
        <v>8</v>
      </c>
      <c r="M395" s="189"/>
      <c r="N395" s="189"/>
      <c r="O395" s="188">
        <f>J397</f>
        <v>352542357.88694185</v>
      </c>
    </row>
    <row r="396" spans="2:21" ht="15" customHeight="1" outlineLevel="1">
      <c r="H396" s="187" t="s">
        <v>99</v>
      </c>
      <c r="J396" s="184">
        <f>-Inputs!$L$94</f>
        <v>-5240000</v>
      </c>
      <c r="L396" s="186" t="s">
        <v>14</v>
      </c>
      <c r="N396" s="185" t="s">
        <v>13</v>
      </c>
      <c r="O396" s="184">
        <f>Inputs!$F$105</f>
        <v>12888732.761</v>
      </c>
    </row>
    <row r="397" spans="2:21" ht="15" customHeight="1" outlineLevel="1">
      <c r="H397" s="182" t="s">
        <v>8</v>
      </c>
      <c r="I397" s="3"/>
      <c r="J397" s="183">
        <f>SUM(J395:J396)</f>
        <v>352542357.88694185</v>
      </c>
      <c r="L397" s="182" t="s">
        <v>8</v>
      </c>
      <c r="M397" s="3"/>
      <c r="N397" s="181" t="s">
        <v>98</v>
      </c>
      <c r="O397" s="180">
        <f>O395/O396</f>
        <v>27.352755652883062</v>
      </c>
    </row>
    <row r="398" spans="2:21" ht="15" customHeight="1" outlineLevel="1">
      <c r="C398" s="141"/>
    </row>
    <row r="399" spans="2:21" ht="15" customHeight="1" outlineLevel="1">
      <c r="B399" s="86"/>
      <c r="C399" s="93"/>
      <c r="D399" s="87"/>
      <c r="E399" s="87"/>
      <c r="F399" s="87"/>
      <c r="G399" s="87"/>
      <c r="H399" s="87"/>
      <c r="I399" s="87"/>
      <c r="J399" s="87"/>
      <c r="K399" s="89"/>
      <c r="L399" s="89"/>
      <c r="M399" s="89"/>
      <c r="N399" s="89"/>
      <c r="O399" s="6" t="s">
        <v>97</v>
      </c>
      <c r="P399" s="86"/>
      <c r="Q399" s="53"/>
    </row>
    <row r="400" spans="2:21" ht="15" customHeight="1" outlineLevel="1">
      <c r="B400" s="86"/>
      <c r="C400" s="93"/>
      <c r="D400" s="87"/>
      <c r="E400" s="87"/>
      <c r="F400" s="87"/>
      <c r="G400" s="87"/>
      <c r="H400" s="87"/>
      <c r="I400" s="87"/>
      <c r="J400" s="87"/>
      <c r="K400" s="89"/>
      <c r="L400" s="89"/>
      <c r="M400" s="89"/>
      <c r="N400" s="89"/>
      <c r="O400" s="179" t="s">
        <v>96</v>
      </c>
      <c r="P400" s="86"/>
      <c r="Q400" s="53"/>
    </row>
    <row r="401" spans="2:21" s="86" customFormat="1" ht="15" customHeight="1" outlineLevel="1">
      <c r="C401" s="93"/>
      <c r="D401" s="87"/>
      <c r="E401" s="87"/>
      <c r="F401" s="87"/>
      <c r="G401" s="87"/>
      <c r="H401" s="87"/>
      <c r="I401" s="87"/>
      <c r="J401" s="87"/>
      <c r="K401" s="89"/>
      <c r="L401" s="89"/>
      <c r="M401" s="89"/>
      <c r="N401" s="89"/>
      <c r="Q401" s="53"/>
      <c r="T401" s="2"/>
      <c r="U401" s="2"/>
    </row>
    <row r="402" spans="2:21" s="86" customFormat="1" ht="15" customHeight="1" outlineLevel="1">
      <c r="B402" s="178"/>
      <c r="C402" s="137"/>
      <c r="D402" s="177"/>
      <c r="E402" s="177"/>
      <c r="F402" s="177"/>
      <c r="G402" s="177"/>
      <c r="H402" s="177"/>
      <c r="I402" s="177"/>
      <c r="J402" s="177"/>
      <c r="K402" s="176"/>
      <c r="L402" s="176"/>
      <c r="M402" s="176"/>
      <c r="N402" s="176"/>
      <c r="O402" s="176"/>
      <c r="P402" s="176" t="s">
        <v>0</v>
      </c>
      <c r="T402" s="2"/>
      <c r="U402" s="2"/>
    </row>
  </sheetData>
  <conditionalFormatting sqref="D195:F195">
    <cfRule type="expression" dxfId="8" priority="3">
      <formula>$D$195=1</formula>
    </cfRule>
  </conditionalFormatting>
  <conditionalFormatting sqref="D237:F237">
    <cfRule type="expression" dxfId="7" priority="2">
      <formula>$D$237=1</formula>
    </cfRule>
  </conditionalFormatting>
  <conditionalFormatting sqref="K302:P302">
    <cfRule type="expression" dxfId="6" priority="1">
      <formula>K302=1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88" orientation="landscape" r:id="rId1"/>
  <headerFooter>
    <oddFooter>&amp;L&amp;"Open Sans,Bold"&amp;10&amp;K002060DCF Valuation Modeling&amp;C&amp;"Open Sans,Bold"&amp;10&amp;K002060Page &amp;P of &amp;N&amp;R&amp;G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AC554-810F-4524-9A5A-984F27A6D6DA}">
  <sheetPr codeName="Sheet4"/>
  <dimension ref="A1:V32"/>
  <sheetViews>
    <sheetView showGridLines="0" zoomScale="72" zoomScaleNormal="100" workbookViewId="0">
      <pane ySplit="1" topLeftCell="A2" activePane="bottomLeft" state="frozen"/>
      <selection pane="bottomLeft" activeCell="J17" sqref="J17:O20"/>
    </sheetView>
  </sheetViews>
  <sheetFormatPr defaultColWidth="9.109375" defaultRowHeight="13.8"/>
  <cols>
    <col min="1" max="1" width="9.109375" style="457"/>
    <col min="2" max="2" width="26.77734375" style="457" customWidth="1"/>
    <col min="3" max="3" width="15.44140625" style="457" bestFit="1" customWidth="1"/>
    <col min="4" max="4" width="12" style="457" customWidth="1"/>
    <col min="5" max="5" width="10.6640625" style="457" customWidth="1"/>
    <col min="6" max="6" width="3.6640625" style="457" customWidth="1"/>
    <col min="7" max="7" width="9.6640625" style="457" bestFit="1" customWidth="1"/>
    <col min="8" max="8" width="12.33203125" style="457" bestFit="1" customWidth="1"/>
    <col min="9" max="9" width="9.109375" style="457"/>
    <col min="10" max="10" width="10" style="457" customWidth="1"/>
    <col min="11" max="11" width="2" style="457" customWidth="1"/>
    <col min="12" max="12" width="13.44140625" style="457" customWidth="1"/>
    <col min="13" max="13" width="16.77734375" style="457" bestFit="1" customWidth="1"/>
    <col min="14" max="14" width="10.44140625" style="457" customWidth="1"/>
    <col min="15" max="15" width="10.109375" style="457" customWidth="1"/>
    <col min="16" max="16" width="15" style="457" customWidth="1"/>
    <col min="17" max="17" width="16.77734375" style="457" bestFit="1" customWidth="1"/>
    <col min="18" max="16384" width="9.109375" style="457"/>
  </cols>
  <sheetData>
    <row r="1" spans="1:22" customFormat="1" ht="55.05" customHeight="1"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  <c r="O1" s="477"/>
      <c r="P1" s="477"/>
    </row>
    <row r="2" spans="1:22" customFormat="1" ht="14.4"/>
    <row r="3" spans="1:22" ht="21">
      <c r="A3"/>
      <c r="B3" s="485" t="s">
        <v>356</v>
      </c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  <c r="N3" s="471"/>
      <c r="O3" s="471"/>
      <c r="P3" s="471"/>
      <c r="Q3" s="470"/>
    </row>
    <row r="5" spans="1:22" ht="21" customHeight="1">
      <c r="B5" s="469"/>
      <c r="C5" s="467" t="s">
        <v>355</v>
      </c>
      <c r="D5" s="468"/>
      <c r="E5" s="468"/>
      <c r="F5" s="469"/>
      <c r="G5" s="467" t="s">
        <v>354</v>
      </c>
      <c r="H5" s="468"/>
      <c r="I5" s="468"/>
      <c r="J5" s="467"/>
      <c r="K5" s="469"/>
      <c r="L5" s="467" t="s">
        <v>43</v>
      </c>
      <c r="M5" s="468"/>
      <c r="N5" s="468"/>
      <c r="O5" s="467"/>
      <c r="P5" s="466"/>
    </row>
    <row r="6" spans="1:22" ht="16.5" customHeight="1">
      <c r="B6" s="464"/>
      <c r="C6" s="463" t="s">
        <v>254</v>
      </c>
      <c r="D6" s="463" t="s">
        <v>353</v>
      </c>
      <c r="E6" s="463" t="s">
        <v>352</v>
      </c>
      <c r="F6" s="463"/>
      <c r="G6" s="463" t="s">
        <v>351</v>
      </c>
      <c r="H6" s="463" t="s">
        <v>119</v>
      </c>
      <c r="I6" s="463" t="s">
        <v>142</v>
      </c>
      <c r="J6" s="463" t="s">
        <v>350</v>
      </c>
      <c r="K6" s="462"/>
      <c r="L6" s="463" t="s">
        <v>349</v>
      </c>
      <c r="M6" s="463" t="s">
        <v>251</v>
      </c>
      <c r="N6" s="463" t="s">
        <v>252</v>
      </c>
      <c r="O6" s="463" t="s">
        <v>348</v>
      </c>
      <c r="P6" s="465"/>
      <c r="S6" s="463" t="s">
        <v>349</v>
      </c>
      <c r="T6" s="463" t="s">
        <v>251</v>
      </c>
      <c r="U6" s="463" t="s">
        <v>252</v>
      </c>
      <c r="V6" s="463" t="s">
        <v>348</v>
      </c>
    </row>
    <row r="7" spans="1:22" ht="14.25" customHeight="1">
      <c r="B7" s="464" t="s">
        <v>347</v>
      </c>
      <c r="C7" s="461" t="s">
        <v>346</v>
      </c>
      <c r="D7" s="461" t="s">
        <v>345</v>
      </c>
      <c r="E7" s="461" t="s">
        <v>345</v>
      </c>
      <c r="F7" s="463"/>
      <c r="G7" s="461" t="s">
        <v>345</v>
      </c>
      <c r="H7" s="461" t="s">
        <v>345</v>
      </c>
      <c r="I7" s="461" t="s">
        <v>345</v>
      </c>
      <c r="J7" s="461" t="s">
        <v>345</v>
      </c>
      <c r="K7" s="462"/>
      <c r="L7" s="461" t="s">
        <v>344</v>
      </c>
      <c r="M7" s="461" t="s">
        <v>344</v>
      </c>
      <c r="N7" s="461" t="s">
        <v>344</v>
      </c>
      <c r="O7" s="461" t="s">
        <v>344</v>
      </c>
      <c r="P7" s="460"/>
      <c r="S7" s="461" t="s">
        <v>344</v>
      </c>
      <c r="T7" s="461" t="s">
        <v>344</v>
      </c>
      <c r="U7" s="461" t="s">
        <v>344</v>
      </c>
      <c r="V7" s="461" t="s">
        <v>344</v>
      </c>
    </row>
    <row r="8" spans="1:22" ht="21" customHeight="1">
      <c r="B8" s="458" t="s">
        <v>343</v>
      </c>
      <c r="C8" s="483">
        <v>11.61</v>
      </c>
      <c r="D8" s="484">
        <v>74750</v>
      </c>
      <c r="E8" s="484">
        <v>136820</v>
      </c>
      <c r="F8" s="484"/>
      <c r="G8" s="484">
        <v>85530</v>
      </c>
      <c r="H8" s="484">
        <v>33190</v>
      </c>
      <c r="I8" s="484">
        <v>24160</v>
      </c>
      <c r="J8" s="484">
        <v>12990</v>
      </c>
      <c r="K8" s="458"/>
      <c r="L8" s="459">
        <f>E8/G8</f>
        <v>1.5996726294867298</v>
      </c>
      <c r="M8" s="459">
        <f>E8/H8</f>
        <v>4.1223260018077736</v>
      </c>
      <c r="N8" s="459">
        <f>E8/I8</f>
        <v>5.6630794701986753</v>
      </c>
      <c r="O8" s="459">
        <f>D8/J8</f>
        <v>5.7544264819091611</v>
      </c>
      <c r="Q8" s="469" t="s">
        <v>343</v>
      </c>
      <c r="S8" s="459">
        <v>1.5996726294867298</v>
      </c>
      <c r="T8" s="459">
        <v>4.1223260018077736</v>
      </c>
      <c r="U8" s="459">
        <v>5.6630794701986753</v>
      </c>
      <c r="V8" s="459">
        <v>5.7544264819091611</v>
      </c>
    </row>
    <row r="9" spans="1:22" ht="21" customHeight="1">
      <c r="B9" s="458" t="s">
        <v>342</v>
      </c>
      <c r="C9" s="483">
        <v>74.209999999999994</v>
      </c>
      <c r="D9" s="484">
        <v>218930</v>
      </c>
      <c r="E9" s="484">
        <v>257930</v>
      </c>
      <c r="F9" s="484"/>
      <c r="G9" s="484">
        <v>272010</v>
      </c>
      <c r="H9" s="484">
        <v>48290</v>
      </c>
      <c r="I9" s="484">
        <v>28930</v>
      </c>
      <c r="J9" s="484">
        <v>13600</v>
      </c>
      <c r="K9" s="458"/>
      <c r="L9" s="459">
        <f>E9/G9</f>
        <v>0.94823719716186905</v>
      </c>
      <c r="M9" s="459">
        <f>E9/H9</f>
        <v>5.3412714847794573</v>
      </c>
      <c r="N9" s="459">
        <f>E9/I9</f>
        <v>8.9156584860006909</v>
      </c>
      <c r="O9" s="459">
        <f>D9/J9</f>
        <v>16.097794117647059</v>
      </c>
      <c r="Q9" s="469" t="s">
        <v>342</v>
      </c>
      <c r="S9" s="459">
        <v>0.94823719716186905</v>
      </c>
      <c r="T9" s="459">
        <v>5.3412714847794573</v>
      </c>
      <c r="U9" s="459">
        <v>8.9156584860006909</v>
      </c>
      <c r="V9" s="459">
        <v>16.097794117647059</v>
      </c>
    </row>
    <row r="10" spans="1:22" ht="21" customHeight="1">
      <c r="B10" s="458" t="s">
        <v>341</v>
      </c>
      <c r="C10" s="483">
        <v>59.83</v>
      </c>
      <c r="D10" s="484">
        <v>143450</v>
      </c>
      <c r="E10" s="484">
        <v>166280</v>
      </c>
      <c r="F10" s="484"/>
      <c r="G10" s="484">
        <v>187120</v>
      </c>
      <c r="H10" s="484">
        <v>37380</v>
      </c>
      <c r="I10" s="484">
        <v>23940</v>
      </c>
      <c r="J10" s="484">
        <v>12790</v>
      </c>
      <c r="K10" s="458"/>
      <c r="L10" s="459">
        <f t="shared" ref="L10" si="0">E10/G10</f>
        <v>0.88862761864044459</v>
      </c>
      <c r="M10" s="459">
        <f t="shared" ref="M10" si="1">E10/H10</f>
        <v>4.4483681112894597</v>
      </c>
      <c r="N10" s="459">
        <f t="shared" ref="N10" si="2">E10/I10</f>
        <v>6.9456975772765244</v>
      </c>
      <c r="O10" s="459">
        <f t="shared" ref="O10" si="3">D10/J10</f>
        <v>11.215793588741205</v>
      </c>
      <c r="Q10" s="469" t="s">
        <v>341</v>
      </c>
      <c r="S10" s="459">
        <v>0.88862761864044459</v>
      </c>
      <c r="T10" s="459">
        <v>4.4483681112894597</v>
      </c>
      <c r="U10" s="459">
        <v>6.9456975772765244</v>
      </c>
      <c r="V10" s="459">
        <v>11.215793588741205</v>
      </c>
    </row>
    <row r="11" spans="1:22" ht="21" customHeight="1">
      <c r="B11" s="458" t="s">
        <v>339</v>
      </c>
      <c r="C11" s="483">
        <v>25.37</v>
      </c>
      <c r="D11" s="484">
        <v>74710</v>
      </c>
      <c r="E11" s="484">
        <v>73110</v>
      </c>
      <c r="F11" s="484"/>
      <c r="G11" s="484">
        <v>106470</v>
      </c>
      <c r="H11" s="484">
        <v>37610</v>
      </c>
      <c r="I11" s="484">
        <v>29650</v>
      </c>
      <c r="J11" s="484">
        <v>8220</v>
      </c>
      <c r="K11" s="458"/>
      <c r="L11" s="459">
        <f>E11/G11</f>
        <v>0.68667230205691743</v>
      </c>
      <c r="M11" s="459">
        <f>E11/H11</f>
        <v>1.9438978994948153</v>
      </c>
      <c r="N11" s="459">
        <f>E11/I11</f>
        <v>2.4657672849915682</v>
      </c>
      <c r="O11" s="459">
        <f>D11/J11</f>
        <v>9.0888077858880774</v>
      </c>
      <c r="Q11" s="469" t="s">
        <v>339</v>
      </c>
      <c r="S11" s="459">
        <v>0.68667230205691743</v>
      </c>
      <c r="T11" s="459">
        <v>1.9438978994948153</v>
      </c>
      <c r="U11" s="459">
        <v>2.4657672849915682</v>
      </c>
      <c r="V11" s="459">
        <v>9.0888077858880774</v>
      </c>
    </row>
    <row r="12" spans="1:22" ht="21" customHeight="1">
      <c r="B12" s="458" t="s">
        <v>338</v>
      </c>
      <c r="C12" s="483">
        <v>32.450000000000003</v>
      </c>
      <c r="D12" s="484">
        <v>67720</v>
      </c>
      <c r="E12" s="484">
        <v>77730</v>
      </c>
      <c r="F12" s="484" t="s">
        <v>846</v>
      </c>
      <c r="G12" s="484">
        <v>38000</v>
      </c>
      <c r="H12" s="484">
        <v>17670</v>
      </c>
      <c r="I12" s="484">
        <v>11060</v>
      </c>
      <c r="J12" s="484">
        <v>8320</v>
      </c>
      <c r="K12" s="458"/>
      <c r="L12" s="459">
        <f>E12/G12</f>
        <v>2.0455263157894739</v>
      </c>
      <c r="M12" s="459">
        <f>E12/H12</f>
        <v>4.3989813242784379</v>
      </c>
      <c r="N12" s="459">
        <f>E12/I12</f>
        <v>7.0280289330922239</v>
      </c>
      <c r="O12" s="459">
        <f>D12/J12</f>
        <v>8.1394230769230766</v>
      </c>
      <c r="Q12" s="469" t="s">
        <v>338</v>
      </c>
      <c r="S12" s="459">
        <v>2.0455263157894739</v>
      </c>
      <c r="T12" s="459">
        <v>4.3989813242784379</v>
      </c>
      <c r="U12" s="459">
        <v>7.0280289330922239</v>
      </c>
      <c r="V12" s="459">
        <v>8.1394230769230766</v>
      </c>
    </row>
    <row r="13" spans="1:22" ht="21" customHeight="1">
      <c r="B13" s="458" t="s">
        <v>337</v>
      </c>
      <c r="C13" s="483">
        <v>35.520000000000003</v>
      </c>
      <c r="D13" s="484">
        <v>59620</v>
      </c>
      <c r="E13" s="484">
        <v>74400</v>
      </c>
      <c r="F13" s="484"/>
      <c r="G13" s="484">
        <v>87030</v>
      </c>
      <c r="H13" s="484">
        <v>12710</v>
      </c>
      <c r="I13" s="484">
        <v>6640</v>
      </c>
      <c r="J13" s="484">
        <v>2270</v>
      </c>
      <c r="K13" s="458"/>
      <c r="L13" s="459">
        <f>E13/G13</f>
        <v>0.85487762840399861</v>
      </c>
      <c r="M13" s="459">
        <f>E13/H13</f>
        <v>5.8536585365853657</v>
      </c>
      <c r="N13" s="459">
        <f>E13/I13</f>
        <v>11.204819277108435</v>
      </c>
      <c r="O13" s="459">
        <f>D13/J13</f>
        <v>26.264317180616739</v>
      </c>
      <c r="Q13" s="469" t="s">
        <v>337</v>
      </c>
      <c r="S13" s="459">
        <v>0.85487762840399861</v>
      </c>
      <c r="T13" s="459">
        <v>5.8536585365853657</v>
      </c>
      <c r="U13" s="459">
        <v>11.204819277108435</v>
      </c>
      <c r="V13" s="459">
        <v>26.264317180616739</v>
      </c>
    </row>
    <row r="14" spans="1:22" ht="21" customHeight="1">
      <c r="B14" s="458" t="s">
        <v>336</v>
      </c>
      <c r="C14" s="483">
        <v>41.53</v>
      </c>
      <c r="D14" s="484">
        <v>50210</v>
      </c>
      <c r="E14" s="484">
        <v>58580</v>
      </c>
      <c r="F14" s="484"/>
      <c r="G14" s="484">
        <v>49730</v>
      </c>
      <c r="H14" s="484">
        <v>15400</v>
      </c>
      <c r="I14" s="484">
        <v>8180</v>
      </c>
      <c r="J14" s="484">
        <v>5660</v>
      </c>
      <c r="K14" s="458"/>
      <c r="L14" s="459">
        <f>E14/G14</f>
        <v>1.1779609893424492</v>
      </c>
      <c r="M14" s="459">
        <f>E14/H14</f>
        <v>3.8038961038961041</v>
      </c>
      <c r="N14" s="459">
        <f>E14/I14</f>
        <v>7.1613691931540346</v>
      </c>
      <c r="O14" s="459">
        <f>D14/J14</f>
        <v>8.871024734982333</v>
      </c>
      <c r="Q14" s="469" t="s">
        <v>336</v>
      </c>
      <c r="S14" s="459">
        <v>1.1779609893424492</v>
      </c>
      <c r="T14" s="459">
        <v>3.8038961038961041</v>
      </c>
      <c r="U14" s="459">
        <v>7.1613691931540346</v>
      </c>
      <c r="V14" s="459">
        <v>8.871024734982333</v>
      </c>
    </row>
    <row r="15" spans="1:22" ht="21" customHeight="1">
      <c r="B15" s="458" t="s">
        <v>340</v>
      </c>
      <c r="C15" s="483">
        <v>34.81</v>
      </c>
      <c r="D15" s="484">
        <v>87870</v>
      </c>
      <c r="E15" s="484">
        <v>127540</v>
      </c>
      <c r="F15" s="484"/>
      <c r="G15" s="484">
        <v>186540</v>
      </c>
      <c r="H15" s="484">
        <v>26430</v>
      </c>
      <c r="I15" s="484">
        <v>9110</v>
      </c>
      <c r="J15" s="484">
        <v>560</v>
      </c>
      <c r="K15" s="458"/>
      <c r="L15" s="459">
        <f>E15/G15</f>
        <v>0.68371394875093816</v>
      </c>
      <c r="M15" s="459">
        <f>E15/H15</f>
        <v>4.8255769958380625</v>
      </c>
      <c r="N15" s="459">
        <f>E15/I15</f>
        <v>14</v>
      </c>
      <c r="O15" s="459">
        <f>D15/J15</f>
        <v>156.91071428571428</v>
      </c>
      <c r="Q15" s="469" t="s">
        <v>340</v>
      </c>
      <c r="S15" s="459">
        <v>0.68371394875093816</v>
      </c>
      <c r="T15" s="459">
        <v>4.8255769958380625</v>
      </c>
      <c r="U15" s="459">
        <v>14</v>
      </c>
      <c r="V15" s="459">
        <v>156.91071428571428</v>
      </c>
    </row>
    <row r="16" spans="1:22" ht="16.5" customHeight="1">
      <c r="B16" s="458"/>
      <c r="C16" s="458"/>
      <c r="D16" s="458"/>
      <c r="E16" s="458"/>
      <c r="F16" s="458"/>
      <c r="G16" s="458"/>
      <c r="H16" s="458"/>
      <c r="I16" s="458"/>
      <c r="J16" s="458"/>
      <c r="K16" s="458"/>
      <c r="L16" s="458"/>
      <c r="M16" s="458"/>
      <c r="N16" s="458"/>
      <c r="O16" s="458"/>
    </row>
    <row r="17" spans="2:16" ht="21" customHeight="1">
      <c r="B17" s="664" t="s">
        <v>74</v>
      </c>
      <c r="C17" s="665"/>
      <c r="D17" s="665"/>
      <c r="E17" s="665"/>
      <c r="F17" s="665"/>
      <c r="G17" s="665"/>
      <c r="H17" s="665"/>
      <c r="I17" s="665"/>
      <c r="J17" s="664" t="s">
        <v>74</v>
      </c>
      <c r="K17" s="665"/>
      <c r="L17" s="666">
        <f>AVERAGE(L8:L14)</f>
        <v>1.1716535258402689</v>
      </c>
      <c r="M17" s="666">
        <f>AVERAGE(M8:M14)</f>
        <v>4.2731999231616307</v>
      </c>
      <c r="N17" s="666">
        <f>AVERAGE(N8:N14)</f>
        <v>7.0549171745460209</v>
      </c>
      <c r="O17" s="667">
        <f>AVERAGE(O8:O14)</f>
        <v>12.204512423815379</v>
      </c>
    </row>
    <row r="18" spans="2:16" ht="21" customHeight="1">
      <c r="B18" s="668" t="s">
        <v>73</v>
      </c>
      <c r="C18" s="662"/>
      <c r="D18" s="662"/>
      <c r="E18" s="662"/>
      <c r="F18" s="662"/>
      <c r="G18" s="662"/>
      <c r="H18" s="662"/>
      <c r="I18" s="662"/>
      <c r="J18" s="668" t="s">
        <v>73</v>
      </c>
      <c r="K18" s="662"/>
      <c r="L18" s="663">
        <f>MEDIAN(L8:L14)</f>
        <v>0.94823719716186905</v>
      </c>
      <c r="M18" s="663">
        <f>MEDIAN(M8:M14)</f>
        <v>4.3989813242784379</v>
      </c>
      <c r="N18" s="663">
        <f>MEDIAN(N8:N14)</f>
        <v>7.0280289330922239</v>
      </c>
      <c r="O18" s="669">
        <f>MEDIAN(O8:O14)</f>
        <v>9.0888077858880774</v>
      </c>
    </row>
    <row r="19" spans="2:16">
      <c r="B19" s="668" t="s">
        <v>368</v>
      </c>
      <c r="J19" s="668" t="s">
        <v>368</v>
      </c>
      <c r="L19" s="663">
        <f>MIN(L8:L14)</f>
        <v>0.68667230205691743</v>
      </c>
      <c r="M19" s="663">
        <f t="shared" ref="M19:O19" si="4">MIN(M8:M14)</f>
        <v>1.9438978994948153</v>
      </c>
      <c r="N19" s="663">
        <f>MIN(N8:N14)</f>
        <v>2.4657672849915682</v>
      </c>
      <c r="O19" s="669">
        <f t="shared" si="4"/>
        <v>5.7544264819091611</v>
      </c>
    </row>
    <row r="20" spans="2:16" ht="14.4">
      <c r="B20" s="673" t="s">
        <v>369</v>
      </c>
      <c r="C20" s="670"/>
      <c r="D20" s="670"/>
      <c r="E20" s="670"/>
      <c r="F20" s="670"/>
      <c r="G20" s="670"/>
      <c r="H20" s="670"/>
      <c r="I20" s="670"/>
      <c r="J20" s="673" t="s">
        <v>369</v>
      </c>
      <c r="K20" s="670"/>
      <c r="L20" s="671">
        <f t="shared" ref="L20:N20" si="5">MAX(L8:L14)</f>
        <v>2.0455263157894739</v>
      </c>
      <c r="M20" s="671">
        <f t="shared" si="5"/>
        <v>5.8536585365853657</v>
      </c>
      <c r="N20" s="671">
        <f t="shared" si="5"/>
        <v>11.204819277108435</v>
      </c>
      <c r="O20" s="672">
        <f>MAX(O8:O14)</f>
        <v>26.264317180616739</v>
      </c>
      <c r="P20"/>
    </row>
    <row r="22" spans="2:16">
      <c r="B22" s="457" t="s">
        <v>362</v>
      </c>
      <c r="C22" s="457">
        <f>Inputs!L94/1000</f>
        <v>5240</v>
      </c>
    </row>
    <row r="23" spans="2:16">
      <c r="B23" s="457" t="s">
        <v>363</v>
      </c>
      <c r="C23" s="457">
        <f>Inputs!F105/1000</f>
        <v>12888.732760999999</v>
      </c>
    </row>
    <row r="26" spans="2:16" ht="14.4" thickBot="1">
      <c r="C26" s="706" t="s">
        <v>364</v>
      </c>
      <c r="D26" s="706"/>
      <c r="E26" s="706"/>
      <c r="G26" s="706" t="s">
        <v>365</v>
      </c>
      <c r="H26" s="706"/>
      <c r="I26" s="706"/>
      <c r="J26" s="706"/>
      <c r="L26" s="706" t="s">
        <v>366</v>
      </c>
      <c r="M26" s="706"/>
      <c r="N26" s="706"/>
      <c r="O26" s="706"/>
    </row>
    <row r="27" spans="2:16" ht="14.4">
      <c r="B27" s="463" t="s">
        <v>349</v>
      </c>
      <c r="C27" s="709">
        <f>L18*G8</f>
        <v>81102.727473254665</v>
      </c>
      <c r="D27" s="709"/>
      <c r="E27" s="709"/>
      <c r="F27" s="475"/>
      <c r="G27" s="709">
        <f>C27-$C$22</f>
        <v>75862.727473254665</v>
      </c>
      <c r="H27" s="709"/>
      <c r="I27" s="709"/>
      <c r="J27" s="709"/>
      <c r="K27" s="475"/>
      <c r="L27" s="707">
        <f>G27/$C$23</f>
        <v>5.8859725684442461</v>
      </c>
      <c r="M27" s="707"/>
      <c r="N27" s="707"/>
      <c r="O27" s="707"/>
    </row>
    <row r="28" spans="2:16" ht="14.4">
      <c r="B28" s="463" t="s">
        <v>251</v>
      </c>
      <c r="C28" s="709">
        <f>M18*H8</f>
        <v>146002.19015280134</v>
      </c>
      <c r="D28" s="709"/>
      <c r="E28" s="709"/>
      <c r="F28" s="475"/>
      <c r="G28" s="709">
        <f>C28-$C$22</f>
        <v>140762.19015280134</v>
      </c>
      <c r="H28" s="709"/>
      <c r="I28" s="709"/>
      <c r="J28" s="709"/>
      <c r="K28" s="475"/>
      <c r="L28" s="708">
        <f t="shared" ref="L28:L30" si="6">G28/$C$23</f>
        <v>10.921336702606906</v>
      </c>
      <c r="M28" s="708"/>
      <c r="N28" s="708"/>
      <c r="O28" s="708"/>
    </row>
    <row r="29" spans="2:16" ht="14.4">
      <c r="B29" s="463" t="s">
        <v>252</v>
      </c>
      <c r="C29" s="709">
        <f>N18*I8</f>
        <v>169797.17902350813</v>
      </c>
      <c r="D29" s="709"/>
      <c r="E29" s="709"/>
      <c r="F29" s="475"/>
      <c r="G29" s="709">
        <f>C29-$C$22</f>
        <v>164557.17902350813</v>
      </c>
      <c r="H29" s="709"/>
      <c r="I29" s="709"/>
      <c r="J29" s="709"/>
      <c r="K29" s="475"/>
      <c r="L29" s="708">
        <f t="shared" si="6"/>
        <v>12.767521995757527</v>
      </c>
      <c r="M29" s="708"/>
      <c r="N29" s="708"/>
      <c r="O29" s="708"/>
    </row>
    <row r="30" spans="2:16" ht="14.4">
      <c r="B30" s="463" t="s">
        <v>348</v>
      </c>
      <c r="C30" s="709">
        <f>O18*J8</f>
        <v>118063.61313868612</v>
      </c>
      <c r="D30" s="709"/>
      <c r="E30" s="709"/>
      <c r="F30" s="475"/>
      <c r="G30" s="709">
        <f>C30-$C$22</f>
        <v>112823.61313868612</v>
      </c>
      <c r="H30" s="709"/>
      <c r="I30" s="709"/>
      <c r="J30" s="709"/>
      <c r="K30" s="475"/>
      <c r="L30" s="708">
        <f t="shared" si="6"/>
        <v>8.7536622281500751</v>
      </c>
      <c r="M30" s="708"/>
      <c r="N30" s="708"/>
      <c r="O30" s="708"/>
    </row>
    <row r="31" spans="2:16">
      <c r="B31" s="580" t="s">
        <v>74</v>
      </c>
      <c r="C31" s="486"/>
      <c r="D31" s="486"/>
      <c r="E31" s="486"/>
      <c r="F31" s="486"/>
      <c r="G31" s="486"/>
      <c r="H31" s="486"/>
      <c r="I31" s="486"/>
      <c r="J31" s="486"/>
      <c r="K31" s="486"/>
      <c r="L31" s="710">
        <f>AVERAGE(L27:O30)</f>
        <v>9.5821233737396891</v>
      </c>
      <c r="M31" s="710"/>
      <c r="N31" s="710"/>
      <c r="O31" s="710"/>
    </row>
    <row r="32" spans="2:16">
      <c r="L32" s="711"/>
      <c r="M32" s="711"/>
      <c r="N32" s="711"/>
      <c r="O32" s="711"/>
    </row>
  </sheetData>
  <mergeCells count="17">
    <mergeCell ref="L31:O31"/>
    <mergeCell ref="L32:O32"/>
    <mergeCell ref="G27:J27"/>
    <mergeCell ref="G28:J28"/>
    <mergeCell ref="G29:J29"/>
    <mergeCell ref="G30:J30"/>
    <mergeCell ref="C30:E30"/>
    <mergeCell ref="C26:E26"/>
    <mergeCell ref="G26:J26"/>
    <mergeCell ref="C27:E27"/>
    <mergeCell ref="C28:E28"/>
    <mergeCell ref="C29:E29"/>
    <mergeCell ref="L26:O26"/>
    <mergeCell ref="L27:O27"/>
    <mergeCell ref="L28:O28"/>
    <mergeCell ref="L29:O29"/>
    <mergeCell ref="L30:O30"/>
  </mergeCells>
  <printOptions horizontalCentered="1"/>
  <pageMargins left="0.3" right="0.3" top="0.3" bottom="0.3" header="0.3" footer="0.3"/>
  <pageSetup scale="8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90181-361F-4A40-A98A-89CE7CFBCCA6}">
  <sheetPr codeName="Sheet7"/>
  <dimension ref="A1:AS715"/>
  <sheetViews>
    <sheetView showGridLines="0" zoomScale="78" zoomScaleNormal="50" workbookViewId="0">
      <pane ySplit="1" topLeftCell="A2" activePane="bottomLeft" state="frozen"/>
      <selection activeCell="A2" sqref="A2"/>
      <selection pane="bottomLeft" activeCell="AK34" sqref="AK34"/>
    </sheetView>
  </sheetViews>
  <sheetFormatPr defaultColWidth="8" defaultRowHeight="15"/>
  <cols>
    <col min="1" max="1" width="25.77734375" style="442" bestFit="1" customWidth="1"/>
    <col min="2" max="7" width="8.109375" style="442" bestFit="1" customWidth="1"/>
    <col min="8" max="8" width="16.44140625" style="442" customWidth="1"/>
    <col min="9" max="16" width="8.109375" style="442" bestFit="1" customWidth="1"/>
    <col min="17" max="17" width="11.33203125" style="442" bestFit="1" customWidth="1"/>
    <col min="18" max="18" width="10.33203125" style="442" bestFit="1" customWidth="1"/>
    <col min="19" max="19" width="13.44140625" style="442" bestFit="1" customWidth="1"/>
    <col min="20" max="22" width="8" style="442"/>
    <col min="23" max="25" width="16" style="442" customWidth="1"/>
    <col min="26" max="28" width="8" style="442"/>
    <col min="29" max="29" width="8.109375" style="442" bestFit="1" customWidth="1"/>
    <col min="30" max="30" width="9.77734375" style="442" customWidth="1"/>
    <col min="31" max="31" width="11.33203125" style="442" customWidth="1"/>
    <col min="32" max="33" width="13.109375" style="442" bestFit="1" customWidth="1"/>
    <col min="34" max="36" width="8.109375" style="442" bestFit="1" customWidth="1"/>
    <col min="37" max="16384" width="8" style="442"/>
  </cols>
  <sheetData>
    <row r="1" spans="1:45" ht="55.05" customHeight="1">
      <c r="A1" s="477"/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477"/>
      <c r="AI1" s="477"/>
      <c r="AJ1" s="477"/>
      <c r="AK1" s="477"/>
      <c r="AL1" s="477"/>
      <c r="AM1" s="477"/>
      <c r="AN1" s="477"/>
      <c r="AO1" s="477"/>
      <c r="AP1" s="477"/>
      <c r="AQ1" s="477"/>
      <c r="AR1" s="477"/>
      <c r="AS1" s="477"/>
    </row>
    <row r="2" spans="1:45" ht="15.6">
      <c r="U2" s="477"/>
      <c r="V2" s="477"/>
      <c r="W2" s="477"/>
      <c r="X2" s="477"/>
      <c r="Y2" s="477"/>
      <c r="Z2" s="477"/>
      <c r="AA2" s="477"/>
      <c r="AB2" s="477"/>
      <c r="AC2" s="477"/>
      <c r="AD2" s="477"/>
      <c r="AE2" s="477"/>
      <c r="AF2" s="477"/>
      <c r="AG2" s="477"/>
      <c r="AH2" s="477"/>
      <c r="AI2" s="477"/>
      <c r="AJ2" s="477"/>
      <c r="AK2" s="477"/>
      <c r="AL2" s="477"/>
      <c r="AM2" s="477"/>
      <c r="AN2" s="477"/>
      <c r="AO2" s="477"/>
      <c r="AP2" s="477"/>
      <c r="AQ2" s="477"/>
      <c r="AR2" s="477"/>
      <c r="AS2" s="477"/>
    </row>
    <row r="3" spans="1:45" ht="21">
      <c r="W3" s="712" t="s">
        <v>332</v>
      </c>
      <c r="X3" s="712"/>
      <c r="Y3" s="441">
        <v>52</v>
      </c>
    </row>
    <row r="4" spans="1:45" ht="21">
      <c r="A4" s="476" t="s">
        <v>264</v>
      </c>
      <c r="B4" s="713" t="s">
        <v>255</v>
      </c>
      <c r="C4" s="713"/>
      <c r="D4" s="713"/>
      <c r="E4" s="713" t="s">
        <v>256</v>
      </c>
      <c r="F4" s="713"/>
      <c r="G4" s="713"/>
      <c r="H4" s="713" t="s">
        <v>257</v>
      </c>
      <c r="I4" s="713"/>
      <c r="J4" s="713"/>
      <c r="K4" s="713" t="s">
        <v>258</v>
      </c>
      <c r="L4" s="713"/>
      <c r="M4" s="713"/>
      <c r="N4" s="713" t="s">
        <v>259</v>
      </c>
      <c r="O4" s="713"/>
      <c r="P4" s="713"/>
      <c r="Q4" s="713" t="s">
        <v>260</v>
      </c>
      <c r="R4" s="713"/>
      <c r="S4" s="713"/>
      <c r="W4" s="712" t="s">
        <v>331</v>
      </c>
      <c r="X4" s="712"/>
      <c r="Y4" s="712"/>
    </row>
    <row r="5" spans="1:45" ht="21">
      <c r="A5" s="654" t="s">
        <v>261</v>
      </c>
      <c r="B5" s="653" t="s">
        <v>325</v>
      </c>
      <c r="C5" s="653" t="s">
        <v>326</v>
      </c>
      <c r="D5" s="653" t="s">
        <v>828</v>
      </c>
      <c r="E5" s="653" t="s">
        <v>325</v>
      </c>
      <c r="F5" s="653" t="s">
        <v>326</v>
      </c>
      <c r="G5" s="653" t="s">
        <v>828</v>
      </c>
      <c r="H5" s="653" t="s">
        <v>313</v>
      </c>
      <c r="I5" s="653" t="s">
        <v>314</v>
      </c>
      <c r="J5" s="653" t="s">
        <v>315</v>
      </c>
      <c r="K5" s="653" t="s">
        <v>316</v>
      </c>
      <c r="L5" s="653" t="s">
        <v>317</v>
      </c>
      <c r="M5" s="653" t="s">
        <v>318</v>
      </c>
      <c r="N5" s="653" t="s">
        <v>319</v>
      </c>
      <c r="O5" s="653" t="s">
        <v>320</v>
      </c>
      <c r="P5" s="653" t="s">
        <v>321</v>
      </c>
      <c r="Q5" s="653" t="s">
        <v>322</v>
      </c>
      <c r="R5" s="653" t="s">
        <v>323</v>
      </c>
      <c r="S5" s="653" t="s">
        <v>324</v>
      </c>
      <c r="W5" s="441" t="s">
        <v>325</v>
      </c>
      <c r="X5" s="441" t="s">
        <v>326</v>
      </c>
      <c r="Y5" s="441" t="s">
        <v>327</v>
      </c>
    </row>
    <row r="6" spans="1:45">
      <c r="A6" s="396">
        <v>43745</v>
      </c>
      <c r="B6">
        <v>4.3184981346130371</v>
      </c>
      <c r="C6">
        <v>3.739644050598145</v>
      </c>
      <c r="D6">
        <v>2970.27001953125</v>
      </c>
      <c r="E6">
        <v>14.39999961853027</v>
      </c>
      <c r="F6">
        <v>13.310000419616699</v>
      </c>
      <c r="G6">
        <v>2970.27001953125</v>
      </c>
      <c r="H6">
        <v>14.52000045776367</v>
      </c>
      <c r="I6">
        <v>13.36999988555908</v>
      </c>
      <c r="J6">
        <v>2993.280029296875</v>
      </c>
      <c r="K6">
        <v>13.94999980926514</v>
      </c>
      <c r="L6">
        <v>12.810000419616699</v>
      </c>
      <c r="M6">
        <v>2917.1201171875</v>
      </c>
      <c r="N6">
        <v>14.079999923706049</v>
      </c>
      <c r="O6">
        <v>12.920000076293951</v>
      </c>
      <c r="P6">
        <v>2918.550048828125</v>
      </c>
      <c r="Q6">
        <v>25292900</v>
      </c>
      <c r="R6">
        <v>7548900</v>
      </c>
      <c r="S6">
        <v>6815720000</v>
      </c>
      <c r="W6" s="443"/>
      <c r="Z6" s="444"/>
      <c r="AD6" s="445" t="s">
        <v>325</v>
      </c>
    </row>
    <row r="7" spans="1:45">
      <c r="A7" s="396">
        <v>43752</v>
      </c>
      <c r="B7">
        <v>4.3574848175048828</v>
      </c>
      <c r="C7">
        <v>3.7593119144439702</v>
      </c>
      <c r="D7">
        <v>2986.199951171875</v>
      </c>
      <c r="E7">
        <v>14.52999973297119</v>
      </c>
      <c r="F7">
        <v>13.38000011444092</v>
      </c>
      <c r="G7">
        <v>2986.199951171875</v>
      </c>
      <c r="H7">
        <v>14.77000045776367</v>
      </c>
      <c r="I7">
        <v>13.52000045776367</v>
      </c>
      <c r="J7">
        <v>3008.2900390625</v>
      </c>
      <c r="K7">
        <v>14.13000011444092</v>
      </c>
      <c r="L7">
        <v>13.02000045776367</v>
      </c>
      <c r="M7">
        <v>2962.93994140625</v>
      </c>
      <c r="N7">
        <v>14.19999980926514</v>
      </c>
      <c r="O7">
        <v>13.10999965667725</v>
      </c>
      <c r="P7">
        <v>2965.81005859375</v>
      </c>
      <c r="Q7">
        <v>61471400</v>
      </c>
      <c r="R7">
        <v>14142900</v>
      </c>
      <c r="S7">
        <v>15507120000</v>
      </c>
      <c r="W7" s="373">
        <f>B7/B6-1</f>
        <v>9.0278336765656775E-3</v>
      </c>
      <c r="X7" s="373">
        <f t="shared" ref="X7:Y22" si="0">C7/C6-1</f>
        <v>5.2592876700869873E-3</v>
      </c>
      <c r="Y7" s="373">
        <f t="shared" si="0"/>
        <v>5.3631257548560907E-3</v>
      </c>
      <c r="Z7" s="444"/>
      <c r="AB7" s="714" t="s">
        <v>294</v>
      </c>
      <c r="AC7" s="715"/>
      <c r="AD7" s="446">
        <f>_xlfn.COVARIANCE.S(W7:W319,Y7:Y319)</f>
        <v>6.5995749362596321E-4</v>
      </c>
    </row>
    <row r="8" spans="1:45">
      <c r="A8" s="396">
        <v>43759</v>
      </c>
      <c r="B8">
        <v>4.7533464431762704</v>
      </c>
      <c r="C8">
        <v>4.1020894050598136</v>
      </c>
      <c r="D8">
        <v>3022.550048828125</v>
      </c>
      <c r="E8">
        <v>15.85000038146973</v>
      </c>
      <c r="F8">
        <v>14.60000038146973</v>
      </c>
      <c r="G8">
        <v>3022.550048828125</v>
      </c>
      <c r="H8">
        <v>16.04999923706055</v>
      </c>
      <c r="I8">
        <v>14.739999771118161</v>
      </c>
      <c r="J8">
        <v>3027.389892578125</v>
      </c>
      <c r="K8">
        <v>14.439999580383301</v>
      </c>
      <c r="L8">
        <v>13.27000045776367</v>
      </c>
      <c r="M8">
        <v>2991.2099609375</v>
      </c>
      <c r="N8">
        <v>14.47999954223633</v>
      </c>
      <c r="O8">
        <v>13.329999923706049</v>
      </c>
      <c r="P8">
        <v>2996.47998046875</v>
      </c>
      <c r="Q8">
        <v>101649000</v>
      </c>
      <c r="R8">
        <v>32232800</v>
      </c>
      <c r="S8">
        <v>17288670000</v>
      </c>
      <c r="W8" s="373">
        <f t="shared" ref="W8:Y71" si="1">B8/B7-1</f>
        <v>9.0846357990998161E-2</v>
      </c>
      <c r="X8" s="373">
        <f t="shared" si="0"/>
        <v>9.1180912469334796E-2</v>
      </c>
      <c r="Y8" s="373">
        <f t="shared" si="0"/>
        <v>1.2172693808391921E-2</v>
      </c>
      <c r="Z8" s="444"/>
      <c r="AB8" s="714" t="s">
        <v>265</v>
      </c>
      <c r="AC8" s="715"/>
      <c r="AD8" s="446">
        <f>_xlfn.VAR.S(W7:W319)</f>
        <v>5.0765335928981041E-3</v>
      </c>
    </row>
    <row r="9" spans="1:45">
      <c r="A9" s="396">
        <v>43766</v>
      </c>
      <c r="B9">
        <v>4.9302859306335449</v>
      </c>
      <c r="C9">
        <v>4.2790966033935547</v>
      </c>
      <c r="D9">
        <v>3066.909912109375</v>
      </c>
      <c r="E9">
        <v>16.440000534057621</v>
      </c>
      <c r="F9">
        <v>15.22999954223633</v>
      </c>
      <c r="G9">
        <v>3066.909912109375</v>
      </c>
      <c r="H9">
        <v>16.840000152587891</v>
      </c>
      <c r="I9">
        <v>15.670000076293951</v>
      </c>
      <c r="J9">
        <v>3066.949951171875</v>
      </c>
      <c r="K9">
        <v>15.789999961853029</v>
      </c>
      <c r="L9">
        <v>14.590000152587891</v>
      </c>
      <c r="M9">
        <v>3023.18994140625</v>
      </c>
      <c r="N9">
        <v>15.920000076293951</v>
      </c>
      <c r="O9">
        <v>14.659999847412109</v>
      </c>
      <c r="P9">
        <v>3032.1201171875</v>
      </c>
      <c r="Q9">
        <v>118030900</v>
      </c>
      <c r="R9">
        <v>52604700</v>
      </c>
      <c r="S9">
        <v>19004660000</v>
      </c>
      <c r="W9" s="373">
        <f t="shared" si="1"/>
        <v>3.722419343350869E-2</v>
      </c>
      <c r="X9" s="373">
        <f t="shared" si="0"/>
        <v>4.3150497430750168E-2</v>
      </c>
      <c r="Y9" s="373">
        <f t="shared" si="0"/>
        <v>1.4676303970036386E-2</v>
      </c>
      <c r="Z9" s="444"/>
      <c r="AB9" s="714" t="s">
        <v>328</v>
      </c>
      <c r="AC9" s="715"/>
      <c r="AD9" s="447">
        <f>AVERAGE(W7:W754)</f>
        <v>5.7414879896594906E-3</v>
      </c>
    </row>
    <row r="10" spans="1:45">
      <c r="A10" s="396">
        <v>43773</v>
      </c>
      <c r="B10">
        <v>4.7443504333496094</v>
      </c>
      <c r="C10">
        <v>4.0346574783325204</v>
      </c>
      <c r="D10">
        <v>3093.080078125</v>
      </c>
      <c r="E10">
        <v>15.819999694824221</v>
      </c>
      <c r="F10">
        <v>14.35999965667725</v>
      </c>
      <c r="G10">
        <v>3093.080078125</v>
      </c>
      <c r="H10">
        <v>16.629999160766602</v>
      </c>
      <c r="I10">
        <v>15.39999961853027</v>
      </c>
      <c r="J10">
        <v>3097.77001953125</v>
      </c>
      <c r="K10">
        <v>15.52999973297119</v>
      </c>
      <c r="L10">
        <v>14.13000011444092</v>
      </c>
      <c r="M10">
        <v>3065.889892578125</v>
      </c>
      <c r="N10">
        <v>16.479999542236332</v>
      </c>
      <c r="O10">
        <v>15.35000038146973</v>
      </c>
      <c r="P10">
        <v>3078.9599609375</v>
      </c>
      <c r="Q10">
        <v>139901000</v>
      </c>
      <c r="R10">
        <v>50447900</v>
      </c>
      <c r="S10">
        <v>20794290000</v>
      </c>
      <c r="W10" s="373">
        <f t="shared" si="1"/>
        <v>-3.7712923733014159E-2</v>
      </c>
      <c r="X10" s="373">
        <f t="shared" si="0"/>
        <v>-5.7124002497905946E-2</v>
      </c>
      <c r="Y10" s="373">
        <f t="shared" si="0"/>
        <v>8.5330729514729864E-3</v>
      </c>
      <c r="Z10" s="444"/>
      <c r="AB10" s="714" t="s">
        <v>329</v>
      </c>
      <c r="AC10" s="715"/>
      <c r="AD10" s="448">
        <f>AD9*Y3</f>
        <v>0.29855737546229349</v>
      </c>
    </row>
    <row r="11" spans="1:45">
      <c r="A11" s="396">
        <v>43780</v>
      </c>
      <c r="B11">
        <v>4.6303887367248544</v>
      </c>
      <c r="C11">
        <v>4.0065603256225586</v>
      </c>
      <c r="D11">
        <v>3120.4599609375</v>
      </c>
      <c r="E11">
        <v>15.439999580383301</v>
      </c>
      <c r="F11">
        <v>14.260000228881839</v>
      </c>
      <c r="G11">
        <v>3120.4599609375</v>
      </c>
      <c r="H11">
        <v>16.04999923706055</v>
      </c>
      <c r="I11">
        <v>14.680000305175779</v>
      </c>
      <c r="J11">
        <v>3120.4599609375</v>
      </c>
      <c r="K11">
        <v>15.069999694824221</v>
      </c>
      <c r="L11">
        <v>13.930000305175779</v>
      </c>
      <c r="M11">
        <v>3075.820068359375</v>
      </c>
      <c r="N11">
        <v>15.760000228881839</v>
      </c>
      <c r="O11">
        <v>14.409999847412109</v>
      </c>
      <c r="P11">
        <v>3080.330078125</v>
      </c>
      <c r="Q11">
        <v>77522700</v>
      </c>
      <c r="R11">
        <v>18401200</v>
      </c>
      <c r="S11">
        <v>16692290000</v>
      </c>
      <c r="W11" s="373">
        <f t="shared" si="1"/>
        <v>-2.4020505699511641E-2</v>
      </c>
      <c r="X11" s="373">
        <f t="shared" si="0"/>
        <v>-6.9639499414394512E-3</v>
      </c>
      <c r="Y11" s="373">
        <f t="shared" si="0"/>
        <v>8.8519799426265422E-3</v>
      </c>
      <c r="Z11" s="444"/>
      <c r="AB11" s="714" t="s">
        <v>330</v>
      </c>
      <c r="AC11" s="715"/>
      <c r="AD11" s="447">
        <f>AVERAGE(Y7:Y319)</f>
        <v>2.8986078145223494E-3</v>
      </c>
    </row>
    <row r="12" spans="1:45">
      <c r="A12" s="396">
        <v>43787</v>
      </c>
      <c r="B12">
        <v>4.6018843650817871</v>
      </c>
      <c r="C12">
        <v>4.020899772644043</v>
      </c>
      <c r="D12">
        <v>3110.2900390625</v>
      </c>
      <c r="E12">
        <v>15.25</v>
      </c>
      <c r="F12">
        <v>14.22000026702881</v>
      </c>
      <c r="G12">
        <v>3110.2900390625</v>
      </c>
      <c r="H12">
        <v>15.560000419616699</v>
      </c>
      <c r="I12">
        <v>14.47999954223633</v>
      </c>
      <c r="J12">
        <v>3127.639892578125</v>
      </c>
      <c r="K12">
        <v>14.810000419616699</v>
      </c>
      <c r="L12">
        <v>13.64999961853027</v>
      </c>
      <c r="M12">
        <v>3091.409912109375</v>
      </c>
      <c r="N12">
        <v>15.27000045776367</v>
      </c>
      <c r="O12">
        <v>14.10999965667725</v>
      </c>
      <c r="P12">
        <v>3117.909912109375</v>
      </c>
      <c r="Q12">
        <v>91900100</v>
      </c>
      <c r="R12">
        <v>21447100</v>
      </c>
      <c r="S12">
        <v>18074100000</v>
      </c>
      <c r="W12" s="373">
        <f t="shared" si="1"/>
        <v>-6.1559349039080891E-3</v>
      </c>
      <c r="X12" s="373">
        <f t="shared" si="0"/>
        <v>3.5789919172766194E-3</v>
      </c>
      <c r="Y12" s="373">
        <f t="shared" si="0"/>
        <v>-3.2591098755661019E-3</v>
      </c>
      <c r="Z12" s="444"/>
      <c r="AB12" s="714" t="s">
        <v>266</v>
      </c>
      <c r="AC12" s="715"/>
      <c r="AD12" s="691">
        <f>AD11*Y3</f>
        <v>0.15072760635516216</v>
      </c>
    </row>
    <row r="13" spans="1:45">
      <c r="A13" s="396">
        <v>43794</v>
      </c>
      <c r="B13">
        <v>4.4449672698974609</v>
      </c>
      <c r="C13">
        <v>3.8795182704925542</v>
      </c>
      <c r="D13">
        <v>3140.97998046875</v>
      </c>
      <c r="E13">
        <v>14.72999954223633</v>
      </c>
      <c r="F13">
        <v>13.72000026702881</v>
      </c>
      <c r="G13">
        <v>3140.97998046875</v>
      </c>
      <c r="H13">
        <v>15.27999973297119</v>
      </c>
      <c r="I13">
        <v>14.210000038146971</v>
      </c>
      <c r="J13">
        <v>3154.260009765625</v>
      </c>
      <c r="K13">
        <v>14.569999694824221</v>
      </c>
      <c r="L13">
        <v>13.590000152587891</v>
      </c>
      <c r="M13">
        <v>3117.43994140625</v>
      </c>
      <c r="N13">
        <v>15.22999954223633</v>
      </c>
      <c r="O13">
        <v>14.19999980926514</v>
      </c>
      <c r="P13">
        <v>3117.43994140625</v>
      </c>
      <c r="Q13">
        <v>54940700</v>
      </c>
      <c r="R13">
        <v>22907000</v>
      </c>
      <c r="S13">
        <v>12893650000</v>
      </c>
      <c r="W13" s="373">
        <f t="shared" si="1"/>
        <v>-3.4098443753820207E-2</v>
      </c>
      <c r="X13" s="373">
        <f t="shared" si="0"/>
        <v>-3.516165787403347E-2</v>
      </c>
      <c r="Y13" s="373">
        <f t="shared" si="0"/>
        <v>9.8672281429743602E-3</v>
      </c>
      <c r="Z13" s="444"/>
      <c r="AB13" s="714" t="s">
        <v>267</v>
      </c>
      <c r="AC13" s="715"/>
      <c r="AD13" s="692">
        <f>AD7/AD8</f>
        <v>0.13000160080674361</v>
      </c>
    </row>
    <row r="14" spans="1:45">
      <c r="A14" s="396">
        <v>43801</v>
      </c>
      <c r="B14">
        <v>4.6803417205810547</v>
      </c>
      <c r="C14">
        <v>4.1396598815917969</v>
      </c>
      <c r="D14">
        <v>3145.909912109375</v>
      </c>
      <c r="E14">
        <v>15.510000228881839</v>
      </c>
      <c r="F14">
        <v>14.64000034332275</v>
      </c>
      <c r="G14">
        <v>3145.909912109375</v>
      </c>
      <c r="H14">
        <v>15.590000152587891</v>
      </c>
      <c r="I14">
        <v>14.680000305175779</v>
      </c>
      <c r="J14">
        <v>3150.60009765625</v>
      </c>
      <c r="K14">
        <v>14.55000019073486</v>
      </c>
      <c r="L14">
        <v>13.61999988555908</v>
      </c>
      <c r="M14">
        <v>3070.330078125</v>
      </c>
      <c r="N14">
        <v>14.920000076293951</v>
      </c>
      <c r="O14">
        <v>13.88000011444092</v>
      </c>
      <c r="P14">
        <v>3143.85009765625</v>
      </c>
      <c r="Q14">
        <v>73806500</v>
      </c>
      <c r="R14">
        <v>40730900</v>
      </c>
      <c r="S14">
        <v>17504100000</v>
      </c>
      <c r="W14" s="373">
        <f t="shared" si="1"/>
        <v>5.2953022236544633E-2</v>
      </c>
      <c r="X14" s="373">
        <f t="shared" si="0"/>
        <v>6.7055132354413294E-2</v>
      </c>
      <c r="Y14" s="373">
        <f t="shared" si="0"/>
        <v>1.5695520733274293E-3</v>
      </c>
      <c r="AB14" s="714" t="s">
        <v>268</v>
      </c>
      <c r="AC14" s="715"/>
      <c r="AD14" s="447">
        <v>4.0399999999999998E-2</v>
      </c>
    </row>
    <row r="15" spans="1:45">
      <c r="A15" s="396">
        <v>43808</v>
      </c>
      <c r="B15">
        <v>4.619990348815918</v>
      </c>
      <c r="C15">
        <v>4.1283502578735352</v>
      </c>
      <c r="D15">
        <v>3168.800048828125</v>
      </c>
      <c r="E15">
        <v>15.310000419616699</v>
      </c>
      <c r="F15">
        <v>14.60000038146973</v>
      </c>
      <c r="G15">
        <v>3168.800048828125</v>
      </c>
      <c r="H15">
        <v>16.120000839233398</v>
      </c>
      <c r="I15">
        <v>15.170000076293951</v>
      </c>
      <c r="J15">
        <v>3182.679931640625</v>
      </c>
      <c r="K15">
        <v>15.19999980926514</v>
      </c>
      <c r="L15">
        <v>14.47999954223633</v>
      </c>
      <c r="M15">
        <v>3126.090087890625</v>
      </c>
      <c r="N15">
        <v>15.27999973297119</v>
      </c>
      <c r="O15">
        <v>14.47999954223633</v>
      </c>
      <c r="P15">
        <v>3141.860107421875</v>
      </c>
      <c r="Q15">
        <v>83652800</v>
      </c>
      <c r="R15">
        <v>28673000</v>
      </c>
      <c r="S15">
        <v>17765280000</v>
      </c>
      <c r="W15" s="373">
        <f t="shared" si="1"/>
        <v>-1.2894650725982504E-2</v>
      </c>
      <c r="X15" s="373">
        <f t="shared" si="0"/>
        <v>-2.7320176153972087E-3</v>
      </c>
      <c r="Y15" s="373">
        <f t="shared" si="0"/>
        <v>7.2761577280520129E-3</v>
      </c>
      <c r="AB15" s="714" t="s">
        <v>845</v>
      </c>
      <c r="AC15" s="715"/>
      <c r="AD15" s="449">
        <f>AD14+AD13*(AD12-AD14)</f>
        <v>5.4742765439347342E-2</v>
      </c>
    </row>
    <row r="16" spans="1:45">
      <c r="A16" s="396">
        <v>43815</v>
      </c>
      <c r="B16">
        <v>4.6954307556152344</v>
      </c>
      <c r="C16">
        <v>4.1453151702880859</v>
      </c>
      <c r="D16">
        <v>3221.219970703125</v>
      </c>
      <c r="E16">
        <v>15.560000419616699</v>
      </c>
      <c r="F16">
        <v>14.659999847412109</v>
      </c>
      <c r="G16">
        <v>3221.219970703125</v>
      </c>
      <c r="H16">
        <v>15.97999954223633</v>
      </c>
      <c r="I16">
        <v>15.11999988555908</v>
      </c>
      <c r="J16">
        <v>3225.64990234375</v>
      </c>
      <c r="K16">
        <v>15.210000038146971</v>
      </c>
      <c r="L16">
        <v>14.47000026702881</v>
      </c>
      <c r="M16">
        <v>3183.6298828125</v>
      </c>
      <c r="N16">
        <v>15.210000038146971</v>
      </c>
      <c r="O16">
        <v>14.569999694824221</v>
      </c>
      <c r="P16">
        <v>3183.6298828125</v>
      </c>
      <c r="Q16">
        <v>79860600</v>
      </c>
      <c r="R16">
        <v>23957900</v>
      </c>
      <c r="S16">
        <v>22184930000</v>
      </c>
      <c r="W16" s="373">
        <f t="shared" si="1"/>
        <v>1.6329126492364177E-2</v>
      </c>
      <c r="X16" s="373">
        <f t="shared" si="0"/>
        <v>4.1093684776856154E-3</v>
      </c>
      <c r="Y16" s="373">
        <f t="shared" si="0"/>
        <v>1.6542514853338908E-2</v>
      </c>
      <c r="AB16" s="714" t="s">
        <v>269</v>
      </c>
      <c r="AC16" s="715"/>
      <c r="AD16" s="692">
        <f>AD10-AD15</f>
        <v>0.24381461002294616</v>
      </c>
    </row>
    <row r="17" spans="1:36">
      <c r="A17" s="396">
        <v>43822</v>
      </c>
      <c r="B17">
        <v>4.8040647506713867</v>
      </c>
      <c r="C17">
        <v>4.2357997894287109</v>
      </c>
      <c r="D17">
        <v>3240.02001953125</v>
      </c>
      <c r="E17">
        <v>15.920000076293951</v>
      </c>
      <c r="F17">
        <v>14.97999954223633</v>
      </c>
      <c r="G17">
        <v>3240.02001953125</v>
      </c>
      <c r="H17">
        <v>16.129999160766602</v>
      </c>
      <c r="I17">
        <v>15.239999771118161</v>
      </c>
      <c r="J17">
        <v>3247.929931640625</v>
      </c>
      <c r="K17">
        <v>15.64999961853027</v>
      </c>
      <c r="L17">
        <v>14.72999954223633</v>
      </c>
      <c r="M17">
        <v>3220.510009765625</v>
      </c>
      <c r="N17">
        <v>15.689999580383301</v>
      </c>
      <c r="O17">
        <v>14.760000228881839</v>
      </c>
      <c r="P17">
        <v>3226.050048828125</v>
      </c>
      <c r="Q17">
        <v>34692000</v>
      </c>
      <c r="R17">
        <v>6962400</v>
      </c>
      <c r="S17">
        <v>8954750000</v>
      </c>
      <c r="W17" s="373">
        <f t="shared" si="1"/>
        <v>2.3136108423329915E-2</v>
      </c>
      <c r="X17" s="373">
        <f t="shared" si="0"/>
        <v>2.1828163944971335E-2</v>
      </c>
      <c r="Y17" s="373">
        <f t="shared" si="0"/>
        <v>5.8363132599172918E-3</v>
      </c>
    </row>
    <row r="18" spans="1:36">
      <c r="A18" s="396">
        <v>43829</v>
      </c>
      <c r="B18">
        <v>4.8251872062683114</v>
      </c>
      <c r="C18">
        <v>4.3167662620544434</v>
      </c>
      <c r="D18">
        <v>3234.85009765625</v>
      </c>
      <c r="E18">
        <v>15.989999771118161</v>
      </c>
      <c r="F18">
        <v>15.069999694824221</v>
      </c>
      <c r="G18">
        <v>3234.85009765625</v>
      </c>
      <c r="H18">
        <v>16.29000091552734</v>
      </c>
      <c r="I18">
        <v>15.310000419616699</v>
      </c>
      <c r="J18">
        <v>3258.139892578125</v>
      </c>
      <c r="K18">
        <v>15.75</v>
      </c>
      <c r="L18">
        <v>14.80000019073486</v>
      </c>
      <c r="M18">
        <v>3212.030029296875</v>
      </c>
      <c r="N18">
        <v>16.090000152587891</v>
      </c>
      <c r="O18">
        <v>15.14999961853027</v>
      </c>
      <c r="P18">
        <v>3240.090087890625</v>
      </c>
      <c r="Q18">
        <v>47135400</v>
      </c>
      <c r="R18">
        <v>16546100</v>
      </c>
      <c r="S18">
        <v>12861110000</v>
      </c>
      <c r="W18" s="373">
        <f t="shared" si="1"/>
        <v>4.3967882810016512E-3</v>
      </c>
      <c r="X18" s="373">
        <f t="shared" si="0"/>
        <v>1.9114801607904353E-2</v>
      </c>
      <c r="Y18" s="373">
        <f t="shared" si="0"/>
        <v>-1.5956450404117639E-3</v>
      </c>
    </row>
    <row r="19" spans="1:36">
      <c r="A19" s="396">
        <v>43836</v>
      </c>
      <c r="B19">
        <v>4.719571590423584</v>
      </c>
      <c r="C19">
        <v>4.2136454582214364</v>
      </c>
      <c r="D19">
        <v>3265.35009765625</v>
      </c>
      <c r="E19">
        <v>15.64000034332275</v>
      </c>
      <c r="F19">
        <v>14.710000038146971</v>
      </c>
      <c r="G19">
        <v>3265.35009765625</v>
      </c>
      <c r="H19">
        <v>16.29999923706055</v>
      </c>
      <c r="I19">
        <v>15.25</v>
      </c>
      <c r="J19">
        <v>3282.989990234375</v>
      </c>
      <c r="K19">
        <v>15.60000038146973</v>
      </c>
      <c r="L19">
        <v>14.680000305175779</v>
      </c>
      <c r="M19">
        <v>3214.639892578125</v>
      </c>
      <c r="N19">
        <v>15.840000152587891</v>
      </c>
      <c r="O19">
        <v>15.010000228881839</v>
      </c>
      <c r="P19">
        <v>3217.550048828125</v>
      </c>
      <c r="Q19">
        <v>73897700</v>
      </c>
      <c r="R19">
        <v>27154600</v>
      </c>
      <c r="S19">
        <v>17721020000</v>
      </c>
      <c r="W19" s="373">
        <f t="shared" si="1"/>
        <v>-2.1888397554300942E-2</v>
      </c>
      <c r="X19" s="373">
        <f t="shared" si="0"/>
        <v>-2.3888438143956692E-2</v>
      </c>
      <c r="Y19" s="373">
        <f t="shared" si="0"/>
        <v>9.4285667277436147E-3</v>
      </c>
    </row>
    <row r="20" spans="1:36">
      <c r="A20" s="396">
        <v>43843</v>
      </c>
      <c r="B20">
        <v>4.5747261047363281</v>
      </c>
      <c r="C20">
        <v>4.0847434997558594</v>
      </c>
      <c r="D20">
        <v>3329.6201171875</v>
      </c>
      <c r="E20">
        <v>15.159999847412109</v>
      </c>
      <c r="F20">
        <v>14.260000228881839</v>
      </c>
      <c r="G20">
        <v>3329.6201171875</v>
      </c>
      <c r="H20">
        <v>15.590000152587891</v>
      </c>
      <c r="I20">
        <v>14.69999980926514</v>
      </c>
      <c r="J20">
        <v>3329.8798828125</v>
      </c>
      <c r="K20">
        <v>14.72999954223633</v>
      </c>
      <c r="L20">
        <v>13.939999580383301</v>
      </c>
      <c r="M20">
        <v>3268.429931640625</v>
      </c>
      <c r="N20">
        <v>15.539999961853029</v>
      </c>
      <c r="O20">
        <v>14.64999961853027</v>
      </c>
      <c r="P20">
        <v>3271.1298828125</v>
      </c>
      <c r="Q20">
        <v>86529900</v>
      </c>
      <c r="R20">
        <v>23782400</v>
      </c>
      <c r="S20">
        <v>18135300000</v>
      </c>
      <c r="W20" s="373">
        <f t="shared" si="1"/>
        <v>-3.0690388504999055E-2</v>
      </c>
      <c r="X20" s="373">
        <f t="shared" si="0"/>
        <v>-3.0591553025438034E-2</v>
      </c>
      <c r="Y20" s="373">
        <f t="shared" si="0"/>
        <v>1.9682428410166652E-2</v>
      </c>
    </row>
    <row r="21" spans="1:36">
      <c r="A21" s="396">
        <v>43850</v>
      </c>
      <c r="B21">
        <v>4.4570369720458984</v>
      </c>
      <c r="C21">
        <v>4.0074024200439453</v>
      </c>
      <c r="D21">
        <v>3295.469970703125</v>
      </c>
      <c r="E21">
        <v>14.77000045776367</v>
      </c>
      <c r="F21">
        <v>13.989999771118161</v>
      </c>
      <c r="G21">
        <v>3295.469970703125</v>
      </c>
      <c r="H21">
        <v>15.10000038146973</v>
      </c>
      <c r="I21">
        <v>14.22999954223633</v>
      </c>
      <c r="J21">
        <v>3337.77001953125</v>
      </c>
      <c r="K21">
        <v>14.439999580383301</v>
      </c>
      <c r="L21">
        <v>13.77000045776367</v>
      </c>
      <c r="M21">
        <v>3281.530029296875</v>
      </c>
      <c r="N21">
        <v>15.10000038146973</v>
      </c>
      <c r="O21">
        <v>14.210000038146971</v>
      </c>
      <c r="P21">
        <v>3321.030029296875</v>
      </c>
      <c r="Q21">
        <v>69458800</v>
      </c>
      <c r="R21">
        <v>33810100</v>
      </c>
      <c r="S21">
        <v>15204110000</v>
      </c>
      <c r="W21" s="373">
        <f t="shared" si="1"/>
        <v>-2.5725940743989706E-2</v>
      </c>
      <c r="X21" s="373">
        <f t="shared" si="0"/>
        <v>-1.8934133738516712E-2</v>
      </c>
      <c r="Y21" s="373">
        <f t="shared" si="0"/>
        <v>-1.0256469291524239E-2</v>
      </c>
    </row>
    <row r="22" spans="1:36">
      <c r="A22" s="396">
        <v>43857</v>
      </c>
      <c r="B22">
        <v>4.2578740119934082</v>
      </c>
      <c r="C22">
        <v>3.7954306602478032</v>
      </c>
      <c r="D22">
        <v>3225.52001953125</v>
      </c>
      <c r="E22">
        <v>14.10999965667725</v>
      </c>
      <c r="F22">
        <v>13.25</v>
      </c>
      <c r="G22">
        <v>3225.52001953125</v>
      </c>
      <c r="H22">
        <v>14.69999980926514</v>
      </c>
      <c r="I22">
        <v>13.85999965667725</v>
      </c>
      <c r="J22">
        <v>3293.469970703125</v>
      </c>
      <c r="K22">
        <v>14.010000228881839</v>
      </c>
      <c r="L22">
        <v>13.170000076293951</v>
      </c>
      <c r="M22">
        <v>3214.679931640625</v>
      </c>
      <c r="N22">
        <v>14.170000076293951</v>
      </c>
      <c r="O22">
        <v>13.38000011444092</v>
      </c>
      <c r="P22">
        <v>3247.159912109375</v>
      </c>
      <c r="Q22">
        <v>94569600</v>
      </c>
      <c r="R22">
        <v>32642200</v>
      </c>
      <c r="S22">
        <v>19282920000</v>
      </c>
      <c r="W22" s="373">
        <f t="shared" si="1"/>
        <v>-4.4685058998078953E-2</v>
      </c>
      <c r="X22" s="373">
        <f t="shared" si="0"/>
        <v>-5.289505210056189E-2</v>
      </c>
      <c r="Y22" s="373">
        <f t="shared" si="0"/>
        <v>-2.1226092725387669E-2</v>
      </c>
    </row>
    <row r="23" spans="1:36">
      <c r="A23" s="396">
        <v>43864</v>
      </c>
      <c r="B23">
        <v>4.3997030258178711</v>
      </c>
      <c r="C23">
        <v>3.8383982181549068</v>
      </c>
      <c r="D23">
        <v>3327.7099609375</v>
      </c>
      <c r="E23">
        <v>14.579999923706049</v>
      </c>
      <c r="F23">
        <v>13.39999961853027</v>
      </c>
      <c r="G23">
        <v>3327.7099609375</v>
      </c>
      <c r="H23">
        <v>14.97999954223633</v>
      </c>
      <c r="I23">
        <v>13.789999961853029</v>
      </c>
      <c r="J23">
        <v>3347.9599609375</v>
      </c>
      <c r="K23">
        <v>14.11999988555908</v>
      </c>
      <c r="L23">
        <v>13.210000038146971</v>
      </c>
      <c r="M23">
        <v>3235.659912109375</v>
      </c>
      <c r="N23">
        <v>14.239999771118161</v>
      </c>
      <c r="O23">
        <v>13.319999694824221</v>
      </c>
      <c r="P23">
        <v>3235.659912109375</v>
      </c>
      <c r="Q23">
        <v>214344700</v>
      </c>
      <c r="R23">
        <v>45498700</v>
      </c>
      <c r="S23">
        <v>19500010000</v>
      </c>
      <c r="W23" s="373">
        <f t="shared" si="1"/>
        <v>3.3309819272473673E-2</v>
      </c>
      <c r="X23" s="373">
        <f t="shared" si="1"/>
        <v>1.1320864943505038E-2</v>
      </c>
      <c r="Y23" s="373">
        <f t="shared" si="1"/>
        <v>3.1681694978628938E-2</v>
      </c>
      <c r="AB23" s="445" t="s">
        <v>367</v>
      </c>
      <c r="AC23" s="450"/>
      <c r="AD23" s="451">
        <f>SLOPE('CAPM Beta '!Y7:Y317,'CAPM Beta '!W7:W317)</f>
        <v>0.12976114115619225</v>
      </c>
    </row>
    <row r="24" spans="1:36">
      <c r="A24" s="396">
        <v>43871</v>
      </c>
      <c r="B24">
        <v>4.4178080558776864</v>
      </c>
      <c r="C24">
        <v>3.9186041355133061</v>
      </c>
      <c r="D24">
        <v>3380.159912109375</v>
      </c>
      <c r="E24">
        <v>14.64000034332275</v>
      </c>
      <c r="F24">
        <v>13.680000305175779</v>
      </c>
      <c r="G24">
        <v>3380.159912109375</v>
      </c>
      <c r="H24">
        <v>15.02000045776367</v>
      </c>
      <c r="I24">
        <v>13.909999847412109</v>
      </c>
      <c r="J24">
        <v>3385.090087890625</v>
      </c>
      <c r="K24">
        <v>14.22999954223633</v>
      </c>
      <c r="L24">
        <v>13.210000038146971</v>
      </c>
      <c r="M24">
        <v>3317.77001953125</v>
      </c>
      <c r="N24">
        <v>14.44999980926514</v>
      </c>
      <c r="O24">
        <v>13.340000152587891</v>
      </c>
      <c r="P24">
        <v>3318.280029296875</v>
      </c>
      <c r="Q24">
        <v>115798600</v>
      </c>
      <c r="R24">
        <v>25373100</v>
      </c>
      <c r="S24">
        <v>18077170000</v>
      </c>
      <c r="W24" s="373">
        <f t="shared" si="1"/>
        <v>4.1150573012709302E-3</v>
      </c>
      <c r="X24" s="373">
        <f t="shared" si="1"/>
        <v>2.0895673872252329E-2</v>
      </c>
      <c r="Y24" s="373">
        <f t="shared" si="1"/>
        <v>1.576157531382294E-2</v>
      </c>
    </row>
    <row r="25" spans="1:36">
      <c r="A25" s="396">
        <v>43878</v>
      </c>
      <c r="B25">
        <v>4.2337327003479004</v>
      </c>
      <c r="C25">
        <v>3.7868373394012451</v>
      </c>
      <c r="D25">
        <v>3337.75</v>
      </c>
      <c r="E25">
        <v>14.02999973297119</v>
      </c>
      <c r="F25">
        <v>13.22000026702881</v>
      </c>
      <c r="G25">
        <v>3337.75</v>
      </c>
      <c r="H25">
        <v>14.939999580383301</v>
      </c>
      <c r="I25">
        <v>13.97999954223633</v>
      </c>
      <c r="J25">
        <v>3393.52001953125</v>
      </c>
      <c r="K25">
        <v>13.89000034332275</v>
      </c>
      <c r="L25">
        <v>13.180000305175779</v>
      </c>
      <c r="M25">
        <v>3328.449951171875</v>
      </c>
      <c r="N25">
        <v>14.319999694824221</v>
      </c>
      <c r="O25">
        <v>13.36999988555908</v>
      </c>
      <c r="P25">
        <v>3369.0400390625</v>
      </c>
      <c r="Q25">
        <v>81059900</v>
      </c>
      <c r="R25">
        <v>23282500</v>
      </c>
      <c r="S25">
        <v>15292560000</v>
      </c>
      <c r="W25" s="373">
        <f t="shared" si="1"/>
        <v>-4.1666671163968383E-2</v>
      </c>
      <c r="X25" s="373">
        <f t="shared" si="1"/>
        <v>-3.3625952394091607E-2</v>
      </c>
      <c r="Y25" s="373">
        <f t="shared" si="1"/>
        <v>-1.254671767375326E-2</v>
      </c>
    </row>
    <row r="26" spans="1:36">
      <c r="A26" s="396">
        <v>43885</v>
      </c>
      <c r="B26">
        <v>3.6513314247131352</v>
      </c>
      <c r="C26">
        <v>3.2254009246826172</v>
      </c>
      <c r="D26">
        <v>2954.219970703125</v>
      </c>
      <c r="E26">
        <v>12.10000038146973</v>
      </c>
      <c r="F26">
        <v>11.260000228881839</v>
      </c>
      <c r="G26">
        <v>2954.219970703125</v>
      </c>
      <c r="H26">
        <v>13.30000019073486</v>
      </c>
      <c r="I26">
        <v>12.52000045776367</v>
      </c>
      <c r="J26">
        <v>3259.81005859375</v>
      </c>
      <c r="K26">
        <v>11.510000228881839</v>
      </c>
      <c r="L26">
        <v>10.88000011444092</v>
      </c>
      <c r="M26">
        <v>2855.840087890625</v>
      </c>
      <c r="N26">
        <v>13.14000034332275</v>
      </c>
      <c r="O26">
        <v>12.5</v>
      </c>
      <c r="P26">
        <v>3257.610107421875</v>
      </c>
      <c r="Q26">
        <v>194648700</v>
      </c>
      <c r="R26">
        <v>56671200</v>
      </c>
      <c r="S26">
        <v>31566850000</v>
      </c>
      <c r="W26" s="373">
        <f t="shared" si="1"/>
        <v>-0.13756212705325188</v>
      </c>
      <c r="X26" s="373">
        <f t="shared" si="1"/>
        <v>-0.14825997643917799</v>
      </c>
      <c r="Y26" s="373">
        <f t="shared" si="1"/>
        <v>-0.11490675733559286</v>
      </c>
    </row>
    <row r="27" spans="1:36">
      <c r="A27" s="396">
        <v>43892</v>
      </c>
      <c r="B27">
        <v>3.1745457649230961</v>
      </c>
      <c r="C27">
        <v>2.8329672813415532</v>
      </c>
      <c r="D27">
        <v>2972.3701171875</v>
      </c>
      <c r="E27">
        <v>10.52000045776367</v>
      </c>
      <c r="F27">
        <v>9.8900003433227539</v>
      </c>
      <c r="G27">
        <v>2972.3701171875</v>
      </c>
      <c r="H27">
        <v>12.909999847412109</v>
      </c>
      <c r="I27">
        <v>12.239999771118161</v>
      </c>
      <c r="J27">
        <v>3136.719970703125</v>
      </c>
      <c r="K27">
        <v>10.27000045776367</v>
      </c>
      <c r="L27">
        <v>9.7200002670288086</v>
      </c>
      <c r="M27">
        <v>2901.5400390625</v>
      </c>
      <c r="N27">
        <v>12.19999980926514</v>
      </c>
      <c r="O27">
        <v>11.439999580383301</v>
      </c>
      <c r="P27">
        <v>2974.280029296875</v>
      </c>
      <c r="Q27">
        <v>185800000</v>
      </c>
      <c r="R27">
        <v>57378800</v>
      </c>
      <c r="S27">
        <v>29965390000</v>
      </c>
      <c r="W27" s="373">
        <f t="shared" si="1"/>
        <v>-0.13057857650582827</v>
      </c>
      <c r="X27" s="373">
        <f t="shared" si="1"/>
        <v>-0.1216697249442501</v>
      </c>
      <c r="Y27" s="373">
        <f t="shared" si="1"/>
        <v>6.1438033268914616E-3</v>
      </c>
    </row>
    <row r="28" spans="1:36">
      <c r="A28" s="396">
        <v>43899</v>
      </c>
      <c r="B28">
        <v>1.9855995178222661</v>
      </c>
      <c r="C28">
        <v>1.80748438835144</v>
      </c>
      <c r="D28">
        <v>2711.02001953125</v>
      </c>
      <c r="E28">
        <v>6.5799999237060547</v>
      </c>
      <c r="F28">
        <v>6.309999942779541</v>
      </c>
      <c r="G28">
        <v>2711.02001953125</v>
      </c>
      <c r="H28">
        <v>8.5699996948242188</v>
      </c>
      <c r="I28">
        <v>7.8899998664855957</v>
      </c>
      <c r="J28">
        <v>2882.590087890625</v>
      </c>
      <c r="K28">
        <v>4.8299999237060547</v>
      </c>
      <c r="L28">
        <v>4.5500001907348633</v>
      </c>
      <c r="M28">
        <v>2478.860107421875</v>
      </c>
      <c r="N28">
        <v>7.5500001907348633</v>
      </c>
      <c r="O28">
        <v>7.179999828338623</v>
      </c>
      <c r="P28">
        <v>2863.889892578125</v>
      </c>
      <c r="Q28">
        <v>352597000</v>
      </c>
      <c r="R28">
        <v>105456400</v>
      </c>
      <c r="S28">
        <v>40664410000</v>
      </c>
      <c r="W28" s="373">
        <f t="shared" si="1"/>
        <v>-0.37452484076241765</v>
      </c>
      <c r="X28" s="373">
        <f t="shared" si="1"/>
        <v>-0.36198190488966575</v>
      </c>
      <c r="Y28" s="373">
        <f t="shared" si="1"/>
        <v>-8.7926498838422962E-2</v>
      </c>
      <c r="AB28" t="s">
        <v>333</v>
      </c>
      <c r="AC28"/>
      <c r="AD28"/>
      <c r="AE28"/>
      <c r="AF28"/>
      <c r="AG28"/>
      <c r="AH28"/>
      <c r="AI28"/>
      <c r="AJ28"/>
    </row>
    <row r="29" spans="1:36" ht="15.6" thickBot="1">
      <c r="A29" s="396">
        <v>43906</v>
      </c>
      <c r="B29">
        <v>1.4635496139526369</v>
      </c>
      <c r="C29">
        <v>1.3634907007217409</v>
      </c>
      <c r="D29">
        <v>2304.919921875</v>
      </c>
      <c r="E29">
        <v>4.8499999046325684</v>
      </c>
      <c r="F29">
        <v>4.7600002288818359</v>
      </c>
      <c r="G29">
        <v>2304.919921875</v>
      </c>
      <c r="H29">
        <v>5.9600000381469727</v>
      </c>
      <c r="I29">
        <v>5.6700000762939453</v>
      </c>
      <c r="J29">
        <v>2562.97998046875</v>
      </c>
      <c r="K29">
        <v>4.0100002288818359</v>
      </c>
      <c r="L29">
        <v>4.1599998474121094</v>
      </c>
      <c r="M29">
        <v>2280.52001953125</v>
      </c>
      <c r="N29">
        <v>5.4000000953674316</v>
      </c>
      <c r="O29">
        <v>4.9200000762939453</v>
      </c>
      <c r="P29">
        <v>2508.590087890625</v>
      </c>
      <c r="Q29">
        <v>230755900</v>
      </c>
      <c r="R29">
        <v>83601700</v>
      </c>
      <c r="S29">
        <v>41985050000</v>
      </c>
      <c r="W29" s="373">
        <f t="shared" si="1"/>
        <v>-0.26291802510215889</v>
      </c>
      <c r="X29" s="373">
        <f t="shared" si="1"/>
        <v>-0.24564178285083516</v>
      </c>
      <c r="Y29" s="373">
        <f t="shared" si="1"/>
        <v>-0.14979605267779128</v>
      </c>
      <c r="AB29"/>
      <c r="AC29"/>
      <c r="AD29"/>
      <c r="AE29"/>
      <c r="AF29"/>
      <c r="AG29"/>
      <c r="AH29"/>
      <c r="AI29"/>
      <c r="AJ29"/>
    </row>
    <row r="30" spans="1:36">
      <c r="A30" s="396">
        <v>43913</v>
      </c>
      <c r="B30">
        <v>1.566149234771729</v>
      </c>
      <c r="C30">
        <v>1.500985741615295</v>
      </c>
      <c r="D30">
        <v>2541.469970703125</v>
      </c>
      <c r="E30">
        <v>5.190000057220459</v>
      </c>
      <c r="F30">
        <v>5.2399997711181641</v>
      </c>
      <c r="G30">
        <v>2541.469970703125</v>
      </c>
      <c r="H30">
        <v>6.1599998474121094</v>
      </c>
      <c r="I30">
        <v>6.0799999237060547</v>
      </c>
      <c r="J30">
        <v>2637.010009765625</v>
      </c>
      <c r="K30">
        <v>4.4499998092651367</v>
      </c>
      <c r="L30">
        <v>4.380000114440918</v>
      </c>
      <c r="M30">
        <v>2191.860107421875</v>
      </c>
      <c r="N30">
        <v>4.6100001335144043</v>
      </c>
      <c r="O30">
        <v>4.4699997901916504</v>
      </c>
      <c r="P30">
        <v>2290.7099609375</v>
      </c>
      <c r="Q30">
        <v>202178800</v>
      </c>
      <c r="R30">
        <v>44837300</v>
      </c>
      <c r="S30">
        <v>37243200000</v>
      </c>
      <c r="W30" s="373">
        <f t="shared" si="1"/>
        <v>7.0103274833300144E-2</v>
      </c>
      <c r="X30" s="373">
        <f t="shared" si="1"/>
        <v>0.10084046838073291</v>
      </c>
      <c r="Y30" s="373">
        <f t="shared" si="1"/>
        <v>0.10262831544954354</v>
      </c>
      <c r="AB30" s="456" t="s">
        <v>270</v>
      </c>
      <c r="AC30" s="456"/>
      <c r="AD30"/>
      <c r="AE30"/>
      <c r="AF30"/>
      <c r="AG30"/>
      <c r="AH30"/>
      <c r="AI30"/>
      <c r="AJ30"/>
    </row>
    <row r="31" spans="1:36">
      <c r="A31" s="396">
        <v>43920</v>
      </c>
      <c r="B31">
        <v>1.7381541728973391</v>
      </c>
      <c r="C31">
        <v>1.658531546592712</v>
      </c>
      <c r="D31">
        <v>2488.64990234375</v>
      </c>
      <c r="E31">
        <v>5.7600002288818359</v>
      </c>
      <c r="F31">
        <v>5.7899999618530273</v>
      </c>
      <c r="G31">
        <v>2488.64990234375</v>
      </c>
      <c r="H31">
        <v>6.4200000762939453</v>
      </c>
      <c r="I31">
        <v>6.3899998664855957</v>
      </c>
      <c r="J31">
        <v>2641.389892578125</v>
      </c>
      <c r="K31">
        <v>4.880000114440918</v>
      </c>
      <c r="L31">
        <v>4.9499998092651367</v>
      </c>
      <c r="M31">
        <v>2447.489990234375</v>
      </c>
      <c r="N31">
        <v>5.1500000953674316</v>
      </c>
      <c r="O31">
        <v>5.179999828338623</v>
      </c>
      <c r="P31">
        <v>2558.97998046875</v>
      </c>
      <c r="Q31">
        <v>188500000</v>
      </c>
      <c r="R31">
        <v>52880500</v>
      </c>
      <c r="S31">
        <v>30852490000</v>
      </c>
      <c r="W31" s="373">
        <f t="shared" si="1"/>
        <v>0.10982665911188239</v>
      </c>
      <c r="X31" s="373">
        <f t="shared" si="1"/>
        <v>0.1049615599998126</v>
      </c>
      <c r="Y31" s="373">
        <f t="shared" si="1"/>
        <v>-2.0783274627778403E-2</v>
      </c>
      <c r="AB31" t="s">
        <v>271</v>
      </c>
      <c r="AC31">
        <v>0.34287406722954156</v>
      </c>
      <c r="AD31"/>
      <c r="AE31"/>
      <c r="AF31"/>
      <c r="AG31"/>
      <c r="AH31"/>
      <c r="AI31"/>
      <c r="AJ31"/>
    </row>
    <row r="32" spans="1:36">
      <c r="A32" s="396">
        <v>43927</v>
      </c>
      <c r="B32">
        <v>2.0278463363647461</v>
      </c>
      <c r="C32">
        <v>1.879096627235413</v>
      </c>
      <c r="D32">
        <v>2789.820068359375</v>
      </c>
      <c r="E32">
        <v>6.7199997901916504</v>
      </c>
      <c r="F32">
        <v>6.559999942779541</v>
      </c>
      <c r="G32">
        <v>2789.820068359375</v>
      </c>
      <c r="H32">
        <v>7.4600000381469727</v>
      </c>
      <c r="I32">
        <v>7.369999885559082</v>
      </c>
      <c r="J32">
        <v>2818.570068359375</v>
      </c>
      <c r="K32">
        <v>5.8600001335144043</v>
      </c>
      <c r="L32">
        <v>5.7300000190734863</v>
      </c>
      <c r="M32">
        <v>2574.570068359375</v>
      </c>
      <c r="N32">
        <v>5.9499998092651367</v>
      </c>
      <c r="O32">
        <v>5.940000057220459</v>
      </c>
      <c r="P32">
        <v>2578.280029296875</v>
      </c>
      <c r="Q32">
        <v>165291000</v>
      </c>
      <c r="R32">
        <v>46832500</v>
      </c>
      <c r="S32">
        <v>27229510000</v>
      </c>
      <c r="W32" s="373">
        <f t="shared" si="1"/>
        <v>0.16666655236026484</v>
      </c>
      <c r="X32" s="373">
        <f t="shared" si="1"/>
        <v>0.1329881732402558</v>
      </c>
      <c r="Y32" s="373">
        <f t="shared" si="1"/>
        <v>0.12101749054054989</v>
      </c>
      <c r="AB32" t="s">
        <v>272</v>
      </c>
      <c r="AC32">
        <v>0.11756262597852818</v>
      </c>
      <c r="AD32"/>
      <c r="AE32"/>
      <c r="AF32"/>
      <c r="AG32"/>
      <c r="AH32"/>
      <c r="AI32"/>
      <c r="AJ32"/>
    </row>
    <row r="33" spans="1:36">
      <c r="A33" s="396">
        <v>43934</v>
      </c>
      <c r="B33">
        <v>1.946370482444763</v>
      </c>
      <c r="C33">
        <v>1.761653065681458</v>
      </c>
      <c r="D33">
        <v>2874.56005859375</v>
      </c>
      <c r="E33">
        <v>6.4499998092651367</v>
      </c>
      <c r="F33">
        <v>6.1500000953674316</v>
      </c>
      <c r="G33">
        <v>2874.56005859375</v>
      </c>
      <c r="H33">
        <v>6.880000114440918</v>
      </c>
      <c r="I33">
        <v>6.6999998092651367</v>
      </c>
      <c r="J33">
        <v>2879.219970703125</v>
      </c>
      <c r="K33">
        <v>6.0500001907348633</v>
      </c>
      <c r="L33">
        <v>5.9099998474121094</v>
      </c>
      <c r="M33">
        <v>2721.169921875</v>
      </c>
      <c r="N33">
        <v>6.679999828338623</v>
      </c>
      <c r="O33">
        <v>6.5199999809265137</v>
      </c>
      <c r="P33">
        <v>2782.4599609375</v>
      </c>
      <c r="Q33">
        <v>136073600</v>
      </c>
      <c r="R33">
        <v>41113200</v>
      </c>
      <c r="S33">
        <v>27176880000</v>
      </c>
      <c r="W33" s="373">
        <f t="shared" si="1"/>
        <v>-4.01785147419218E-2</v>
      </c>
      <c r="X33" s="373">
        <f t="shared" si="1"/>
        <v>-6.2500011894940033E-2</v>
      </c>
      <c r="Y33" s="373">
        <f t="shared" si="1"/>
        <v>3.037471527122837E-2</v>
      </c>
      <c r="AB33" t="s">
        <v>273</v>
      </c>
      <c r="AC33">
        <v>0.11472520676945593</v>
      </c>
      <c r="AD33"/>
      <c r="AE33"/>
      <c r="AF33"/>
      <c r="AG33"/>
      <c r="AH33"/>
      <c r="AI33"/>
      <c r="AJ33"/>
    </row>
    <row r="34" spans="1:36">
      <c r="A34" s="396">
        <v>43941</v>
      </c>
      <c r="B34">
        <v>1.707977890968323</v>
      </c>
      <c r="C34">
        <v>1.612700462341309</v>
      </c>
      <c r="D34">
        <v>2836.739990234375</v>
      </c>
      <c r="E34">
        <v>5.6599998474121094</v>
      </c>
      <c r="F34">
        <v>5.630000114440918</v>
      </c>
      <c r="G34">
        <v>2836.739990234375</v>
      </c>
      <c r="H34">
        <v>6.5999999046325684</v>
      </c>
      <c r="I34">
        <v>6.4200000762939453</v>
      </c>
      <c r="J34">
        <v>2868.97998046875</v>
      </c>
      <c r="K34">
        <v>5.5100002288818359</v>
      </c>
      <c r="L34">
        <v>5.440000057220459</v>
      </c>
      <c r="M34">
        <v>2727.10009765625</v>
      </c>
      <c r="N34">
        <v>6.0300002098083496</v>
      </c>
      <c r="O34">
        <v>5.869999885559082</v>
      </c>
      <c r="P34">
        <v>2845.6201171875</v>
      </c>
      <c r="Q34">
        <v>202952000</v>
      </c>
      <c r="R34">
        <v>94496400</v>
      </c>
      <c r="S34">
        <v>26590900000</v>
      </c>
      <c r="W34" s="373">
        <f t="shared" si="1"/>
        <v>-0.12248058302703191</v>
      </c>
      <c r="X34" s="373">
        <f t="shared" si="1"/>
        <v>-8.4552745510382166E-2</v>
      </c>
      <c r="Y34" s="373">
        <f t="shared" si="1"/>
        <v>-1.3156819683175058E-2</v>
      </c>
      <c r="AB34" t="s">
        <v>274</v>
      </c>
      <c r="AC34">
        <v>6.7038251966923881E-2</v>
      </c>
      <c r="AD34"/>
      <c r="AE34"/>
      <c r="AF34"/>
      <c r="AG34"/>
      <c r="AH34"/>
      <c r="AI34"/>
      <c r="AJ34"/>
    </row>
    <row r="35" spans="1:36" ht="15.6" thickBot="1">
      <c r="A35" s="396">
        <v>43948</v>
      </c>
      <c r="B35">
        <v>1.9825824499130249</v>
      </c>
      <c r="C35">
        <v>1.8103488683700559</v>
      </c>
      <c r="D35">
        <v>2830.7099609375</v>
      </c>
      <c r="E35">
        <v>6.570000171661377</v>
      </c>
      <c r="F35">
        <v>6.320000171661377</v>
      </c>
      <c r="G35">
        <v>2830.7099609375</v>
      </c>
      <c r="H35">
        <v>7.2199997901916504</v>
      </c>
      <c r="I35">
        <v>6.9000000953674316</v>
      </c>
      <c r="J35">
        <v>2954.860107421875</v>
      </c>
      <c r="K35">
        <v>5.690000057220459</v>
      </c>
      <c r="L35">
        <v>5.630000114440918</v>
      </c>
      <c r="M35">
        <v>2821.610107421875</v>
      </c>
      <c r="N35">
        <v>5.8299999237060547</v>
      </c>
      <c r="O35">
        <v>5.7600002288818359</v>
      </c>
      <c r="P35">
        <v>2854.64990234375</v>
      </c>
      <c r="Q35">
        <v>156461900</v>
      </c>
      <c r="R35">
        <v>36301000</v>
      </c>
      <c r="S35">
        <v>28845520000</v>
      </c>
      <c r="W35" s="373">
        <f t="shared" si="1"/>
        <v>0.16077758406405218</v>
      </c>
      <c r="X35" s="373">
        <f t="shared" si="1"/>
        <v>0.12255741884131544</v>
      </c>
      <c r="Y35" s="373">
        <f t="shared" si="1"/>
        <v>-2.1256898121201351E-3</v>
      </c>
      <c r="AB35" s="454" t="s">
        <v>275</v>
      </c>
      <c r="AC35" s="454">
        <v>313</v>
      </c>
      <c r="AD35"/>
      <c r="AE35"/>
      <c r="AF35"/>
      <c r="AG35"/>
      <c r="AH35"/>
      <c r="AI35"/>
      <c r="AJ35"/>
    </row>
    <row r="36" spans="1:36">
      <c r="A36" s="396">
        <v>43955</v>
      </c>
      <c r="B36">
        <v>2.070092916488647</v>
      </c>
      <c r="C36">
        <v>1.864774227142334</v>
      </c>
      <c r="D36">
        <v>2929.800048828125</v>
      </c>
      <c r="E36">
        <v>6.8600001335144043</v>
      </c>
      <c r="F36">
        <v>6.5100002288818359</v>
      </c>
      <c r="G36">
        <v>2929.800048828125</v>
      </c>
      <c r="H36">
        <v>6.9699997901916504</v>
      </c>
      <c r="I36">
        <v>6.7100000381469727</v>
      </c>
      <c r="J36">
        <v>2932.159912109375</v>
      </c>
      <c r="K36">
        <v>6.2300000190734863</v>
      </c>
      <c r="L36">
        <v>5.940000057220459</v>
      </c>
      <c r="M36">
        <v>2797.85009765625</v>
      </c>
      <c r="N36">
        <v>6.4499998092651367</v>
      </c>
      <c r="O36">
        <v>6.2600002288818359</v>
      </c>
      <c r="P36">
        <v>2815.010009765625</v>
      </c>
      <c r="Q36">
        <v>132187400</v>
      </c>
      <c r="R36">
        <v>44792900</v>
      </c>
      <c r="S36">
        <v>24823610000</v>
      </c>
      <c r="W36" s="373">
        <f t="shared" si="1"/>
        <v>4.4139635443389169E-2</v>
      </c>
      <c r="X36" s="373">
        <f t="shared" si="1"/>
        <v>3.0063464409089136E-2</v>
      </c>
      <c r="Y36" s="373">
        <f t="shared" si="1"/>
        <v>3.5005383546185431E-2</v>
      </c>
      <c r="AB36"/>
      <c r="AC36"/>
      <c r="AD36"/>
      <c r="AE36"/>
      <c r="AF36"/>
      <c r="AG36"/>
      <c r="AH36"/>
      <c r="AI36"/>
      <c r="AJ36"/>
    </row>
    <row r="37" spans="1:36" ht="15.6" thickBot="1">
      <c r="A37" s="396">
        <v>43962</v>
      </c>
      <c r="B37">
        <v>1.840753555297852</v>
      </c>
      <c r="C37">
        <v>1.6929056644439699</v>
      </c>
      <c r="D37">
        <v>2863.699951171875</v>
      </c>
      <c r="E37">
        <v>6.0999999046325684</v>
      </c>
      <c r="F37">
        <v>5.9099998474121094</v>
      </c>
      <c r="G37">
        <v>2863.699951171875</v>
      </c>
      <c r="H37">
        <v>6.869999885559082</v>
      </c>
      <c r="I37">
        <v>6.559999942779541</v>
      </c>
      <c r="J37">
        <v>2945.820068359375</v>
      </c>
      <c r="K37">
        <v>5.7399997711181641</v>
      </c>
      <c r="L37">
        <v>5.619999885559082</v>
      </c>
      <c r="M37">
        <v>2766.639892578125</v>
      </c>
      <c r="N37">
        <v>6.7399997711181641</v>
      </c>
      <c r="O37">
        <v>6.4200000762939453</v>
      </c>
      <c r="P37">
        <v>2915.4599609375</v>
      </c>
      <c r="Q37">
        <v>157511700</v>
      </c>
      <c r="R37">
        <v>43260600</v>
      </c>
      <c r="S37">
        <v>27249840000</v>
      </c>
      <c r="W37" s="373">
        <f t="shared" si="1"/>
        <v>-0.11078698901100881</v>
      </c>
      <c r="X37" s="373">
        <f t="shared" si="1"/>
        <v>-9.2165882709427716E-2</v>
      </c>
      <c r="Y37" s="373">
        <f t="shared" si="1"/>
        <v>-2.2561299936727397E-2</v>
      </c>
      <c r="AB37" t="s">
        <v>276</v>
      </c>
      <c r="AC37"/>
      <c r="AD37"/>
      <c r="AE37"/>
      <c r="AF37"/>
      <c r="AG37"/>
      <c r="AH37"/>
      <c r="AI37"/>
      <c r="AJ37"/>
    </row>
    <row r="38" spans="1:36">
      <c r="A38" s="396">
        <v>43969</v>
      </c>
      <c r="B38">
        <v>2.1304457187652588</v>
      </c>
      <c r="C38">
        <v>1.9363859891891479</v>
      </c>
      <c r="D38">
        <v>2955.449951171875</v>
      </c>
      <c r="E38">
        <v>7.059999942779541</v>
      </c>
      <c r="F38">
        <v>6.7600002288818359</v>
      </c>
      <c r="G38">
        <v>2955.449951171875</v>
      </c>
      <c r="H38">
        <v>7.3400001525878906</v>
      </c>
      <c r="I38">
        <v>7.0999999046325684</v>
      </c>
      <c r="J38">
        <v>2980.2900390625</v>
      </c>
      <c r="K38">
        <v>6.5500001907348633</v>
      </c>
      <c r="L38">
        <v>6.2899999618530273</v>
      </c>
      <c r="M38">
        <v>2913.860107421875</v>
      </c>
      <c r="N38">
        <v>6.6500000953674316</v>
      </c>
      <c r="O38">
        <v>6.4200000762939453</v>
      </c>
      <c r="P38">
        <v>2913.860107421875</v>
      </c>
      <c r="Q38">
        <v>140378100</v>
      </c>
      <c r="R38">
        <v>40989900</v>
      </c>
      <c r="S38">
        <v>25310860000</v>
      </c>
      <c r="W38" s="373">
        <f t="shared" si="1"/>
        <v>0.15737694089121645</v>
      </c>
      <c r="X38" s="373">
        <f t="shared" si="1"/>
        <v>0.14382391757496338</v>
      </c>
      <c r="Y38" s="373">
        <f t="shared" si="1"/>
        <v>3.2038971108846237E-2</v>
      </c>
      <c r="AB38" s="455"/>
      <c r="AC38" s="455" t="s">
        <v>281</v>
      </c>
      <c r="AD38" s="455" t="s">
        <v>282</v>
      </c>
      <c r="AE38" s="455" t="s">
        <v>283</v>
      </c>
      <c r="AF38" s="455" t="s">
        <v>284</v>
      </c>
      <c r="AG38" s="455" t="s">
        <v>285</v>
      </c>
      <c r="AH38"/>
      <c r="AI38"/>
      <c r="AJ38"/>
    </row>
    <row r="39" spans="1:36">
      <c r="A39" s="396">
        <v>43976</v>
      </c>
      <c r="B39">
        <v>2.3024508953094478</v>
      </c>
      <c r="C39">
        <v>2.1598150730133061</v>
      </c>
      <c r="D39">
        <v>3044.31005859375</v>
      </c>
      <c r="E39">
        <v>7.630000114440918</v>
      </c>
      <c r="F39">
        <v>7.5399999618530273</v>
      </c>
      <c r="G39">
        <v>3044.31005859375</v>
      </c>
      <c r="H39">
        <v>7.8899998664855957</v>
      </c>
      <c r="I39">
        <v>7.5799999237060547</v>
      </c>
      <c r="J39">
        <v>3068.669921875</v>
      </c>
      <c r="K39">
        <v>7.3899998664855957</v>
      </c>
      <c r="L39">
        <v>7.130000114440918</v>
      </c>
      <c r="M39">
        <v>2969.75</v>
      </c>
      <c r="N39">
        <v>7.7600002288818359</v>
      </c>
      <c r="O39">
        <v>7.4499998092651367</v>
      </c>
      <c r="P39">
        <v>3004.080078125</v>
      </c>
      <c r="Q39">
        <v>105351800</v>
      </c>
      <c r="R39">
        <v>56544700</v>
      </c>
      <c r="S39">
        <v>24991070000</v>
      </c>
      <c r="W39" s="373">
        <f t="shared" si="1"/>
        <v>8.0736709238420801E-2</v>
      </c>
      <c r="X39" s="373">
        <f t="shared" si="1"/>
        <v>0.11538457986763162</v>
      </c>
      <c r="Y39" s="373">
        <f t="shared" si="1"/>
        <v>3.0066524180739629E-2</v>
      </c>
      <c r="AB39" t="s">
        <v>277</v>
      </c>
      <c r="AC39">
        <v>1</v>
      </c>
      <c r="AD39">
        <v>0.18620491345538559</v>
      </c>
      <c r="AE39">
        <v>0.18620491345538559</v>
      </c>
      <c r="AF39">
        <v>41.432942161890601</v>
      </c>
      <c r="AG39">
        <v>4.6138566647114927E-10</v>
      </c>
      <c r="AH39"/>
      <c r="AI39"/>
      <c r="AJ39"/>
    </row>
    <row r="40" spans="1:36">
      <c r="A40" s="396">
        <v>43983</v>
      </c>
      <c r="B40">
        <v>2.803376197814941</v>
      </c>
      <c r="C40">
        <v>2.5608417987823491</v>
      </c>
      <c r="D40">
        <v>3193.929931640625</v>
      </c>
      <c r="E40">
        <v>9.2899999618530273</v>
      </c>
      <c r="F40">
        <v>8.9399995803833008</v>
      </c>
      <c r="G40">
        <v>3193.929931640625</v>
      </c>
      <c r="H40">
        <v>9.4099998474121094</v>
      </c>
      <c r="I40">
        <v>9.0699996948242188</v>
      </c>
      <c r="J40">
        <v>3211.719970703125</v>
      </c>
      <c r="K40">
        <v>7.630000114440918</v>
      </c>
      <c r="L40">
        <v>7.4899997711181641</v>
      </c>
      <c r="M40">
        <v>3031.5400390625</v>
      </c>
      <c r="N40">
        <v>7.6999998092651367</v>
      </c>
      <c r="O40">
        <v>7.5399999618530273</v>
      </c>
      <c r="P40">
        <v>3038.780029296875</v>
      </c>
      <c r="Q40">
        <v>154807100</v>
      </c>
      <c r="R40">
        <v>77335000</v>
      </c>
      <c r="S40">
        <v>30977470000</v>
      </c>
      <c r="W40" s="373">
        <f t="shared" si="1"/>
        <v>0.21756177450992675</v>
      </c>
      <c r="X40" s="373">
        <f t="shared" si="1"/>
        <v>0.18567641775438815</v>
      </c>
      <c r="Y40" s="373">
        <f t="shared" si="1"/>
        <v>4.914738320576606E-2</v>
      </c>
      <c r="AB40" t="s">
        <v>278</v>
      </c>
      <c r="AC40">
        <v>311</v>
      </c>
      <c r="AD40">
        <v>1.3976735675288205</v>
      </c>
      <c r="AE40">
        <v>4.4941272267807735E-3</v>
      </c>
      <c r="AF40"/>
      <c r="AG40"/>
      <c r="AH40"/>
      <c r="AI40"/>
      <c r="AJ40"/>
    </row>
    <row r="41" spans="1:36" ht="15.6" thickBot="1">
      <c r="A41" s="396">
        <v>43990</v>
      </c>
      <c r="B41">
        <v>2.5589489936828609</v>
      </c>
      <c r="C41">
        <v>2.3517353534698491</v>
      </c>
      <c r="D41">
        <v>3041.31005859375</v>
      </c>
      <c r="E41">
        <v>8.4799995422363281</v>
      </c>
      <c r="F41">
        <v>8.2100000381469727</v>
      </c>
      <c r="G41">
        <v>3041.31005859375</v>
      </c>
      <c r="H41">
        <v>9.7200002670288086</v>
      </c>
      <c r="I41">
        <v>9.3500003814697266</v>
      </c>
      <c r="J41">
        <v>3233.1298828125</v>
      </c>
      <c r="K41">
        <v>8.0299997329711914</v>
      </c>
      <c r="L41">
        <v>7.8400001525878906</v>
      </c>
      <c r="M41">
        <v>2984.469970703125</v>
      </c>
      <c r="N41">
        <v>9.3400001525878906</v>
      </c>
      <c r="O41">
        <v>9.0299997329711914</v>
      </c>
      <c r="P41">
        <v>3199.919921875</v>
      </c>
      <c r="Q41">
        <v>171198600</v>
      </c>
      <c r="R41">
        <v>59298100</v>
      </c>
      <c r="S41">
        <v>34390750000</v>
      </c>
      <c r="W41" s="373">
        <f t="shared" si="1"/>
        <v>-8.719029730030381E-2</v>
      </c>
      <c r="X41" s="373">
        <f t="shared" si="1"/>
        <v>-8.1655354661864576E-2</v>
      </c>
      <c r="Y41" s="373">
        <f t="shared" si="1"/>
        <v>-4.7784352291184717E-2</v>
      </c>
      <c r="AB41" s="454" t="s">
        <v>279</v>
      </c>
      <c r="AC41" s="454">
        <v>312</v>
      </c>
      <c r="AD41" s="454">
        <v>1.5838784809842061</v>
      </c>
      <c r="AE41" s="454"/>
      <c r="AF41" s="454"/>
      <c r="AG41" s="454"/>
      <c r="AH41"/>
      <c r="AI41"/>
      <c r="AJ41"/>
    </row>
    <row r="42" spans="1:36" ht="15.6" thickBot="1">
      <c r="A42" s="396">
        <v>43997</v>
      </c>
      <c r="B42">
        <v>2.537826299667358</v>
      </c>
      <c r="C42">
        <v>2.2829878330230708</v>
      </c>
      <c r="D42">
        <v>3097.739990234375</v>
      </c>
      <c r="E42">
        <v>8.4099998474121094</v>
      </c>
      <c r="F42">
        <v>7.9699997901916504</v>
      </c>
      <c r="G42">
        <v>3097.739990234375</v>
      </c>
      <c r="H42">
        <v>8.9499998092651367</v>
      </c>
      <c r="I42">
        <v>8.6099996566772461</v>
      </c>
      <c r="J42">
        <v>3155.530029296875</v>
      </c>
      <c r="K42">
        <v>7.5399999618530273</v>
      </c>
      <c r="L42">
        <v>7.5500001907348633</v>
      </c>
      <c r="M42">
        <v>2965.659912109375</v>
      </c>
      <c r="N42">
        <v>7.809999942779541</v>
      </c>
      <c r="O42">
        <v>7.6100001335144043</v>
      </c>
      <c r="P42">
        <v>2993.760009765625</v>
      </c>
      <c r="Q42">
        <v>113463300</v>
      </c>
      <c r="R42">
        <v>42640600</v>
      </c>
      <c r="S42">
        <v>28959080000</v>
      </c>
      <c r="W42" s="373">
        <f t="shared" si="1"/>
        <v>-8.2544412052164562E-3</v>
      </c>
      <c r="X42" s="373">
        <f t="shared" si="1"/>
        <v>-2.9232677199560464E-2</v>
      </c>
      <c r="Y42" s="373">
        <f t="shared" si="1"/>
        <v>1.8554481638980658E-2</v>
      </c>
      <c r="AB42"/>
      <c r="AC42"/>
      <c r="AD42"/>
      <c r="AE42"/>
      <c r="AF42"/>
      <c r="AG42"/>
      <c r="AH42"/>
      <c r="AI42"/>
      <c r="AJ42"/>
    </row>
    <row r="43" spans="1:36">
      <c r="A43" s="396">
        <v>44004</v>
      </c>
      <c r="B43">
        <v>2.423155784606934</v>
      </c>
      <c r="C43">
        <v>2.1884603500366211</v>
      </c>
      <c r="D43">
        <v>3009.050048828125</v>
      </c>
      <c r="E43">
        <v>8.0299997329711914</v>
      </c>
      <c r="F43">
        <v>7.6399998664855957</v>
      </c>
      <c r="G43">
        <v>3009.050048828125</v>
      </c>
      <c r="H43">
        <v>8.9499998092651367</v>
      </c>
      <c r="I43">
        <v>8.5699996948242188</v>
      </c>
      <c r="J43">
        <v>3154.89990234375</v>
      </c>
      <c r="K43">
        <v>7.9800000190734863</v>
      </c>
      <c r="L43">
        <v>7.630000114440918</v>
      </c>
      <c r="M43">
        <v>3004.6298828125</v>
      </c>
      <c r="N43">
        <v>8.5200004577636719</v>
      </c>
      <c r="O43">
        <v>8.2200002670288086</v>
      </c>
      <c r="P43">
        <v>3094.419921875</v>
      </c>
      <c r="Q43">
        <v>104773400</v>
      </c>
      <c r="R43">
        <v>30173900</v>
      </c>
      <c r="S43">
        <v>27951760000</v>
      </c>
      <c r="W43" s="373">
        <f t="shared" si="1"/>
        <v>-4.518454043740272E-2</v>
      </c>
      <c r="X43" s="373">
        <f t="shared" si="1"/>
        <v>-4.1405162839295073E-2</v>
      </c>
      <c r="Y43" s="373">
        <f t="shared" si="1"/>
        <v>-2.8630531189139496E-2</v>
      </c>
      <c r="AB43" s="455"/>
      <c r="AC43" s="455" t="s">
        <v>286</v>
      </c>
      <c r="AD43" s="455" t="s">
        <v>274</v>
      </c>
      <c r="AE43" s="455" t="s">
        <v>287</v>
      </c>
      <c r="AF43" s="455" t="s">
        <v>288</v>
      </c>
      <c r="AG43" s="455" t="s">
        <v>289</v>
      </c>
      <c r="AH43" s="455" t="s">
        <v>290</v>
      </c>
      <c r="AI43" s="455" t="s">
        <v>291</v>
      </c>
      <c r="AJ43" s="455" t="s">
        <v>292</v>
      </c>
    </row>
    <row r="44" spans="1:36">
      <c r="A44" s="396">
        <v>44011</v>
      </c>
      <c r="B44">
        <v>2.5589489936828609</v>
      </c>
      <c r="C44">
        <v>2.3717865943908691</v>
      </c>
      <c r="D44">
        <v>3130.010009765625</v>
      </c>
      <c r="E44">
        <v>8.4799995422363281</v>
      </c>
      <c r="F44">
        <v>8.2799997329711914</v>
      </c>
      <c r="G44">
        <v>3130.010009765625</v>
      </c>
      <c r="H44">
        <v>8.6899995803833008</v>
      </c>
      <c r="I44">
        <v>8.4499998092651367</v>
      </c>
      <c r="J44">
        <v>3165.81005859375</v>
      </c>
      <c r="K44">
        <v>7.9899997711181641</v>
      </c>
      <c r="L44">
        <v>7.7199997901916504</v>
      </c>
      <c r="M44">
        <v>2999.739990234375</v>
      </c>
      <c r="N44">
        <v>8.1899995803833008</v>
      </c>
      <c r="O44">
        <v>7.8299999237060547</v>
      </c>
      <c r="P44">
        <v>3018.590087890625</v>
      </c>
      <c r="Q44">
        <v>68186600</v>
      </c>
      <c r="R44">
        <v>21232800</v>
      </c>
      <c r="S44">
        <v>17826770000</v>
      </c>
      <c r="W44" s="373">
        <f t="shared" si="1"/>
        <v>5.6039817967359573E-2</v>
      </c>
      <c r="X44" s="373">
        <f t="shared" si="1"/>
        <v>8.3769506882398037E-2</v>
      </c>
      <c r="Y44" s="373">
        <f t="shared" si="1"/>
        <v>4.019872018566395E-2</v>
      </c>
      <c r="AB44" t="s">
        <v>280</v>
      </c>
      <c r="AC44">
        <v>3.1202283725282817E-3</v>
      </c>
      <c r="AD44">
        <v>3.8110455557136404E-3</v>
      </c>
      <c r="AE44">
        <v>0.81873289807578831</v>
      </c>
      <c r="AF44">
        <v>0.41356573063020607</v>
      </c>
      <c r="AG44">
        <v>-4.3784654028886693E-3</v>
      </c>
      <c r="AH44">
        <v>1.0618922147945232E-2</v>
      </c>
      <c r="AI44">
        <v>-4.3784654028886693E-3</v>
      </c>
      <c r="AJ44">
        <v>1.0618922147945232E-2</v>
      </c>
    </row>
    <row r="45" spans="1:36" ht="15.6" thickBot="1">
      <c r="A45" s="396">
        <v>44018</v>
      </c>
      <c r="B45">
        <v>2.6253371238708501</v>
      </c>
      <c r="C45">
        <v>2.4319407939910889</v>
      </c>
      <c r="D45">
        <v>3185.0400390625</v>
      </c>
      <c r="E45">
        <v>8.6999998092651367</v>
      </c>
      <c r="F45">
        <v>8.4899997711181641</v>
      </c>
      <c r="G45">
        <v>3185.0400390625</v>
      </c>
      <c r="H45">
        <v>8.9300003051757813</v>
      </c>
      <c r="I45">
        <v>8.6599998474121094</v>
      </c>
      <c r="J45">
        <v>3186.820068359375</v>
      </c>
      <c r="K45">
        <v>8.4300003051757813</v>
      </c>
      <c r="L45">
        <v>8.2399997711181641</v>
      </c>
      <c r="M45">
        <v>3115.699951171875</v>
      </c>
      <c r="N45">
        <v>8.7299995422363281</v>
      </c>
      <c r="O45">
        <v>8.5</v>
      </c>
      <c r="P45">
        <v>3155.2900390625</v>
      </c>
      <c r="Q45">
        <v>92546200</v>
      </c>
      <c r="R45">
        <v>31220800</v>
      </c>
      <c r="S45">
        <v>23635640000</v>
      </c>
      <c r="W45" s="373">
        <f t="shared" si="1"/>
        <v>2.5943514447485327E-2</v>
      </c>
      <c r="X45" s="373">
        <f t="shared" si="1"/>
        <v>2.5362399695858295E-2</v>
      </c>
      <c r="Y45" s="373">
        <f t="shared" si="1"/>
        <v>1.7581422783052192E-2</v>
      </c>
      <c r="AB45" s="454" t="s">
        <v>293</v>
      </c>
      <c r="AC45" s="454">
        <v>0.90431675647819798</v>
      </c>
      <c r="AD45" s="454">
        <v>0.14049073716409402</v>
      </c>
      <c r="AE45" s="454">
        <v>6.4368425615273885</v>
      </c>
      <c r="AF45" s="454">
        <v>4.613856664711777E-10</v>
      </c>
      <c r="AG45" s="454">
        <v>0.62788421300028163</v>
      </c>
      <c r="AH45" s="454">
        <v>1.1807492999561142</v>
      </c>
      <c r="AI45" s="454">
        <v>0.62788421300028163</v>
      </c>
      <c r="AJ45" s="454">
        <v>1.1807492999561142</v>
      </c>
    </row>
    <row r="46" spans="1:36">
      <c r="A46" s="396">
        <v>44025</v>
      </c>
      <c r="B46">
        <v>2.6494781970977779</v>
      </c>
      <c r="C46">
        <v>2.4118893146514888</v>
      </c>
      <c r="D46">
        <v>3224.72998046875</v>
      </c>
      <c r="E46">
        <v>8.7799997329711914</v>
      </c>
      <c r="F46">
        <v>8.4200000762939453</v>
      </c>
      <c r="G46">
        <v>3224.72998046875</v>
      </c>
      <c r="H46">
        <v>9.0799999237060547</v>
      </c>
      <c r="I46">
        <v>8.7600002288818359</v>
      </c>
      <c r="J46">
        <v>3238.280029296875</v>
      </c>
      <c r="K46">
        <v>8.2899999618530273</v>
      </c>
      <c r="L46">
        <v>8.0500001907348633</v>
      </c>
      <c r="M46">
        <v>3127.659912109375</v>
      </c>
      <c r="N46">
        <v>8.6400003433227539</v>
      </c>
      <c r="O46">
        <v>8.3900003433227539</v>
      </c>
      <c r="P46">
        <v>3205.080078125</v>
      </c>
      <c r="Q46">
        <v>100762500</v>
      </c>
      <c r="R46">
        <v>30136000</v>
      </c>
      <c r="S46">
        <v>22082120000</v>
      </c>
      <c r="W46" s="373">
        <f t="shared" si="1"/>
        <v>9.1954183740539097E-3</v>
      </c>
      <c r="X46" s="373">
        <f t="shared" si="1"/>
        <v>-8.2450524244438439E-3</v>
      </c>
      <c r="Y46" s="373">
        <f t="shared" si="1"/>
        <v>1.2461363411284676E-2</v>
      </c>
      <c r="AB46"/>
      <c r="AC46"/>
      <c r="AD46"/>
      <c r="AE46"/>
      <c r="AF46"/>
      <c r="AG46"/>
      <c r="AH46"/>
      <c r="AI46"/>
      <c r="AJ46"/>
    </row>
    <row r="47" spans="1:36">
      <c r="A47" s="396">
        <v>44032</v>
      </c>
      <c r="B47">
        <v>2.7158656120300289</v>
      </c>
      <c r="C47">
        <v>2.5178754329681401</v>
      </c>
      <c r="D47">
        <v>3215.6298828125</v>
      </c>
      <c r="E47">
        <v>9</v>
      </c>
      <c r="F47">
        <v>8.7899999618530273</v>
      </c>
      <c r="G47">
        <v>3215.6298828125</v>
      </c>
      <c r="H47">
        <v>9.380000114440918</v>
      </c>
      <c r="I47">
        <v>9.130000114440918</v>
      </c>
      <c r="J47">
        <v>3279.989990234375</v>
      </c>
      <c r="K47">
        <v>8.6599998474121094</v>
      </c>
      <c r="L47">
        <v>8.369999885559082</v>
      </c>
      <c r="M47">
        <v>3200.050048828125</v>
      </c>
      <c r="N47">
        <v>8.7200002670288086</v>
      </c>
      <c r="O47">
        <v>8.3999996185302734</v>
      </c>
      <c r="P47">
        <v>3224.2900390625</v>
      </c>
      <c r="Q47">
        <v>115424200</v>
      </c>
      <c r="R47">
        <v>33637800</v>
      </c>
      <c r="S47">
        <v>20789280000</v>
      </c>
      <c r="W47" s="373">
        <f t="shared" si="1"/>
        <v>2.5056788542352049E-2</v>
      </c>
      <c r="X47" s="373">
        <f t="shared" si="1"/>
        <v>4.3943193277078629E-2</v>
      </c>
      <c r="Y47" s="373">
        <f t="shared" si="1"/>
        <v>-2.8219719825742784E-3</v>
      </c>
      <c r="AB47"/>
      <c r="AC47"/>
      <c r="AD47"/>
      <c r="AE47"/>
      <c r="AF47"/>
      <c r="AG47"/>
      <c r="AH47"/>
      <c r="AI47"/>
      <c r="AJ47"/>
    </row>
    <row r="48" spans="1:36">
      <c r="A48" s="396">
        <v>44039</v>
      </c>
      <c r="B48">
        <v>2.640990018844604</v>
      </c>
      <c r="C48">
        <v>2.4433989524841309</v>
      </c>
      <c r="D48">
        <v>3271.1201171875</v>
      </c>
      <c r="E48">
        <v>8.6700000762939453</v>
      </c>
      <c r="F48">
        <v>8.5299997329711914</v>
      </c>
      <c r="G48">
        <v>3271.1201171875</v>
      </c>
      <c r="H48">
        <v>9.3100004196166992</v>
      </c>
      <c r="I48">
        <v>9.0699996948242188</v>
      </c>
      <c r="J48">
        <v>3272.169921875</v>
      </c>
      <c r="K48">
        <v>8.6499996185302734</v>
      </c>
      <c r="L48">
        <v>8.4899997711181641</v>
      </c>
      <c r="M48">
        <v>3204.1298828125</v>
      </c>
      <c r="N48">
        <v>8.9099998474121094</v>
      </c>
      <c r="O48">
        <v>8.7100000381469727</v>
      </c>
      <c r="P48">
        <v>3219.840087890625</v>
      </c>
      <c r="Q48">
        <v>84414500</v>
      </c>
      <c r="R48">
        <v>25472100</v>
      </c>
      <c r="S48">
        <v>21774140000</v>
      </c>
      <c r="W48" s="373">
        <f t="shared" si="1"/>
        <v>-2.756969743044746E-2</v>
      </c>
      <c r="X48" s="373">
        <f t="shared" si="1"/>
        <v>-2.9579096530686688E-2</v>
      </c>
      <c r="Y48" s="373">
        <f t="shared" si="1"/>
        <v>1.7256412086351869E-2</v>
      </c>
      <c r="AB48" t="s">
        <v>334</v>
      </c>
      <c r="AC48"/>
      <c r="AD48"/>
      <c r="AE48"/>
      <c r="AF48"/>
      <c r="AG48"/>
      <c r="AH48"/>
      <c r="AI48"/>
      <c r="AJ48"/>
    </row>
    <row r="49" spans="1:36" ht="15.6" thickBot="1">
      <c r="A49" s="396">
        <v>44046</v>
      </c>
      <c r="B49">
        <v>2.625759363174438</v>
      </c>
      <c r="C49">
        <v>2.4032962322235112</v>
      </c>
      <c r="D49">
        <v>3351.280029296875</v>
      </c>
      <c r="E49">
        <v>8.619999885559082</v>
      </c>
      <c r="F49">
        <v>8.3900003433227539</v>
      </c>
      <c r="G49">
        <v>3351.280029296875</v>
      </c>
      <c r="H49">
        <v>9.0799999237060547</v>
      </c>
      <c r="I49">
        <v>8.869999885559082</v>
      </c>
      <c r="J49">
        <v>3352.5400390625</v>
      </c>
      <c r="K49">
        <v>8.2399997711181641</v>
      </c>
      <c r="L49">
        <v>8</v>
      </c>
      <c r="M49">
        <v>3284.530029296875</v>
      </c>
      <c r="N49">
        <v>8.630000114440918</v>
      </c>
      <c r="O49">
        <v>8.4200000762939453</v>
      </c>
      <c r="P49">
        <v>3288.260009765625</v>
      </c>
      <c r="Q49">
        <v>106764500</v>
      </c>
      <c r="R49">
        <v>21808200</v>
      </c>
      <c r="S49">
        <v>21777340000</v>
      </c>
      <c r="W49" s="373">
        <f t="shared" si="1"/>
        <v>-5.7670250782807519E-3</v>
      </c>
      <c r="X49" s="373">
        <f t="shared" si="1"/>
        <v>-1.6412678011443194E-2</v>
      </c>
      <c r="Y49" s="373">
        <f t="shared" si="1"/>
        <v>2.4505340445369006E-2</v>
      </c>
      <c r="AB49"/>
      <c r="AC49"/>
      <c r="AD49"/>
      <c r="AE49"/>
      <c r="AF49"/>
      <c r="AG49"/>
      <c r="AH49"/>
      <c r="AI49"/>
      <c r="AJ49"/>
    </row>
    <row r="50" spans="1:36">
      <c r="A50" s="396">
        <v>44053</v>
      </c>
      <c r="B50">
        <v>2.6227130889892578</v>
      </c>
      <c r="C50">
        <v>2.3947024345397949</v>
      </c>
      <c r="D50">
        <v>3372.85009765625</v>
      </c>
      <c r="E50">
        <v>8.6099996566772461</v>
      </c>
      <c r="F50">
        <v>8.3599996566772461</v>
      </c>
      <c r="G50">
        <v>3372.85009765625</v>
      </c>
      <c r="H50">
        <v>9.0699996948242188</v>
      </c>
      <c r="I50">
        <v>8.8000001907348633</v>
      </c>
      <c r="J50">
        <v>3387.889892578125</v>
      </c>
      <c r="K50">
        <v>8.5600004196166992</v>
      </c>
      <c r="L50">
        <v>8.3100004196166992</v>
      </c>
      <c r="M50">
        <v>3326.43994140625</v>
      </c>
      <c r="N50">
        <v>8.7799997329711914</v>
      </c>
      <c r="O50">
        <v>8.5399999618530273</v>
      </c>
      <c r="P50">
        <v>3356.0400390625</v>
      </c>
      <c r="Q50">
        <v>90638600</v>
      </c>
      <c r="R50">
        <v>21426800</v>
      </c>
      <c r="S50">
        <v>19619500000</v>
      </c>
      <c r="W50" s="373">
        <f t="shared" si="1"/>
        <v>-1.1601497943426464E-3</v>
      </c>
      <c r="X50" s="373">
        <f t="shared" si="1"/>
        <v>-3.5758378715408101E-3</v>
      </c>
      <c r="Y50" s="373">
        <f t="shared" si="1"/>
        <v>6.436367051040115E-3</v>
      </c>
      <c r="AB50" s="456" t="s">
        <v>270</v>
      </c>
      <c r="AC50" s="456"/>
      <c r="AD50"/>
      <c r="AE50"/>
      <c r="AF50"/>
      <c r="AG50"/>
      <c r="AH50"/>
      <c r="AI50"/>
      <c r="AJ50"/>
    </row>
    <row r="51" spans="1:36">
      <c r="A51" s="396">
        <v>44060</v>
      </c>
      <c r="B51">
        <v>2.5130527019500728</v>
      </c>
      <c r="C51">
        <v>2.3087682723999019</v>
      </c>
      <c r="D51">
        <v>3397.159912109375</v>
      </c>
      <c r="E51">
        <v>8.25</v>
      </c>
      <c r="F51">
        <v>8.0600004196166992</v>
      </c>
      <c r="G51">
        <v>3397.159912109375</v>
      </c>
      <c r="H51">
        <v>8.8199996948242188</v>
      </c>
      <c r="I51">
        <v>8.5399999618530273</v>
      </c>
      <c r="J51">
        <v>3399.9599609375</v>
      </c>
      <c r="K51">
        <v>8.1000003814697266</v>
      </c>
      <c r="L51">
        <v>7.8899998664855957</v>
      </c>
      <c r="M51">
        <v>3354.68994140625</v>
      </c>
      <c r="N51">
        <v>8.6000003814697266</v>
      </c>
      <c r="O51">
        <v>8.380000114440918</v>
      </c>
      <c r="P51">
        <v>3380.860107421875</v>
      </c>
      <c r="Q51">
        <v>82543300</v>
      </c>
      <c r="R51">
        <v>13086000</v>
      </c>
      <c r="S51">
        <v>17745410000</v>
      </c>
      <c r="W51" s="373">
        <f t="shared" si="1"/>
        <v>-4.1811812164877726E-2</v>
      </c>
      <c r="X51" s="373">
        <f t="shared" si="1"/>
        <v>-3.5885110776365692E-2</v>
      </c>
      <c r="Y51" s="373">
        <f t="shared" si="1"/>
        <v>7.207499221509206E-3</v>
      </c>
      <c r="AB51" t="s">
        <v>271</v>
      </c>
      <c r="AC51">
        <v>0.33800829657487219</v>
      </c>
      <c r="AD51"/>
      <c r="AE51"/>
      <c r="AF51"/>
      <c r="AG51"/>
      <c r="AH51"/>
      <c r="AI51"/>
      <c r="AJ51"/>
    </row>
    <row r="52" spans="1:36">
      <c r="A52" s="396">
        <v>44067</v>
      </c>
      <c r="B52">
        <v>2.589206218719482</v>
      </c>
      <c r="C52">
        <v>2.377515554428101</v>
      </c>
      <c r="D52">
        <v>3508.010009765625</v>
      </c>
      <c r="E52">
        <v>8.5</v>
      </c>
      <c r="F52">
        <v>8.3000001907348633</v>
      </c>
      <c r="G52">
        <v>3508.010009765625</v>
      </c>
      <c r="H52">
        <v>8.5399999618530273</v>
      </c>
      <c r="I52">
        <v>8.3199996948242188</v>
      </c>
      <c r="J52">
        <v>3509.22998046875</v>
      </c>
      <c r="K52">
        <v>8.0600004196166992</v>
      </c>
      <c r="L52">
        <v>7.8499999046325684</v>
      </c>
      <c r="M52">
        <v>3413.1298828125</v>
      </c>
      <c r="N52">
        <v>8.380000114440918</v>
      </c>
      <c r="O52">
        <v>8.1599998474121094</v>
      </c>
      <c r="P52">
        <v>3418.090087890625</v>
      </c>
      <c r="Q52">
        <v>77264900</v>
      </c>
      <c r="R52">
        <v>15828500</v>
      </c>
      <c r="S52">
        <v>18975990000</v>
      </c>
      <c r="W52" s="373">
        <f t="shared" si="1"/>
        <v>3.0303191298103549E-2</v>
      </c>
      <c r="X52" s="373">
        <f t="shared" si="1"/>
        <v>2.9776605495682062E-2</v>
      </c>
      <c r="Y52" s="373">
        <f t="shared" si="1"/>
        <v>3.2630226578713062E-2</v>
      </c>
      <c r="AB52" t="s">
        <v>272</v>
      </c>
      <c r="AC52">
        <v>0.11424960855344675</v>
      </c>
      <c r="AD52"/>
      <c r="AE52"/>
      <c r="AF52"/>
      <c r="AG52"/>
      <c r="AH52"/>
      <c r="AI52"/>
      <c r="AJ52"/>
    </row>
    <row r="53" spans="1:36">
      <c r="A53" s="396">
        <v>44074</v>
      </c>
      <c r="B53">
        <v>2.6836366653442378</v>
      </c>
      <c r="C53">
        <v>2.489230632781982</v>
      </c>
      <c r="D53">
        <v>3426.9599609375</v>
      </c>
      <c r="E53">
        <v>8.8100004196166992</v>
      </c>
      <c r="F53">
        <v>8.6899995803833008</v>
      </c>
      <c r="G53">
        <v>3426.9599609375</v>
      </c>
      <c r="H53">
        <v>8.9700002670288086</v>
      </c>
      <c r="I53">
        <v>8.7600002288818359</v>
      </c>
      <c r="J53">
        <v>3588.110107421875</v>
      </c>
      <c r="K53">
        <v>8.1499996185302734</v>
      </c>
      <c r="L53">
        <v>7.9899997711181641</v>
      </c>
      <c r="M53">
        <v>3349.6298828125</v>
      </c>
      <c r="N53">
        <v>8.3599996566772461</v>
      </c>
      <c r="O53">
        <v>8.1700000762939453</v>
      </c>
      <c r="P53">
        <v>3509.72998046875</v>
      </c>
      <c r="Q53">
        <v>113317200</v>
      </c>
      <c r="R53">
        <v>41818900</v>
      </c>
      <c r="S53">
        <v>22095960000</v>
      </c>
      <c r="W53" s="373">
        <f t="shared" si="1"/>
        <v>3.6470809448100772E-2</v>
      </c>
      <c r="X53" s="373">
        <f t="shared" si="1"/>
        <v>4.6988158771795518E-2</v>
      </c>
      <c r="Y53" s="373">
        <f t="shared" si="1"/>
        <v>-2.3104280946319222E-2</v>
      </c>
      <c r="AB53" t="s">
        <v>273</v>
      </c>
      <c r="AC53">
        <v>0.11140153655522632</v>
      </c>
      <c r="AD53"/>
      <c r="AE53"/>
      <c r="AF53"/>
      <c r="AG53"/>
      <c r="AH53"/>
      <c r="AI53"/>
      <c r="AJ53"/>
    </row>
    <row r="54" spans="1:36">
      <c r="A54" s="396">
        <v>44081</v>
      </c>
      <c r="B54">
        <v>2.522191047668457</v>
      </c>
      <c r="C54">
        <v>2.3689224720001221</v>
      </c>
      <c r="D54">
        <v>3340.969970703125</v>
      </c>
      <c r="E54">
        <v>8.2799997329711914</v>
      </c>
      <c r="F54">
        <v>8.2700004577636719</v>
      </c>
      <c r="G54">
        <v>3340.969970703125</v>
      </c>
      <c r="H54">
        <v>8.7299995422363281</v>
      </c>
      <c r="I54">
        <v>8.619999885559082</v>
      </c>
      <c r="J54">
        <v>3425.550048828125</v>
      </c>
      <c r="K54">
        <v>8.2200002670288086</v>
      </c>
      <c r="L54">
        <v>8.1099996566772461</v>
      </c>
      <c r="M54">
        <v>3310.469970703125</v>
      </c>
      <c r="N54">
        <v>8.3900003433227539</v>
      </c>
      <c r="O54">
        <v>8.2899999618530273</v>
      </c>
      <c r="P54">
        <v>3371.8798828125</v>
      </c>
      <c r="Q54">
        <v>80802000</v>
      </c>
      <c r="R54">
        <v>40341200</v>
      </c>
      <c r="S54">
        <v>16545570000</v>
      </c>
      <c r="W54" s="373">
        <f t="shared" si="1"/>
        <v>-6.0159268115779652E-2</v>
      </c>
      <c r="X54" s="373">
        <f t="shared" si="1"/>
        <v>-4.833146402645816E-2</v>
      </c>
      <c r="Y54" s="373">
        <f t="shared" si="1"/>
        <v>-2.5092207441738235E-2</v>
      </c>
      <c r="AB54" t="s">
        <v>274</v>
      </c>
      <c r="AC54">
        <v>6.6659991784037934E-2</v>
      </c>
      <c r="AD54"/>
      <c r="AE54"/>
      <c r="AF54"/>
      <c r="AG54"/>
      <c r="AH54"/>
      <c r="AI54"/>
      <c r="AJ54"/>
    </row>
    <row r="55" spans="1:36" ht="15.6" thickBot="1">
      <c r="A55" s="396">
        <v>44088</v>
      </c>
      <c r="B55">
        <v>2.5008683204650879</v>
      </c>
      <c r="C55">
        <v>2.3087682723999019</v>
      </c>
      <c r="D55">
        <v>3319.469970703125</v>
      </c>
      <c r="E55">
        <v>8.2100000381469727</v>
      </c>
      <c r="F55">
        <v>8.0600004196166992</v>
      </c>
      <c r="G55">
        <v>3319.469970703125</v>
      </c>
      <c r="H55">
        <v>8.5799999237060547</v>
      </c>
      <c r="I55">
        <v>8.4899997711181641</v>
      </c>
      <c r="J55">
        <v>3428.919921875</v>
      </c>
      <c r="K55">
        <v>8.1000003814697266</v>
      </c>
      <c r="L55">
        <v>8.0500001907348633</v>
      </c>
      <c r="M55">
        <v>3292.39990234375</v>
      </c>
      <c r="N55">
        <v>8.2799997329711914</v>
      </c>
      <c r="O55">
        <v>8.2200002670288086</v>
      </c>
      <c r="P55">
        <v>3363.56005859375</v>
      </c>
      <c r="Q55">
        <v>110750100</v>
      </c>
      <c r="R55">
        <v>40353700</v>
      </c>
      <c r="S55">
        <v>24071910000</v>
      </c>
      <c r="W55" s="373">
        <f t="shared" si="1"/>
        <v>-8.4540491978513099E-3</v>
      </c>
      <c r="X55" s="373">
        <f t="shared" si="1"/>
        <v>-2.5393063855496667E-2</v>
      </c>
      <c r="Y55" s="373">
        <f t="shared" si="1"/>
        <v>-6.4352568830408075E-3</v>
      </c>
      <c r="AB55" s="454" t="s">
        <v>275</v>
      </c>
      <c r="AC55" s="454">
        <v>313</v>
      </c>
      <c r="AD55"/>
      <c r="AE55"/>
      <c r="AF55"/>
      <c r="AG55"/>
      <c r="AH55"/>
      <c r="AI55"/>
      <c r="AJ55"/>
    </row>
    <row r="56" spans="1:36">
      <c r="A56" s="396">
        <v>44095</v>
      </c>
      <c r="B56">
        <v>2.2724094390869141</v>
      </c>
      <c r="C56">
        <v>2.0882034301757808</v>
      </c>
      <c r="D56">
        <v>3298.4599609375</v>
      </c>
      <c r="E56">
        <v>7.4600000381469727</v>
      </c>
      <c r="F56">
        <v>7.2899999618530273</v>
      </c>
      <c r="G56">
        <v>3298.4599609375</v>
      </c>
      <c r="H56">
        <v>8.0699996948242188</v>
      </c>
      <c r="I56">
        <v>7.9200000762939453</v>
      </c>
      <c r="J56">
        <v>3323.35009765625</v>
      </c>
      <c r="K56">
        <v>7.320000171661377</v>
      </c>
      <c r="L56">
        <v>7.130000114440918</v>
      </c>
      <c r="M56">
        <v>3209.449951171875</v>
      </c>
      <c r="N56">
        <v>7.940000057220459</v>
      </c>
      <c r="O56">
        <v>7.809999942779541</v>
      </c>
      <c r="P56">
        <v>3285.570068359375</v>
      </c>
      <c r="Q56">
        <v>116173600</v>
      </c>
      <c r="R56">
        <v>32311600</v>
      </c>
      <c r="S56">
        <v>21594480000</v>
      </c>
      <c r="W56" s="373">
        <f t="shared" si="1"/>
        <v>-9.1351823488126427E-2</v>
      </c>
      <c r="X56" s="373">
        <f t="shared" si="1"/>
        <v>-9.5533555645604062E-2</v>
      </c>
      <c r="Y56" s="373">
        <f t="shared" si="1"/>
        <v>-6.3293266548739568E-3</v>
      </c>
      <c r="AB56"/>
      <c r="AC56"/>
      <c r="AD56"/>
      <c r="AE56"/>
      <c r="AF56"/>
      <c r="AG56"/>
      <c r="AH56"/>
      <c r="AI56"/>
      <c r="AJ56"/>
    </row>
    <row r="57" spans="1:36" ht="15.6" thickBot="1">
      <c r="A57" s="396">
        <v>44102</v>
      </c>
      <c r="B57">
        <v>2.0835492610931401</v>
      </c>
      <c r="C57">
        <v>1.930657267570496</v>
      </c>
      <c r="D57">
        <v>3348.419921875</v>
      </c>
      <c r="E57">
        <v>6.8400001525878906</v>
      </c>
      <c r="F57">
        <v>6.7399997711181641</v>
      </c>
      <c r="G57">
        <v>3348.419921875</v>
      </c>
      <c r="H57">
        <v>7.619999885559082</v>
      </c>
      <c r="I57">
        <v>7.429999828338623</v>
      </c>
      <c r="J57">
        <v>3397.179931640625</v>
      </c>
      <c r="K57">
        <v>6.8000001907348633</v>
      </c>
      <c r="L57">
        <v>6.7300000190734863</v>
      </c>
      <c r="M57">
        <v>3323.68994140625</v>
      </c>
      <c r="N57">
        <v>7.559999942779541</v>
      </c>
      <c r="O57">
        <v>7.4099998474121094</v>
      </c>
      <c r="P57">
        <v>3333.89990234375</v>
      </c>
      <c r="Q57">
        <v>138124900</v>
      </c>
      <c r="R57">
        <v>36300900</v>
      </c>
      <c r="S57">
        <v>20402660000</v>
      </c>
      <c r="W57" s="373">
        <f t="shared" si="1"/>
        <v>-8.3110100999079006E-2</v>
      </c>
      <c r="X57" s="373">
        <f t="shared" si="1"/>
        <v>-7.5445792459033933E-2</v>
      </c>
      <c r="Y57" s="373">
        <f t="shared" si="1"/>
        <v>1.5146450625188157E-2</v>
      </c>
      <c r="AB57" t="s">
        <v>276</v>
      </c>
      <c r="AC57"/>
      <c r="AD57"/>
      <c r="AE57"/>
      <c r="AF57"/>
      <c r="AG57"/>
      <c r="AH57"/>
      <c r="AI57"/>
      <c r="AJ57"/>
    </row>
    <row r="58" spans="1:36">
      <c r="A58" s="396">
        <v>44109</v>
      </c>
      <c r="B58">
        <v>2.2084405422210689</v>
      </c>
      <c r="C58">
        <v>2.0566940307617192</v>
      </c>
      <c r="D58">
        <v>3477.139892578125</v>
      </c>
      <c r="E58">
        <v>7.25</v>
      </c>
      <c r="F58">
        <v>7.179999828338623</v>
      </c>
      <c r="G58">
        <v>3477.139892578125</v>
      </c>
      <c r="H58">
        <v>7.5199999809265137</v>
      </c>
      <c r="I58">
        <v>7.4899997711181641</v>
      </c>
      <c r="J58">
        <v>3482.340087890625</v>
      </c>
      <c r="K58">
        <v>6.880000114440918</v>
      </c>
      <c r="L58">
        <v>6.8299999237060547</v>
      </c>
      <c r="M58">
        <v>3354.5400390625</v>
      </c>
      <c r="N58">
        <v>6.9600000381469727</v>
      </c>
      <c r="O58">
        <v>6.869999885559082</v>
      </c>
      <c r="P58">
        <v>3367.27001953125</v>
      </c>
      <c r="Q58">
        <v>103432600</v>
      </c>
      <c r="R58">
        <v>35585800</v>
      </c>
      <c r="S58">
        <v>19772590000</v>
      </c>
      <c r="W58" s="373">
        <f t="shared" si="1"/>
        <v>5.9941602274574679E-2</v>
      </c>
      <c r="X58" s="373">
        <f t="shared" si="1"/>
        <v>6.5281790459797984E-2</v>
      </c>
      <c r="Y58" s="373">
        <f t="shared" si="1"/>
        <v>3.8442003603611941E-2</v>
      </c>
      <c r="AB58" s="455"/>
      <c r="AC58" s="455" t="s">
        <v>281</v>
      </c>
      <c r="AD58" s="455" t="s">
        <v>282</v>
      </c>
      <c r="AE58" s="455" t="s">
        <v>283</v>
      </c>
      <c r="AF58" s="455" t="s">
        <v>284</v>
      </c>
      <c r="AG58" s="455" t="s">
        <v>285</v>
      </c>
      <c r="AH58"/>
      <c r="AI58"/>
      <c r="AJ58"/>
    </row>
    <row r="59" spans="1:36">
      <c r="A59" s="396">
        <v>44116</v>
      </c>
      <c r="B59">
        <v>2.0896413326263432</v>
      </c>
      <c r="C59">
        <v>1.962166547775269</v>
      </c>
      <c r="D59">
        <v>3483.81005859375</v>
      </c>
      <c r="E59">
        <v>6.8600001335144043</v>
      </c>
      <c r="F59">
        <v>6.8499999046325684</v>
      </c>
      <c r="G59">
        <v>3483.81005859375</v>
      </c>
      <c r="H59">
        <v>7.3499999046325684</v>
      </c>
      <c r="I59">
        <v>7.320000171661377</v>
      </c>
      <c r="J59">
        <v>3549.85009765625</v>
      </c>
      <c r="K59">
        <v>6.8499999046325684</v>
      </c>
      <c r="L59">
        <v>6.820000171661377</v>
      </c>
      <c r="M59">
        <v>3440.889892578125</v>
      </c>
      <c r="N59">
        <v>7.25</v>
      </c>
      <c r="O59">
        <v>7.1999998092651367</v>
      </c>
      <c r="P59">
        <v>3500.02001953125</v>
      </c>
      <c r="Q59">
        <v>79408200</v>
      </c>
      <c r="R59">
        <v>31514700</v>
      </c>
      <c r="S59">
        <v>19317950000</v>
      </c>
      <c r="W59" s="373">
        <f t="shared" si="1"/>
        <v>-5.3793256971839121E-2</v>
      </c>
      <c r="X59" s="373">
        <f t="shared" si="1"/>
        <v>-4.5960887508114667E-2</v>
      </c>
      <c r="Y59" s="373">
        <f t="shared" si="1"/>
        <v>1.9182909579975593E-3</v>
      </c>
      <c r="AB59" t="s">
        <v>277</v>
      </c>
      <c r="AC59">
        <v>1</v>
      </c>
      <c r="AD59">
        <v>0.17825194133405042</v>
      </c>
      <c r="AE59">
        <v>0.17825194133405042</v>
      </c>
      <c r="AF59">
        <v>40.114719229301002</v>
      </c>
      <c r="AG59">
        <v>8.3759566095904549E-10</v>
      </c>
      <c r="AH59"/>
      <c r="AI59"/>
      <c r="AJ59"/>
    </row>
    <row r="60" spans="1:36">
      <c r="A60" s="396">
        <v>44123</v>
      </c>
      <c r="B60">
        <v>2.2297637462615971</v>
      </c>
      <c r="C60">
        <v>2.1025257110595699</v>
      </c>
      <c r="D60">
        <v>3465.389892578125</v>
      </c>
      <c r="E60">
        <v>7.320000171661377</v>
      </c>
      <c r="F60">
        <v>7.3400001525878906</v>
      </c>
      <c r="G60">
        <v>3465.389892578125</v>
      </c>
      <c r="H60">
        <v>7.5300002098083496</v>
      </c>
      <c r="I60">
        <v>7.5399999618530273</v>
      </c>
      <c r="J60">
        <v>3502.419921875</v>
      </c>
      <c r="K60">
        <v>6.8600001335144043</v>
      </c>
      <c r="L60">
        <v>6.8299999237060547</v>
      </c>
      <c r="M60">
        <v>3415.340087890625</v>
      </c>
      <c r="N60">
        <v>6.9099998474121094</v>
      </c>
      <c r="O60">
        <v>6.8899998664855957</v>
      </c>
      <c r="P60">
        <v>3493.659912109375</v>
      </c>
      <c r="Q60">
        <v>105040700</v>
      </c>
      <c r="R60">
        <v>30727800</v>
      </c>
      <c r="S60">
        <v>19936550000</v>
      </c>
      <c r="W60" s="373">
        <f t="shared" si="1"/>
        <v>6.7055724562617991E-2</v>
      </c>
      <c r="X60" s="373">
        <f t="shared" si="1"/>
        <v>7.1532747025700782E-2</v>
      </c>
      <c r="Y60" s="373">
        <f t="shared" si="1"/>
        <v>-5.2873623147698945E-3</v>
      </c>
      <c r="AB60" t="s">
        <v>278</v>
      </c>
      <c r="AC60">
        <v>311</v>
      </c>
      <c r="AD60">
        <v>1.3819454509455296</v>
      </c>
      <c r="AE60">
        <v>4.4435545046480054E-3</v>
      </c>
      <c r="AF60"/>
      <c r="AG60"/>
      <c r="AH60"/>
      <c r="AI60"/>
      <c r="AJ60"/>
    </row>
    <row r="61" spans="1:36" ht="15.6" thickBot="1">
      <c r="A61" s="396">
        <v>44130</v>
      </c>
      <c r="B61">
        <v>2.019580602645874</v>
      </c>
      <c r="C61">
        <v>1.893418669700623</v>
      </c>
      <c r="D61">
        <v>3269.9599609375</v>
      </c>
      <c r="E61">
        <v>6.630000114440918</v>
      </c>
      <c r="F61">
        <v>6.6100001335144043</v>
      </c>
      <c r="G61">
        <v>3269.9599609375</v>
      </c>
      <c r="H61">
        <v>7.2699999809265137</v>
      </c>
      <c r="I61">
        <v>7.2699999809265137</v>
      </c>
      <c r="J61">
        <v>3441.419921875</v>
      </c>
      <c r="K61">
        <v>6.1500000953674316</v>
      </c>
      <c r="L61">
        <v>6.1599998474121094</v>
      </c>
      <c r="M61">
        <v>3233.93994140625</v>
      </c>
      <c r="N61">
        <v>7.2600002288818359</v>
      </c>
      <c r="O61">
        <v>7.2600002288818359</v>
      </c>
      <c r="P61">
        <v>3441.419921875</v>
      </c>
      <c r="Q61">
        <v>133746700</v>
      </c>
      <c r="R61">
        <v>34902000</v>
      </c>
      <c r="S61">
        <v>22860370000</v>
      </c>
      <c r="W61" s="373">
        <f t="shared" si="1"/>
        <v>-9.4262517259110723E-2</v>
      </c>
      <c r="X61" s="373">
        <f t="shared" si="1"/>
        <v>-9.9455164928074602E-2</v>
      </c>
      <c r="Y61" s="373">
        <f t="shared" si="1"/>
        <v>-5.6394788955545838E-2</v>
      </c>
      <c r="AB61" s="454" t="s">
        <v>279</v>
      </c>
      <c r="AC61" s="454">
        <v>312</v>
      </c>
      <c r="AD61" s="454">
        <v>1.56019739227958</v>
      </c>
      <c r="AE61" s="454"/>
      <c r="AF61" s="454"/>
      <c r="AG61" s="454"/>
      <c r="AH61"/>
      <c r="AI61"/>
      <c r="AJ61"/>
    </row>
    <row r="62" spans="1:36" ht="15.6" thickBot="1">
      <c r="A62" s="396">
        <v>44137</v>
      </c>
      <c r="B62">
        <v>2.2449936866760249</v>
      </c>
      <c r="C62">
        <v>2.1025257110595699</v>
      </c>
      <c r="D62">
        <v>3509.43994140625</v>
      </c>
      <c r="E62">
        <v>7.369999885559082</v>
      </c>
      <c r="F62">
        <v>7.3400001525878906</v>
      </c>
      <c r="G62">
        <v>3509.43994140625</v>
      </c>
      <c r="H62">
        <v>7.4000000953674316</v>
      </c>
      <c r="I62">
        <v>7.380000114440918</v>
      </c>
      <c r="J62">
        <v>3529.050048828125</v>
      </c>
      <c r="K62">
        <v>6.5399999618530273</v>
      </c>
      <c r="L62">
        <v>6.5</v>
      </c>
      <c r="M62">
        <v>3279.739990234375</v>
      </c>
      <c r="N62">
        <v>6.7100000381469727</v>
      </c>
      <c r="O62">
        <v>6.7100000381469727</v>
      </c>
      <c r="P62">
        <v>3296.199951171875</v>
      </c>
      <c r="Q62">
        <v>94654100</v>
      </c>
      <c r="R62">
        <v>19153000</v>
      </c>
      <c r="S62">
        <v>23047080000</v>
      </c>
      <c r="W62" s="373">
        <f t="shared" si="1"/>
        <v>0.11161380919129194</v>
      </c>
      <c r="X62" s="373">
        <f t="shared" si="1"/>
        <v>0.11043888216862774</v>
      </c>
      <c r="Y62" s="373">
        <f t="shared" si="1"/>
        <v>7.3236364765790762E-2</v>
      </c>
      <c r="AB62"/>
      <c r="AC62"/>
      <c r="AD62"/>
      <c r="AE62"/>
      <c r="AF62"/>
      <c r="AG62"/>
      <c r="AH62"/>
      <c r="AI62"/>
      <c r="AJ62"/>
    </row>
    <row r="63" spans="1:36">
      <c r="A63" s="396">
        <v>44144</v>
      </c>
      <c r="B63">
        <v>2.5983438491821289</v>
      </c>
      <c r="C63">
        <v>2.3947024345397949</v>
      </c>
      <c r="D63">
        <v>3585.14990234375</v>
      </c>
      <c r="E63">
        <v>8.5299997329711914</v>
      </c>
      <c r="F63">
        <v>8.3599996566772461</v>
      </c>
      <c r="G63">
        <v>3585.14990234375</v>
      </c>
      <c r="H63">
        <v>8.8000001907348633</v>
      </c>
      <c r="I63">
        <v>8.6400003433227539</v>
      </c>
      <c r="J63">
        <v>3645.989990234375</v>
      </c>
      <c r="K63">
        <v>7.9699997901916504</v>
      </c>
      <c r="L63">
        <v>7.9499998092651367</v>
      </c>
      <c r="M63">
        <v>3511.909912109375</v>
      </c>
      <c r="N63">
        <v>8.3400001525878906</v>
      </c>
      <c r="O63">
        <v>8.2700004577636719</v>
      </c>
      <c r="P63">
        <v>3583.0400390625</v>
      </c>
      <c r="Q63">
        <v>177331100</v>
      </c>
      <c r="R63">
        <v>38656800</v>
      </c>
      <c r="S63">
        <v>28872780000</v>
      </c>
      <c r="W63" s="373">
        <f t="shared" si="1"/>
        <v>0.1573947243607976</v>
      </c>
      <c r="X63" s="373">
        <f t="shared" si="1"/>
        <v>0.13896463759912003</v>
      </c>
      <c r="Y63" s="373">
        <f t="shared" si="1"/>
        <v>2.1573231684131056E-2</v>
      </c>
      <c r="AB63" s="455"/>
      <c r="AC63" s="455" t="s">
        <v>286</v>
      </c>
      <c r="AD63" s="455" t="s">
        <v>274</v>
      </c>
      <c r="AE63" s="455" t="s">
        <v>287</v>
      </c>
      <c r="AF63" s="455" t="s">
        <v>288</v>
      </c>
      <c r="AG63" s="455" t="s">
        <v>289</v>
      </c>
      <c r="AH63" s="455" t="s">
        <v>290</v>
      </c>
      <c r="AI63" s="455" t="s">
        <v>291</v>
      </c>
      <c r="AJ63" s="455" t="s">
        <v>292</v>
      </c>
    </row>
    <row r="64" spans="1:36">
      <c r="A64" s="396">
        <v>44151</v>
      </c>
      <c r="B64">
        <v>2.7628352642059331</v>
      </c>
      <c r="C64">
        <v>2.51214599609375</v>
      </c>
      <c r="D64">
        <v>3557.5400390625</v>
      </c>
      <c r="E64">
        <v>9.0699996948242188</v>
      </c>
      <c r="F64">
        <v>8.7700004577636719</v>
      </c>
      <c r="G64">
        <v>3557.5400390625</v>
      </c>
      <c r="H64">
        <v>9.3599996566772461</v>
      </c>
      <c r="I64">
        <v>9.1000003814697266</v>
      </c>
      <c r="J64">
        <v>3628.510009765625</v>
      </c>
      <c r="K64">
        <v>8.75</v>
      </c>
      <c r="L64">
        <v>8.5299997329711914</v>
      </c>
      <c r="M64">
        <v>3543.840087890625</v>
      </c>
      <c r="N64">
        <v>8.9700002670288086</v>
      </c>
      <c r="O64">
        <v>8.75</v>
      </c>
      <c r="P64">
        <v>3600.159912109375</v>
      </c>
      <c r="Q64">
        <v>110342400</v>
      </c>
      <c r="R64">
        <v>40659200</v>
      </c>
      <c r="S64">
        <v>23992240000</v>
      </c>
      <c r="W64" s="373">
        <f t="shared" si="1"/>
        <v>6.330625374142862E-2</v>
      </c>
      <c r="X64" s="373">
        <f t="shared" si="1"/>
        <v>4.9043071013758377E-2</v>
      </c>
      <c r="Y64" s="373">
        <f t="shared" si="1"/>
        <v>-7.7011740187489242E-3</v>
      </c>
      <c r="AB64" t="s">
        <v>280</v>
      </c>
      <c r="AC64">
        <v>3.3881814952927136E-3</v>
      </c>
      <c r="AD64">
        <v>3.7895419104574638E-3</v>
      </c>
      <c r="AE64">
        <v>0.89408735286521768</v>
      </c>
      <c r="AF64">
        <v>0.37196653725853868</v>
      </c>
      <c r="AG64">
        <v>-4.0682012532750524E-3</v>
      </c>
      <c r="AH64">
        <v>1.084456424386048E-2</v>
      </c>
      <c r="AI64">
        <v>-4.0682012532750524E-3</v>
      </c>
      <c r="AJ64">
        <v>1.084456424386048E-2</v>
      </c>
    </row>
    <row r="65" spans="1:36" ht="15.6" thickBot="1">
      <c r="A65" s="396">
        <v>44158</v>
      </c>
      <c r="B65">
        <v>3.0278472900390621</v>
      </c>
      <c r="C65">
        <v>2.7785425186157231</v>
      </c>
      <c r="D65">
        <v>3638.35009765625</v>
      </c>
      <c r="E65">
        <v>9.9399995803833008</v>
      </c>
      <c r="F65">
        <v>9.6999998092651367</v>
      </c>
      <c r="G65">
        <v>3638.35009765625</v>
      </c>
      <c r="H65">
        <v>10.159999847412109</v>
      </c>
      <c r="I65">
        <v>9.9799995422363281</v>
      </c>
      <c r="J65">
        <v>3644.31005859375</v>
      </c>
      <c r="K65">
        <v>9.2100000381469727</v>
      </c>
      <c r="L65">
        <v>8.9899997711181641</v>
      </c>
      <c r="M65">
        <v>3552.77001953125</v>
      </c>
      <c r="N65">
        <v>9.3199996948242188</v>
      </c>
      <c r="O65">
        <v>9.0399999618530273</v>
      </c>
      <c r="P65">
        <v>3566.820068359375</v>
      </c>
      <c r="Q65">
        <v>107548100</v>
      </c>
      <c r="R65">
        <v>50308200</v>
      </c>
      <c r="S65">
        <v>19026670000</v>
      </c>
      <c r="W65" s="373">
        <f t="shared" si="1"/>
        <v>9.5920313913213429E-2</v>
      </c>
      <c r="X65" s="373">
        <f t="shared" si="1"/>
        <v>0.10604340788162991</v>
      </c>
      <c r="Y65" s="373">
        <f t="shared" si="1"/>
        <v>2.2715150836375431E-2</v>
      </c>
      <c r="AB65" s="454" t="s">
        <v>293</v>
      </c>
      <c r="AC65" s="454">
        <v>0.88479394928563848</v>
      </c>
      <c r="AD65" s="454">
        <v>0.13969802478908025</v>
      </c>
      <c r="AE65" s="454">
        <v>6.3336181783638219</v>
      </c>
      <c r="AF65" s="454">
        <v>8.3759566095918559E-10</v>
      </c>
      <c r="AG65" s="454">
        <v>0.60992116342943303</v>
      </c>
      <c r="AH65" s="454">
        <v>1.1596667351418439</v>
      </c>
      <c r="AI65" s="454">
        <v>0.60992116342943303</v>
      </c>
      <c r="AJ65" s="454">
        <v>1.1596667351418439</v>
      </c>
    </row>
    <row r="66" spans="1:36">
      <c r="A66" s="396">
        <v>44165</v>
      </c>
      <c r="B66">
        <v>3.326367855072021</v>
      </c>
      <c r="C66">
        <v>3.064989566802979</v>
      </c>
      <c r="D66">
        <v>3699.1201171875</v>
      </c>
      <c r="E66">
        <v>10.920000076293951</v>
      </c>
      <c r="F66">
        <v>10.69999980926514</v>
      </c>
      <c r="G66">
        <v>3699.1201171875</v>
      </c>
      <c r="H66">
        <v>11.010000228881839</v>
      </c>
      <c r="I66">
        <v>10.760000228881839</v>
      </c>
      <c r="J66">
        <v>3699.199951171875</v>
      </c>
      <c r="K66">
        <v>9.5399999618530273</v>
      </c>
      <c r="L66">
        <v>9.1899995803833008</v>
      </c>
      <c r="M66">
        <v>3594.389892578125</v>
      </c>
      <c r="N66">
        <v>9.8000001907348633</v>
      </c>
      <c r="O66">
        <v>9.6499996185302734</v>
      </c>
      <c r="P66">
        <v>3634.179931640625</v>
      </c>
      <c r="Q66">
        <v>139482900</v>
      </c>
      <c r="R66">
        <v>45327600</v>
      </c>
      <c r="S66">
        <v>26933100000</v>
      </c>
      <c r="W66" s="373">
        <f t="shared" si="1"/>
        <v>9.8591684598831941E-2</v>
      </c>
      <c r="X66" s="373">
        <f t="shared" si="1"/>
        <v>0.10309255527605332</v>
      </c>
      <c r="Y66" s="373">
        <f t="shared" si="1"/>
        <v>1.6702631110292687E-2</v>
      </c>
      <c r="AB66"/>
      <c r="AC66"/>
      <c r="AD66"/>
      <c r="AE66"/>
      <c r="AF66"/>
      <c r="AG66"/>
      <c r="AH66"/>
      <c r="AI66"/>
      <c r="AJ66"/>
    </row>
    <row r="67" spans="1:36">
      <c r="A67" s="396">
        <v>44172</v>
      </c>
      <c r="B67">
        <v>3.3903369903564449</v>
      </c>
      <c r="C67">
        <v>3.133737325668335</v>
      </c>
      <c r="D67">
        <v>3663.4599609375</v>
      </c>
      <c r="E67">
        <v>11.13000011444092</v>
      </c>
      <c r="F67">
        <v>10.939999580383301</v>
      </c>
      <c r="G67">
        <v>3663.4599609375</v>
      </c>
      <c r="H67">
        <v>11.39000034332275</v>
      </c>
      <c r="I67">
        <v>11.170000076293951</v>
      </c>
      <c r="J67">
        <v>3712.389892578125</v>
      </c>
      <c r="K67">
        <v>10.420000076293951</v>
      </c>
      <c r="L67">
        <v>10.22999954223633</v>
      </c>
      <c r="M67">
        <v>3633.39990234375</v>
      </c>
      <c r="N67">
        <v>10.960000038146971</v>
      </c>
      <c r="O67">
        <v>10.789999961853029</v>
      </c>
      <c r="P67">
        <v>3694.72998046875</v>
      </c>
      <c r="Q67">
        <v>135950500</v>
      </c>
      <c r="R67">
        <v>33662100</v>
      </c>
      <c r="S67">
        <v>23655640000</v>
      </c>
      <c r="W67" s="373">
        <f t="shared" si="1"/>
        <v>1.9230926365189527E-2</v>
      </c>
      <c r="X67" s="373">
        <f t="shared" si="1"/>
        <v>2.2430013990900832E-2</v>
      </c>
      <c r="Y67" s="373">
        <f t="shared" si="1"/>
        <v>-9.6401725600392396E-3</v>
      </c>
      <c r="AB67"/>
      <c r="AC67"/>
      <c r="AD67"/>
      <c r="AE67"/>
      <c r="AF67"/>
      <c r="AG67"/>
      <c r="AH67"/>
      <c r="AI67"/>
      <c r="AJ67"/>
    </row>
    <row r="68" spans="1:36">
      <c r="A68" s="396">
        <v>44179</v>
      </c>
      <c r="B68">
        <v>3.4390742778778081</v>
      </c>
      <c r="C68">
        <v>3.1767036914825439</v>
      </c>
      <c r="D68">
        <v>3709.409912109375</v>
      </c>
      <c r="E68">
        <v>11.289999961853029</v>
      </c>
      <c r="F68">
        <v>11.090000152587891</v>
      </c>
      <c r="G68">
        <v>3709.409912109375</v>
      </c>
      <c r="H68">
        <v>11.52999973297119</v>
      </c>
      <c r="I68">
        <v>11.25</v>
      </c>
      <c r="J68">
        <v>3726.699951171875</v>
      </c>
      <c r="K68">
        <v>10.86999988555908</v>
      </c>
      <c r="L68">
        <v>10.72000026702881</v>
      </c>
      <c r="M68">
        <v>3645.840087890625</v>
      </c>
      <c r="N68">
        <v>11.19999980926514</v>
      </c>
      <c r="O68">
        <v>11.05000019073486</v>
      </c>
      <c r="P68">
        <v>3675.27001953125</v>
      </c>
      <c r="Q68">
        <v>89722500</v>
      </c>
      <c r="R68">
        <v>26696600</v>
      </c>
      <c r="S68">
        <v>24367880000</v>
      </c>
      <c r="W68" s="373">
        <f t="shared" si="1"/>
        <v>1.4375351966483763E-2</v>
      </c>
      <c r="X68" s="373">
        <f t="shared" si="1"/>
        <v>1.3710902143033055E-2</v>
      </c>
      <c r="Y68" s="373">
        <f t="shared" si="1"/>
        <v>1.2542774224865827E-2</v>
      </c>
      <c r="AB68"/>
      <c r="AC68"/>
      <c r="AD68"/>
      <c r="AE68"/>
      <c r="AF68"/>
      <c r="AG68"/>
      <c r="AH68"/>
      <c r="AI68"/>
      <c r="AJ68"/>
    </row>
    <row r="69" spans="1:36">
      <c r="A69" s="396">
        <v>44186</v>
      </c>
      <c r="B69">
        <v>3.341598749160767</v>
      </c>
      <c r="C69">
        <v>3.0964996814727779</v>
      </c>
      <c r="D69">
        <v>3703.06005859375</v>
      </c>
      <c r="E69">
        <v>10.97000026702881</v>
      </c>
      <c r="F69">
        <v>10.810000419616699</v>
      </c>
      <c r="G69">
        <v>3703.06005859375</v>
      </c>
      <c r="H69">
        <v>11.159999847412109</v>
      </c>
      <c r="I69">
        <v>10.909999847412109</v>
      </c>
      <c r="J69">
        <v>3711.239990234375</v>
      </c>
      <c r="K69">
        <v>10.659999847412109</v>
      </c>
      <c r="L69">
        <v>10.47000026702881</v>
      </c>
      <c r="M69">
        <v>3636.47998046875</v>
      </c>
      <c r="N69">
        <v>10.72999954223633</v>
      </c>
      <c r="O69">
        <v>10.5</v>
      </c>
      <c r="P69">
        <v>3684.280029296875</v>
      </c>
      <c r="Q69">
        <v>55672600</v>
      </c>
      <c r="R69">
        <v>16933900</v>
      </c>
      <c r="S69">
        <v>14464830000</v>
      </c>
      <c r="W69" s="373">
        <f t="shared" si="1"/>
        <v>-2.8343536905865108E-2</v>
      </c>
      <c r="X69" s="373">
        <f t="shared" si="1"/>
        <v>-2.5247557782871244E-2</v>
      </c>
      <c r="Y69" s="373">
        <f t="shared" si="1"/>
        <v>-1.711823084015518E-3</v>
      </c>
    </row>
    <row r="70" spans="1:36">
      <c r="A70" s="396">
        <v>44193</v>
      </c>
      <c r="B70">
        <v>3.4207983016967769</v>
      </c>
      <c r="C70">
        <v>3.1681113243103032</v>
      </c>
      <c r="D70">
        <v>3756.070068359375</v>
      </c>
      <c r="E70">
        <v>11.22999954223633</v>
      </c>
      <c r="F70">
        <v>11.060000419616699</v>
      </c>
      <c r="G70">
        <v>3756.070068359375</v>
      </c>
      <c r="H70">
        <v>11.27000045776367</v>
      </c>
      <c r="I70">
        <v>11.069999694824221</v>
      </c>
      <c r="J70">
        <v>3760.199951171875</v>
      </c>
      <c r="K70">
        <v>10.909999847412109</v>
      </c>
      <c r="L70">
        <v>10.680000305175779</v>
      </c>
      <c r="M70">
        <v>3723.030029296875</v>
      </c>
      <c r="N70">
        <v>10.989999771118161</v>
      </c>
      <c r="O70">
        <v>10.80000019073486</v>
      </c>
      <c r="P70">
        <v>3723.030029296875</v>
      </c>
      <c r="Q70">
        <v>56122500</v>
      </c>
      <c r="R70">
        <v>21385500</v>
      </c>
      <c r="S70">
        <v>13262640000</v>
      </c>
      <c r="W70" s="373">
        <f t="shared" si="1"/>
        <v>2.3701095936758065E-2</v>
      </c>
      <c r="X70" s="373">
        <f t="shared" si="1"/>
        <v>2.3126643049891982E-2</v>
      </c>
      <c r="Y70" s="373">
        <f t="shared" si="1"/>
        <v>1.4315190390337795E-2</v>
      </c>
    </row>
    <row r="71" spans="1:36">
      <c r="A71" s="396">
        <v>44200</v>
      </c>
      <c r="B71">
        <v>3.5609200000762939</v>
      </c>
      <c r="C71">
        <v>3.2970123291015621</v>
      </c>
      <c r="D71">
        <v>3824.679931640625</v>
      </c>
      <c r="E71">
        <v>11.689999580383301</v>
      </c>
      <c r="F71">
        <v>11.510000228881839</v>
      </c>
      <c r="G71">
        <v>3824.679931640625</v>
      </c>
      <c r="H71">
        <v>11.89000034332275</v>
      </c>
      <c r="I71">
        <v>11.72000026702881</v>
      </c>
      <c r="J71">
        <v>3826.68994140625</v>
      </c>
      <c r="K71">
        <v>10.909999847412109</v>
      </c>
      <c r="L71">
        <v>10.659999847412109</v>
      </c>
      <c r="M71">
        <v>3662.7099609375</v>
      </c>
      <c r="N71">
        <v>11.430000305175779</v>
      </c>
      <c r="O71">
        <v>11.27000045776367</v>
      </c>
      <c r="P71">
        <v>3764.610107421875</v>
      </c>
      <c r="Q71">
        <v>125309900</v>
      </c>
      <c r="R71">
        <v>41811300</v>
      </c>
      <c r="S71">
        <v>25542330000</v>
      </c>
      <c r="W71" s="373">
        <f t="shared" si="1"/>
        <v>4.0961695493713979E-2</v>
      </c>
      <c r="X71" s="373">
        <f t="shared" si="1"/>
        <v>4.0687018730101165E-2</v>
      </c>
      <c r="Y71" s="373">
        <f t="shared" si="1"/>
        <v>1.8266396002356355E-2</v>
      </c>
    </row>
    <row r="72" spans="1:36">
      <c r="A72" s="396">
        <v>44207</v>
      </c>
      <c r="B72">
        <v>3.3202755451202388</v>
      </c>
      <c r="C72">
        <v>3.039209365844727</v>
      </c>
      <c r="D72">
        <v>3768.25</v>
      </c>
      <c r="E72">
        <v>10.89999961853027</v>
      </c>
      <c r="F72">
        <v>10.60999965667725</v>
      </c>
      <c r="G72">
        <v>3768.25</v>
      </c>
      <c r="H72">
        <v>11.760000228881839</v>
      </c>
      <c r="I72">
        <v>11.64999961853027</v>
      </c>
      <c r="J72">
        <v>3823.60009765625</v>
      </c>
      <c r="K72">
        <v>10.85000038146973</v>
      </c>
      <c r="L72">
        <v>10.590000152587891</v>
      </c>
      <c r="M72">
        <v>3749.6201171875</v>
      </c>
      <c r="N72">
        <v>11.38000011444092</v>
      </c>
      <c r="O72">
        <v>11.11999988555908</v>
      </c>
      <c r="P72">
        <v>3803.139892578125</v>
      </c>
      <c r="Q72">
        <v>134048100</v>
      </c>
      <c r="R72">
        <v>28825800</v>
      </c>
      <c r="S72">
        <v>24631190000</v>
      </c>
      <c r="W72" s="373">
        <f t="shared" ref="W72:Y135" si="2">B72/B71-1</f>
        <v>-6.7579292697083737E-2</v>
      </c>
      <c r="X72" s="373">
        <f t="shared" si="2"/>
        <v>-7.8192902398726116E-2</v>
      </c>
      <c r="Y72" s="373">
        <f t="shared" si="2"/>
        <v>-1.4754157903199783E-2</v>
      </c>
    </row>
    <row r="73" spans="1:36">
      <c r="A73" s="396">
        <v>44214</v>
      </c>
      <c r="B73">
        <v>3.1040010452270508</v>
      </c>
      <c r="C73">
        <v>2.8329672813415532</v>
      </c>
      <c r="D73">
        <v>3841.469970703125</v>
      </c>
      <c r="E73">
        <v>10.189999580383301</v>
      </c>
      <c r="F73">
        <v>9.8900003433227539</v>
      </c>
      <c r="G73">
        <v>3841.469970703125</v>
      </c>
      <c r="H73">
        <v>11.069999694824221</v>
      </c>
      <c r="I73">
        <v>10.920000076293951</v>
      </c>
      <c r="J73">
        <v>3861.449951171875</v>
      </c>
      <c r="K73">
        <v>10.039999961853029</v>
      </c>
      <c r="L73">
        <v>9.7799997329711914</v>
      </c>
      <c r="M73">
        <v>3780.3701171875</v>
      </c>
      <c r="N73">
        <v>10.939999580383301</v>
      </c>
      <c r="O73">
        <v>10.69999980926514</v>
      </c>
      <c r="P73">
        <v>3781.8798828125</v>
      </c>
      <c r="Q73">
        <v>86607200</v>
      </c>
      <c r="R73">
        <v>24877500</v>
      </c>
      <c r="S73">
        <v>19193280000</v>
      </c>
      <c r="W73" s="373">
        <f t="shared" si="2"/>
        <v>-6.5137515532722401E-2</v>
      </c>
      <c r="X73" s="373">
        <f t="shared" si="2"/>
        <v>-6.786043989629853E-2</v>
      </c>
      <c r="Y73" s="373">
        <f t="shared" si="2"/>
        <v>1.9430762476779773E-2</v>
      </c>
    </row>
    <row r="74" spans="1:36">
      <c r="A74" s="396">
        <v>44221</v>
      </c>
      <c r="B74">
        <v>3.0613551139831539</v>
      </c>
      <c r="C74">
        <v>2.8014576435089111</v>
      </c>
      <c r="D74">
        <v>3714.239990234375</v>
      </c>
      <c r="E74">
        <v>10.05000019073486</v>
      </c>
      <c r="F74">
        <v>9.7799997329711914</v>
      </c>
      <c r="G74">
        <v>3714.239990234375</v>
      </c>
      <c r="H74">
        <v>10.72999954223633</v>
      </c>
      <c r="I74">
        <v>10.5</v>
      </c>
      <c r="J74">
        <v>3870.89990234375</v>
      </c>
      <c r="K74">
        <v>9.8100004196166992</v>
      </c>
      <c r="L74">
        <v>9.5799999237060547</v>
      </c>
      <c r="M74">
        <v>3694.1201171875</v>
      </c>
      <c r="N74">
        <v>10.10999965667725</v>
      </c>
      <c r="O74">
        <v>9.8199996948242188</v>
      </c>
      <c r="P74">
        <v>3851.679931640625</v>
      </c>
      <c r="Q74">
        <v>124255400</v>
      </c>
      <c r="R74">
        <v>37630500</v>
      </c>
      <c r="S74">
        <v>36751000000</v>
      </c>
      <c r="W74" s="373">
        <f t="shared" si="2"/>
        <v>-1.3739019614530279E-2</v>
      </c>
      <c r="X74" s="373">
        <f t="shared" si="2"/>
        <v>-1.1122485614348698E-2</v>
      </c>
      <c r="Y74" s="373">
        <f t="shared" si="2"/>
        <v>-3.3120128867091592E-2</v>
      </c>
    </row>
    <row r="75" spans="1:36">
      <c r="A75" s="396">
        <v>44228</v>
      </c>
      <c r="B75">
        <v>3.3720602989196782</v>
      </c>
      <c r="C75">
        <v>3.0964996814727779</v>
      </c>
      <c r="D75">
        <v>3886.830078125</v>
      </c>
      <c r="E75">
        <v>11.069999694824221</v>
      </c>
      <c r="F75">
        <v>10.810000419616699</v>
      </c>
      <c r="G75">
        <v>3886.830078125</v>
      </c>
      <c r="H75">
        <v>11.47999954223633</v>
      </c>
      <c r="I75">
        <v>11.22999954223633</v>
      </c>
      <c r="J75">
        <v>3894.56005859375</v>
      </c>
      <c r="K75">
        <v>10.05000019073486</v>
      </c>
      <c r="L75">
        <v>9.8000001907348633</v>
      </c>
      <c r="M75">
        <v>3725.6201171875</v>
      </c>
      <c r="N75">
        <v>10.180000305175779</v>
      </c>
      <c r="O75">
        <v>9.9600000381469727</v>
      </c>
      <c r="P75">
        <v>3731.169921875</v>
      </c>
      <c r="Q75">
        <v>122011400</v>
      </c>
      <c r="R75">
        <v>28274100</v>
      </c>
      <c r="S75">
        <v>25573900000</v>
      </c>
      <c r="W75" s="373">
        <f t="shared" si="2"/>
        <v>0.10149269632828162</v>
      </c>
      <c r="X75" s="373">
        <f t="shared" si="2"/>
        <v>0.10531732958643536</v>
      </c>
      <c r="Y75" s="373">
        <f t="shared" si="2"/>
        <v>4.6467134149760225E-2</v>
      </c>
    </row>
    <row r="76" spans="1:36">
      <c r="A76" s="396">
        <v>44235</v>
      </c>
      <c r="B76">
        <v>3.2136609554290771</v>
      </c>
      <c r="C76">
        <v>3.024887323379517</v>
      </c>
      <c r="D76">
        <v>3934.830078125</v>
      </c>
      <c r="E76">
        <v>10.55000019073486</v>
      </c>
      <c r="F76">
        <v>10.560000419616699</v>
      </c>
      <c r="G76">
        <v>3934.830078125</v>
      </c>
      <c r="H76">
        <v>11.039999961853029</v>
      </c>
      <c r="I76">
        <v>10.789999961853029</v>
      </c>
      <c r="J76">
        <v>3937.22998046875</v>
      </c>
      <c r="K76">
        <v>10.13000011444092</v>
      </c>
      <c r="L76">
        <v>10.05000019073486</v>
      </c>
      <c r="M76">
        <v>3884.93994140625</v>
      </c>
      <c r="N76">
        <v>10.88000011444092</v>
      </c>
      <c r="O76">
        <v>10.64999961853027</v>
      </c>
      <c r="P76">
        <v>3892.590087890625</v>
      </c>
      <c r="Q76">
        <v>157318900</v>
      </c>
      <c r="R76">
        <v>34576200</v>
      </c>
      <c r="S76">
        <v>22779770000</v>
      </c>
      <c r="W76" s="373">
        <f t="shared" si="2"/>
        <v>-4.6974054272205024E-2</v>
      </c>
      <c r="X76" s="373">
        <f t="shared" si="2"/>
        <v>-2.3126874038365774E-2</v>
      </c>
      <c r="Y76" s="373">
        <f t="shared" si="2"/>
        <v>1.2349395017328568E-2</v>
      </c>
    </row>
    <row r="77" spans="1:36">
      <c r="A77" s="396">
        <v>44242</v>
      </c>
      <c r="B77">
        <v>3.0613551139831539</v>
      </c>
      <c r="C77">
        <v>2.907443523406982</v>
      </c>
      <c r="D77">
        <v>3906.7099609375</v>
      </c>
      <c r="E77">
        <v>10.05000019073486</v>
      </c>
      <c r="F77">
        <v>10.14999961853027</v>
      </c>
      <c r="G77">
        <v>3906.7099609375</v>
      </c>
      <c r="H77">
        <v>11.090000152587891</v>
      </c>
      <c r="I77">
        <v>11.079999923706049</v>
      </c>
      <c r="J77">
        <v>3950.429931640625</v>
      </c>
      <c r="K77">
        <v>9.9300003051757813</v>
      </c>
      <c r="L77">
        <v>10.05000019073486</v>
      </c>
      <c r="M77">
        <v>3885.030029296875</v>
      </c>
      <c r="N77">
        <v>10.69999980926514</v>
      </c>
      <c r="O77">
        <v>10.72999954223633</v>
      </c>
      <c r="P77">
        <v>3939.610107421875</v>
      </c>
      <c r="Q77">
        <v>147465300</v>
      </c>
      <c r="R77">
        <v>26969600</v>
      </c>
      <c r="S77">
        <v>19428610000</v>
      </c>
      <c r="W77" s="373">
        <f t="shared" si="2"/>
        <v>-4.7393251359830524E-2</v>
      </c>
      <c r="X77" s="373">
        <f t="shared" si="2"/>
        <v>-3.8825842888363327E-2</v>
      </c>
      <c r="Y77" s="373">
        <f t="shared" si="2"/>
        <v>-7.1464629041616545E-3</v>
      </c>
    </row>
    <row r="78" spans="1:36">
      <c r="A78" s="396">
        <v>44249</v>
      </c>
      <c r="B78">
        <v>2.4155764579772949</v>
      </c>
      <c r="C78">
        <v>2.2629365921020508</v>
      </c>
      <c r="D78">
        <v>3811.14990234375</v>
      </c>
      <c r="E78">
        <v>7.929999828338623</v>
      </c>
      <c r="F78">
        <v>7.9000000953674316</v>
      </c>
      <c r="G78">
        <v>3811.14990234375</v>
      </c>
      <c r="H78">
        <v>9.0500001907348633</v>
      </c>
      <c r="I78">
        <v>9.1599998474121094</v>
      </c>
      <c r="J78">
        <v>3928.64990234375</v>
      </c>
      <c r="K78">
        <v>7.7699999809265137</v>
      </c>
      <c r="L78">
        <v>7.7800002098083496</v>
      </c>
      <c r="M78">
        <v>3789.5400390625</v>
      </c>
      <c r="N78">
        <v>7.880000114440918</v>
      </c>
      <c r="O78">
        <v>8.0200004577636719</v>
      </c>
      <c r="P78">
        <v>3885.550048828125</v>
      </c>
      <c r="Q78">
        <v>516686100</v>
      </c>
      <c r="R78">
        <v>78447900</v>
      </c>
      <c r="S78">
        <v>31300040000</v>
      </c>
      <c r="W78" s="373">
        <f t="shared" si="2"/>
        <v>-0.21094535980362994</v>
      </c>
      <c r="X78" s="373">
        <f t="shared" si="2"/>
        <v>-0.22167478959305431</v>
      </c>
      <c r="Y78" s="373">
        <f t="shared" si="2"/>
        <v>-2.446049477674006E-2</v>
      </c>
    </row>
    <row r="79" spans="1:36">
      <c r="A79" s="396">
        <v>44256</v>
      </c>
      <c r="B79">
        <v>2.363792896270752</v>
      </c>
      <c r="C79">
        <v>2.2543430328369141</v>
      </c>
      <c r="D79">
        <v>3841.93994140625</v>
      </c>
      <c r="E79">
        <v>7.7600002288818359</v>
      </c>
      <c r="F79">
        <v>7.869999885559082</v>
      </c>
      <c r="G79">
        <v>3841.93994140625</v>
      </c>
      <c r="H79">
        <v>8.2200002670288086</v>
      </c>
      <c r="I79">
        <v>8.1499996185302734</v>
      </c>
      <c r="J79">
        <v>3914.5</v>
      </c>
      <c r="K79">
        <v>7.1599998474121094</v>
      </c>
      <c r="L79">
        <v>7.0999999046325684</v>
      </c>
      <c r="M79">
        <v>3723.340087890625</v>
      </c>
      <c r="N79">
        <v>7.9499998092651367</v>
      </c>
      <c r="O79">
        <v>7.940000057220459</v>
      </c>
      <c r="P79">
        <v>3842.510009765625</v>
      </c>
      <c r="Q79">
        <v>389397800</v>
      </c>
      <c r="R79">
        <v>93680000</v>
      </c>
      <c r="S79">
        <v>30870960000</v>
      </c>
      <c r="W79" s="373">
        <f t="shared" si="2"/>
        <v>-2.1437351542126115E-2</v>
      </c>
      <c r="X79" s="373">
        <f t="shared" si="2"/>
        <v>-3.797525434486082E-3</v>
      </c>
      <c r="Y79" s="373">
        <f t="shared" si="2"/>
        <v>8.0789367648763655E-3</v>
      </c>
    </row>
    <row r="80" spans="1:36">
      <c r="A80" s="396">
        <v>44263</v>
      </c>
      <c r="B80">
        <v>2.473453044891357</v>
      </c>
      <c r="C80">
        <v>2.377515554428101</v>
      </c>
      <c r="D80">
        <v>3943.340087890625</v>
      </c>
      <c r="E80">
        <v>8.119999885559082</v>
      </c>
      <c r="F80">
        <v>8.3000001907348633</v>
      </c>
      <c r="G80">
        <v>3943.340087890625</v>
      </c>
      <c r="H80">
        <v>8.3400001525878906</v>
      </c>
      <c r="I80">
        <v>8.4499998092651367</v>
      </c>
      <c r="J80">
        <v>3960.27001953125</v>
      </c>
      <c r="K80">
        <v>7.059999942779541</v>
      </c>
      <c r="L80">
        <v>7.1100001335144043</v>
      </c>
      <c r="M80">
        <v>3819.25</v>
      </c>
      <c r="N80">
        <v>7.6100001335144043</v>
      </c>
      <c r="O80">
        <v>7.7100000381469727</v>
      </c>
      <c r="P80">
        <v>3844.389892578125</v>
      </c>
      <c r="Q80">
        <v>249008200</v>
      </c>
      <c r="R80">
        <v>68146200</v>
      </c>
      <c r="S80">
        <v>27021810000</v>
      </c>
      <c r="W80" s="373">
        <f t="shared" si="2"/>
        <v>4.6391605962438964E-2</v>
      </c>
      <c r="X80" s="373">
        <f t="shared" si="2"/>
        <v>5.4637878884024049E-2</v>
      </c>
      <c r="Y80" s="373">
        <f t="shared" si="2"/>
        <v>2.6392954609087305E-2</v>
      </c>
    </row>
    <row r="81" spans="1:25">
      <c r="A81" s="396">
        <v>44270</v>
      </c>
      <c r="B81">
        <v>2.5861597061157231</v>
      </c>
      <c r="C81">
        <v>2.4863655567169189</v>
      </c>
      <c r="D81">
        <v>3913.10009765625</v>
      </c>
      <c r="E81">
        <v>8.4899997711181641</v>
      </c>
      <c r="F81">
        <v>8.6800003051757813</v>
      </c>
      <c r="G81">
        <v>3913.10009765625</v>
      </c>
      <c r="H81">
        <v>8.6099996566772461</v>
      </c>
      <c r="I81">
        <v>8.7700004577636719</v>
      </c>
      <c r="J81">
        <v>3983.8701171875</v>
      </c>
      <c r="K81">
        <v>7.9899997711181641</v>
      </c>
      <c r="L81">
        <v>8.1599998474121094</v>
      </c>
      <c r="M81">
        <v>3886.75</v>
      </c>
      <c r="N81">
        <v>8.130000114440918</v>
      </c>
      <c r="O81">
        <v>8.2700004577636719</v>
      </c>
      <c r="P81">
        <v>3942.9599609375</v>
      </c>
      <c r="Q81">
        <v>145381400</v>
      </c>
      <c r="R81">
        <v>34479800</v>
      </c>
      <c r="S81">
        <v>26950850000</v>
      </c>
      <c r="W81" s="373">
        <f t="shared" si="2"/>
        <v>4.5566525492428234E-2</v>
      </c>
      <c r="X81" s="373">
        <f t="shared" si="2"/>
        <v>4.5783087343460593E-2</v>
      </c>
      <c r="Y81" s="373">
        <f t="shared" si="2"/>
        <v>-7.6686234411373899E-3</v>
      </c>
    </row>
    <row r="82" spans="1:25">
      <c r="A82" s="396">
        <v>44277</v>
      </c>
      <c r="B82">
        <v>2.4704067707061772</v>
      </c>
      <c r="C82">
        <v>2.3402776718139648</v>
      </c>
      <c r="D82">
        <v>3974.5400390625</v>
      </c>
      <c r="E82">
        <v>8.1099996566772461</v>
      </c>
      <c r="F82">
        <v>8.1700000762939453</v>
      </c>
      <c r="G82">
        <v>3974.5400390625</v>
      </c>
      <c r="H82">
        <v>8.4499998092651367</v>
      </c>
      <c r="I82">
        <v>8.6000003814697266</v>
      </c>
      <c r="J82">
        <v>3978.18994140625</v>
      </c>
      <c r="K82">
        <v>7.7399997711181641</v>
      </c>
      <c r="L82">
        <v>7.7899999618530273</v>
      </c>
      <c r="M82">
        <v>3853.5</v>
      </c>
      <c r="N82">
        <v>8.3400001525878906</v>
      </c>
      <c r="O82">
        <v>8.4799995422363281</v>
      </c>
      <c r="P82">
        <v>3916.47998046875</v>
      </c>
      <c r="Q82">
        <v>144986500</v>
      </c>
      <c r="R82">
        <v>46238400</v>
      </c>
      <c r="S82">
        <v>24199790000</v>
      </c>
      <c r="W82" s="373">
        <f t="shared" si="2"/>
        <v>-4.4758618400795092E-2</v>
      </c>
      <c r="X82" s="373">
        <f t="shared" si="2"/>
        <v>-5.8755593886143376E-2</v>
      </c>
      <c r="Y82" s="373">
        <f t="shared" si="2"/>
        <v>1.57010911739901E-2</v>
      </c>
    </row>
    <row r="83" spans="1:25">
      <c r="A83" s="396">
        <v>44284</v>
      </c>
      <c r="B83">
        <v>2.519145250320435</v>
      </c>
      <c r="C83">
        <v>2.3947024345397949</v>
      </c>
      <c r="D83">
        <v>4019.8701171875</v>
      </c>
      <c r="E83">
        <v>8.2700004577636719</v>
      </c>
      <c r="F83">
        <v>8.3599996566772461</v>
      </c>
      <c r="G83">
        <v>4019.8701171875</v>
      </c>
      <c r="H83">
        <v>8.5299997329711914</v>
      </c>
      <c r="I83">
        <v>8.5699996948242188</v>
      </c>
      <c r="J83">
        <v>4020.6298828125</v>
      </c>
      <c r="K83">
        <v>7.9600000381469727</v>
      </c>
      <c r="L83">
        <v>8.0200004577636719</v>
      </c>
      <c r="M83">
        <v>3943.25</v>
      </c>
      <c r="N83">
        <v>7.9800000190734863</v>
      </c>
      <c r="O83">
        <v>8.0500001907348633</v>
      </c>
      <c r="P83">
        <v>3969.31005859375</v>
      </c>
      <c r="Q83">
        <v>107213000</v>
      </c>
      <c r="R83">
        <v>27256000</v>
      </c>
      <c r="S83">
        <v>17489870000</v>
      </c>
      <c r="W83" s="373">
        <f t="shared" si="2"/>
        <v>1.9728928932754464E-2</v>
      </c>
      <c r="X83" s="373">
        <f t="shared" si="2"/>
        <v>2.3255686015944077E-2</v>
      </c>
      <c r="Y83" s="373">
        <f t="shared" si="2"/>
        <v>1.1405112963887021E-2</v>
      </c>
    </row>
    <row r="84" spans="1:25">
      <c r="A84" s="396">
        <v>44291</v>
      </c>
      <c r="B84">
        <v>2.5252375602722168</v>
      </c>
      <c r="C84">
        <v>2.3918378353118901</v>
      </c>
      <c r="D84">
        <v>4128.7998046875</v>
      </c>
      <c r="E84">
        <v>8.2899999618530273</v>
      </c>
      <c r="F84">
        <v>8.3500003814697266</v>
      </c>
      <c r="G84">
        <v>4128.7998046875</v>
      </c>
      <c r="H84">
        <v>8.5299997329711914</v>
      </c>
      <c r="I84">
        <v>8.6700000762939453</v>
      </c>
      <c r="J84">
        <v>4129.47998046875</v>
      </c>
      <c r="K84">
        <v>8.2100000381469727</v>
      </c>
      <c r="L84">
        <v>8.2899999618530273</v>
      </c>
      <c r="M84">
        <v>4034.43994140625</v>
      </c>
      <c r="N84">
        <v>8.3999996185302734</v>
      </c>
      <c r="O84">
        <v>8.4799995422363281</v>
      </c>
      <c r="P84">
        <v>4034.43994140625</v>
      </c>
      <c r="Q84">
        <v>145295200</v>
      </c>
      <c r="R84">
        <v>38262800</v>
      </c>
      <c r="S84">
        <v>19754600000</v>
      </c>
      <c r="W84" s="373">
        <f t="shared" si="2"/>
        <v>2.4184036037646628E-3</v>
      </c>
      <c r="X84" s="373">
        <f t="shared" si="2"/>
        <v>-1.1962234583251519E-3</v>
      </c>
      <c r="Y84" s="373">
        <f t="shared" si="2"/>
        <v>2.7097812696548651E-2</v>
      </c>
    </row>
    <row r="85" spans="1:25">
      <c r="A85" s="396">
        <v>44298</v>
      </c>
      <c r="B85">
        <v>2.473453044891357</v>
      </c>
      <c r="C85">
        <v>2.3402776718139648</v>
      </c>
      <c r="D85">
        <v>4185.47021484375</v>
      </c>
      <c r="E85">
        <v>8.119999885559082</v>
      </c>
      <c r="F85">
        <v>8.1700000762939453</v>
      </c>
      <c r="G85">
        <v>4185.47021484375</v>
      </c>
      <c r="H85">
        <v>8.5699996948242188</v>
      </c>
      <c r="I85">
        <v>8.6099996566772461</v>
      </c>
      <c r="J85">
        <v>4191.31005859375</v>
      </c>
      <c r="K85">
        <v>7.9099998474121094</v>
      </c>
      <c r="L85">
        <v>8.0299997329711914</v>
      </c>
      <c r="M85">
        <v>4114.81982421875</v>
      </c>
      <c r="N85">
        <v>8.4499998092651367</v>
      </c>
      <c r="O85">
        <v>8.5200004577636719</v>
      </c>
      <c r="P85">
        <v>4124.7099609375</v>
      </c>
      <c r="Q85">
        <v>146544100</v>
      </c>
      <c r="R85">
        <v>40399200</v>
      </c>
      <c r="S85">
        <v>19506210000</v>
      </c>
      <c r="W85" s="373">
        <f t="shared" si="2"/>
        <v>-2.0506789616766774E-2</v>
      </c>
      <c r="X85" s="373">
        <f t="shared" si="2"/>
        <v>-2.1556713727292398E-2</v>
      </c>
      <c r="Y85" s="373">
        <f t="shared" si="2"/>
        <v>1.3725637676089475E-2</v>
      </c>
    </row>
    <row r="86" spans="1:25">
      <c r="A86" s="396">
        <v>44305</v>
      </c>
      <c r="B86">
        <v>2.660553932189941</v>
      </c>
      <c r="C86">
        <v>2.5448276996612549</v>
      </c>
      <c r="D86">
        <v>4180.169921875</v>
      </c>
      <c r="E86">
        <v>8.4399995803833008</v>
      </c>
      <c r="F86">
        <v>8.5799999237060547</v>
      </c>
      <c r="G86">
        <v>4180.169921875</v>
      </c>
      <c r="H86">
        <v>8.7299995422363281</v>
      </c>
      <c r="I86">
        <v>8.9600000381469727</v>
      </c>
      <c r="J86">
        <v>4194.169921875</v>
      </c>
      <c r="K86">
        <v>8.0200004577636719</v>
      </c>
      <c r="L86">
        <v>8.1099996566772461</v>
      </c>
      <c r="M86">
        <v>4118.3798828125</v>
      </c>
      <c r="N86">
        <v>8.0399999618530273</v>
      </c>
      <c r="O86">
        <v>8.1099996566772461</v>
      </c>
      <c r="P86">
        <v>4179.7998046875</v>
      </c>
      <c r="Q86">
        <v>165099900</v>
      </c>
      <c r="R86">
        <v>60181200</v>
      </c>
      <c r="S86">
        <v>19855210000</v>
      </c>
      <c r="W86" s="373">
        <f t="shared" si="2"/>
        <v>7.5643597797427464E-2</v>
      </c>
      <c r="X86" s="373">
        <f t="shared" si="2"/>
        <v>8.7404170159322225E-2</v>
      </c>
      <c r="Y86" s="373">
        <f t="shared" si="2"/>
        <v>-1.2663554383812725E-3</v>
      </c>
    </row>
    <row r="87" spans="1:25">
      <c r="A87" s="396">
        <v>44312</v>
      </c>
      <c r="B87">
        <v>2.6731631755828862</v>
      </c>
      <c r="C87">
        <v>2.5655896663665771</v>
      </c>
      <c r="D87">
        <v>4181.169921875</v>
      </c>
      <c r="E87">
        <v>8.4799995422363281</v>
      </c>
      <c r="F87">
        <v>8.6499996185302734</v>
      </c>
      <c r="G87">
        <v>4181.169921875</v>
      </c>
      <c r="H87">
        <v>8.8400001525878906</v>
      </c>
      <c r="I87">
        <v>8.9600000381469727</v>
      </c>
      <c r="J87">
        <v>4218.77978515625</v>
      </c>
      <c r="K87">
        <v>8.2600002288818359</v>
      </c>
      <c r="L87">
        <v>8.4300003051757813</v>
      </c>
      <c r="M87">
        <v>4174.85009765625</v>
      </c>
      <c r="N87">
        <v>8.5100002288818359</v>
      </c>
      <c r="O87">
        <v>8.6800003051757813</v>
      </c>
      <c r="P87">
        <v>4185.02978515625</v>
      </c>
      <c r="Q87">
        <v>134973100</v>
      </c>
      <c r="R87">
        <v>49552100</v>
      </c>
      <c r="S87">
        <v>19845940000</v>
      </c>
      <c r="W87" s="373">
        <f t="shared" si="2"/>
        <v>4.7393301223428441E-3</v>
      </c>
      <c r="X87" s="373">
        <f t="shared" si="2"/>
        <v>8.1584960380955973E-3</v>
      </c>
      <c r="Y87" s="373">
        <f t="shared" si="2"/>
        <v>2.3922472499671166E-4</v>
      </c>
    </row>
    <row r="88" spans="1:25">
      <c r="A88" s="396">
        <v>44319</v>
      </c>
      <c r="B88">
        <v>2.8591504096984859</v>
      </c>
      <c r="C88">
        <v>2.7494816780090332</v>
      </c>
      <c r="D88">
        <v>4232.60009765625</v>
      </c>
      <c r="E88">
        <v>9.0699996948242188</v>
      </c>
      <c r="F88">
        <v>9.2700004577636719</v>
      </c>
      <c r="G88">
        <v>4232.60009765625</v>
      </c>
      <c r="H88">
        <v>9.1000003814697266</v>
      </c>
      <c r="I88">
        <v>9.3199996948242188</v>
      </c>
      <c r="J88">
        <v>4238.0400390625</v>
      </c>
      <c r="K88">
        <v>8.25</v>
      </c>
      <c r="L88">
        <v>8.3900003433227539</v>
      </c>
      <c r="M88">
        <v>4128.58984375</v>
      </c>
      <c r="N88">
        <v>8.4899997711181641</v>
      </c>
      <c r="O88">
        <v>8.6899995803833008</v>
      </c>
      <c r="P88">
        <v>4191.97998046875</v>
      </c>
      <c r="Q88">
        <v>152938900</v>
      </c>
      <c r="R88">
        <v>51798600</v>
      </c>
      <c r="S88">
        <v>21280680000</v>
      </c>
      <c r="W88" s="373">
        <f t="shared" si="2"/>
        <v>6.9575713078213086E-2</v>
      </c>
      <c r="X88" s="373">
        <f t="shared" si="2"/>
        <v>7.167631443686262E-2</v>
      </c>
      <c r="Y88" s="373">
        <f t="shared" si="2"/>
        <v>1.23004270915128E-2</v>
      </c>
    </row>
    <row r="89" spans="1:25">
      <c r="A89" s="396">
        <v>44326</v>
      </c>
      <c r="B89">
        <v>3.05144214630127</v>
      </c>
      <c r="C89">
        <v>2.9452381134033199</v>
      </c>
      <c r="D89">
        <v>4173.85009765625</v>
      </c>
      <c r="E89">
        <v>9.6800003051757813</v>
      </c>
      <c r="F89">
        <v>9.9300003051757813</v>
      </c>
      <c r="G89">
        <v>4173.85009765625</v>
      </c>
      <c r="H89">
        <v>9.7299995422363281</v>
      </c>
      <c r="I89">
        <v>9.9799995422363281</v>
      </c>
      <c r="J89">
        <v>4236.39013671875</v>
      </c>
      <c r="K89">
        <v>8.9499998092651367</v>
      </c>
      <c r="L89">
        <v>9.119999885559082</v>
      </c>
      <c r="M89">
        <v>4056.8798828125</v>
      </c>
      <c r="N89">
        <v>9.2200002670288086</v>
      </c>
      <c r="O89">
        <v>9.4399995803833008</v>
      </c>
      <c r="P89">
        <v>4228.2900390625</v>
      </c>
      <c r="Q89">
        <v>191923300</v>
      </c>
      <c r="R89">
        <v>81323600</v>
      </c>
      <c r="S89">
        <v>22952900000</v>
      </c>
      <c r="W89" s="373">
        <f t="shared" si="2"/>
        <v>6.7254851633727908E-2</v>
      </c>
      <c r="X89" s="373">
        <f t="shared" si="2"/>
        <v>7.119757769618551E-2</v>
      </c>
      <c r="Y89" s="373">
        <f t="shared" si="2"/>
        <v>-1.3880356906983082E-2</v>
      </c>
    </row>
    <row r="90" spans="1:25">
      <c r="A90" s="396">
        <v>44333</v>
      </c>
      <c r="B90">
        <v>2.9694819450378418</v>
      </c>
      <c r="C90">
        <v>2.871088027954102</v>
      </c>
      <c r="D90">
        <v>4155.85986328125</v>
      </c>
      <c r="E90">
        <v>9.4200000762939453</v>
      </c>
      <c r="F90">
        <v>9.6800003051757813</v>
      </c>
      <c r="G90">
        <v>4155.85986328125</v>
      </c>
      <c r="H90">
        <v>9.8599996566772461</v>
      </c>
      <c r="I90">
        <v>10.14000034332275</v>
      </c>
      <c r="J90">
        <v>4188.72021484375</v>
      </c>
      <c r="K90">
        <v>9.4099998474121094</v>
      </c>
      <c r="L90">
        <v>9.6499996185302734</v>
      </c>
      <c r="M90">
        <v>4061.409912109375</v>
      </c>
      <c r="N90">
        <v>9.6400003433227539</v>
      </c>
      <c r="O90">
        <v>9.8599996566772461</v>
      </c>
      <c r="P90">
        <v>4169.919921875</v>
      </c>
      <c r="Q90">
        <v>138860900</v>
      </c>
      <c r="R90">
        <v>68594700</v>
      </c>
      <c r="S90">
        <v>20744780000</v>
      </c>
      <c r="W90" s="373">
        <f t="shared" si="2"/>
        <v>-2.6859497029224078E-2</v>
      </c>
      <c r="X90" s="373">
        <f t="shared" si="2"/>
        <v>-2.5176261678732326E-2</v>
      </c>
      <c r="Y90" s="373">
        <f t="shared" si="2"/>
        <v>-4.3102253205264951E-3</v>
      </c>
    </row>
    <row r="91" spans="1:25">
      <c r="A91" s="396">
        <v>44340</v>
      </c>
      <c r="B91">
        <v>3.218514204025269</v>
      </c>
      <c r="C91">
        <v>3.0579459667205811</v>
      </c>
      <c r="D91">
        <v>4204.10986328125</v>
      </c>
      <c r="E91">
        <v>10.210000038146971</v>
      </c>
      <c r="F91">
        <v>10.310000419616699</v>
      </c>
      <c r="G91">
        <v>4204.10986328125</v>
      </c>
      <c r="H91">
        <v>10.239999771118161</v>
      </c>
      <c r="I91">
        <v>10.329999923706049</v>
      </c>
      <c r="J91">
        <v>4218.35986328125</v>
      </c>
      <c r="K91">
        <v>9.3400001525878906</v>
      </c>
      <c r="L91">
        <v>9.5900001525878906</v>
      </c>
      <c r="M91">
        <v>4170.16015625</v>
      </c>
      <c r="N91">
        <v>9.5200004577636719</v>
      </c>
      <c r="O91">
        <v>9.7799997329711914</v>
      </c>
      <c r="P91">
        <v>4170.16015625</v>
      </c>
      <c r="Q91">
        <v>148085900</v>
      </c>
      <c r="R91">
        <v>50740500</v>
      </c>
      <c r="S91">
        <v>23343500000</v>
      </c>
      <c r="W91" s="373">
        <f t="shared" si="2"/>
        <v>8.3863873765446906E-2</v>
      </c>
      <c r="X91" s="373">
        <f t="shared" si="2"/>
        <v>6.5082622666791323E-2</v>
      </c>
      <c r="Y91" s="373">
        <f t="shared" si="2"/>
        <v>1.1610112368395376E-2</v>
      </c>
    </row>
    <row r="92" spans="1:25">
      <c r="A92" s="396">
        <v>44347</v>
      </c>
      <c r="B92">
        <v>3.6535344123840332</v>
      </c>
      <c r="C92">
        <v>3.3634438514709468</v>
      </c>
      <c r="D92">
        <v>4229.89013671875</v>
      </c>
      <c r="E92">
        <v>11.590000152587891</v>
      </c>
      <c r="F92">
        <v>11.340000152587891</v>
      </c>
      <c r="G92">
        <v>4229.89013671875</v>
      </c>
      <c r="H92">
        <v>11.61999988555908</v>
      </c>
      <c r="I92">
        <v>11.340000152587891</v>
      </c>
      <c r="J92">
        <v>4234.1201171875</v>
      </c>
      <c r="K92">
        <v>10.329999923706049</v>
      </c>
      <c r="L92">
        <v>10.420000076293951</v>
      </c>
      <c r="M92">
        <v>4167.93017578125</v>
      </c>
      <c r="N92">
        <v>10.539999961853029</v>
      </c>
      <c r="O92">
        <v>10.64999961853027</v>
      </c>
      <c r="P92">
        <v>4216.52001953125</v>
      </c>
      <c r="Q92">
        <v>292234500</v>
      </c>
      <c r="R92">
        <v>57297700</v>
      </c>
      <c r="S92">
        <v>20636100000</v>
      </c>
      <c r="W92" s="373">
        <f t="shared" si="2"/>
        <v>0.13516181094204938</v>
      </c>
      <c r="X92" s="373">
        <f t="shared" si="2"/>
        <v>9.9902970188184614E-2</v>
      </c>
      <c r="Y92" s="373">
        <f t="shared" si="2"/>
        <v>6.1321597855148458E-3</v>
      </c>
    </row>
    <row r="93" spans="1:25">
      <c r="A93" s="396">
        <v>44354</v>
      </c>
      <c r="B93">
        <v>3.6125543117523189</v>
      </c>
      <c r="C93">
        <v>3.3041236400604248</v>
      </c>
      <c r="D93">
        <v>4247.43994140625</v>
      </c>
      <c r="E93">
        <v>11.460000038146971</v>
      </c>
      <c r="F93">
        <v>11.14000034332275</v>
      </c>
      <c r="G93">
        <v>4247.43994140625</v>
      </c>
      <c r="H93">
        <v>11.88000011444092</v>
      </c>
      <c r="I93">
        <v>11.510000228881839</v>
      </c>
      <c r="J93">
        <v>4249.740234375</v>
      </c>
      <c r="K93">
        <v>11.22000026702881</v>
      </c>
      <c r="L93">
        <v>11</v>
      </c>
      <c r="M93">
        <v>4208.41015625</v>
      </c>
      <c r="N93">
        <v>11.35000038146973</v>
      </c>
      <c r="O93">
        <v>11.13000011444092</v>
      </c>
      <c r="P93">
        <v>4229.33984375</v>
      </c>
      <c r="Q93">
        <v>296160300</v>
      </c>
      <c r="R93">
        <v>60178000</v>
      </c>
      <c r="S93">
        <v>22073020000</v>
      </c>
      <c r="W93" s="373">
        <f t="shared" si="2"/>
        <v>-1.1216563471472485E-2</v>
      </c>
      <c r="X93" s="373">
        <f t="shared" si="2"/>
        <v>-1.7636747937557873E-2</v>
      </c>
      <c r="Y93" s="373">
        <f t="shared" si="2"/>
        <v>4.1489977565030145E-3</v>
      </c>
    </row>
    <row r="94" spans="1:25">
      <c r="A94" s="396">
        <v>44361</v>
      </c>
      <c r="B94">
        <v>3.5841832160949711</v>
      </c>
      <c r="C94">
        <v>3.2981917858123779</v>
      </c>
      <c r="D94">
        <v>4166.4501953125</v>
      </c>
      <c r="E94">
        <v>11.36999988555908</v>
      </c>
      <c r="F94">
        <v>11.11999988555908</v>
      </c>
      <c r="G94">
        <v>4166.4501953125</v>
      </c>
      <c r="H94">
        <v>11.85999965667725</v>
      </c>
      <c r="I94">
        <v>11.61999988555908</v>
      </c>
      <c r="J94">
        <v>4257.16015625</v>
      </c>
      <c r="K94">
        <v>11.19999980926514</v>
      </c>
      <c r="L94">
        <v>11.05000019073486</v>
      </c>
      <c r="M94">
        <v>4164.39990234375</v>
      </c>
      <c r="N94">
        <v>11.739999771118161</v>
      </c>
      <c r="O94">
        <v>11.44999980926514</v>
      </c>
      <c r="P94">
        <v>4248.31005859375</v>
      </c>
      <c r="Q94">
        <v>150602200</v>
      </c>
      <c r="R94">
        <v>51784100</v>
      </c>
      <c r="S94">
        <v>24868180000</v>
      </c>
      <c r="W94" s="373">
        <f t="shared" si="2"/>
        <v>-7.8534724211761775E-3</v>
      </c>
      <c r="X94" s="373">
        <f t="shared" si="2"/>
        <v>-1.7952882198858378E-3</v>
      </c>
      <c r="Y94" s="373">
        <f t="shared" si="2"/>
        <v>-1.9067896712139487E-2</v>
      </c>
    </row>
    <row r="95" spans="1:25">
      <c r="A95" s="396">
        <v>44368</v>
      </c>
      <c r="B95">
        <v>3.7670166492462158</v>
      </c>
      <c r="C95">
        <v>3.4909813404083252</v>
      </c>
      <c r="D95">
        <v>4280.7001953125</v>
      </c>
      <c r="E95">
        <v>11.94999980926514</v>
      </c>
      <c r="F95">
        <v>11.77000045776367</v>
      </c>
      <c r="G95">
        <v>4280.7001953125</v>
      </c>
      <c r="H95">
        <v>12.25</v>
      </c>
      <c r="I95">
        <v>12.069999694824221</v>
      </c>
      <c r="J95">
        <v>4286.1201171875</v>
      </c>
      <c r="K95">
        <v>11.439999580383301</v>
      </c>
      <c r="L95">
        <v>11.25</v>
      </c>
      <c r="M95">
        <v>4173.39990234375</v>
      </c>
      <c r="N95">
        <v>11.55000019073486</v>
      </c>
      <c r="O95">
        <v>11.35000038146973</v>
      </c>
      <c r="P95">
        <v>4173.39990234375</v>
      </c>
      <c r="Q95">
        <v>163262700</v>
      </c>
      <c r="R95">
        <v>54716300</v>
      </c>
      <c r="S95">
        <v>22845800000</v>
      </c>
      <c r="W95" s="373">
        <f t="shared" si="2"/>
        <v>5.1011185011475169E-2</v>
      </c>
      <c r="X95" s="373">
        <f t="shared" si="2"/>
        <v>5.8453106161157065E-2</v>
      </c>
      <c r="Y95" s="373">
        <f t="shared" si="2"/>
        <v>2.7421424628701452E-2</v>
      </c>
    </row>
    <row r="96" spans="1:25">
      <c r="A96" s="396">
        <v>44375</v>
      </c>
      <c r="B96">
        <v>3.7575607299804692</v>
      </c>
      <c r="C96">
        <v>3.41089916229248</v>
      </c>
      <c r="D96">
        <v>4352.33984375</v>
      </c>
      <c r="E96">
        <v>11.920000076293951</v>
      </c>
      <c r="F96">
        <v>11.5</v>
      </c>
      <c r="G96">
        <v>4352.33984375</v>
      </c>
      <c r="H96">
        <v>12.38000011444092</v>
      </c>
      <c r="I96">
        <v>11.989999771118161</v>
      </c>
      <c r="J96">
        <v>4355.43017578125</v>
      </c>
      <c r="K96">
        <v>11.61999988555908</v>
      </c>
      <c r="L96">
        <v>11.30000019073486</v>
      </c>
      <c r="M96">
        <v>4274.669921875</v>
      </c>
      <c r="N96">
        <v>11.930000305175779</v>
      </c>
      <c r="O96">
        <v>11.77999973297119</v>
      </c>
      <c r="P96">
        <v>4284.89990234375</v>
      </c>
      <c r="Q96">
        <v>166163000</v>
      </c>
      <c r="R96">
        <v>61403000</v>
      </c>
      <c r="S96">
        <v>19135150000</v>
      </c>
      <c r="W96" s="373">
        <f t="shared" si="2"/>
        <v>-2.5101878080732165E-3</v>
      </c>
      <c r="X96" s="373">
        <f t="shared" si="2"/>
        <v>-2.2939732501256582E-2</v>
      </c>
      <c r="Y96" s="373">
        <f t="shared" si="2"/>
        <v>1.6735497738418426E-2</v>
      </c>
    </row>
    <row r="97" spans="1:25">
      <c r="A97" s="396">
        <v>44382</v>
      </c>
      <c r="B97">
        <v>3.4328725337982182</v>
      </c>
      <c r="C97">
        <v>3.111333847045898</v>
      </c>
      <c r="D97">
        <v>4369.5498046875</v>
      </c>
      <c r="E97">
        <v>10.89000034332275</v>
      </c>
      <c r="F97">
        <v>10.489999771118161</v>
      </c>
      <c r="G97">
        <v>4369.5498046875</v>
      </c>
      <c r="H97">
        <v>11.52000045776367</v>
      </c>
      <c r="I97">
        <v>11.10999965667725</v>
      </c>
      <c r="J97">
        <v>4371.60009765625</v>
      </c>
      <c r="K97">
        <v>10.590000152587891</v>
      </c>
      <c r="L97">
        <v>10.260000228881839</v>
      </c>
      <c r="M97">
        <v>4289.3701171875</v>
      </c>
      <c r="N97">
        <v>11.439999580383301</v>
      </c>
      <c r="O97">
        <v>11.039999961853029</v>
      </c>
      <c r="P97">
        <v>4356.4599609375</v>
      </c>
      <c r="Q97">
        <v>113227800</v>
      </c>
      <c r="R97">
        <v>39589000</v>
      </c>
      <c r="S97">
        <v>16225570000</v>
      </c>
      <c r="W97" s="373">
        <f t="shared" si="2"/>
        <v>-8.6409301010535788E-2</v>
      </c>
      <c r="X97" s="373">
        <f t="shared" si="2"/>
        <v>-8.782590777185062E-2</v>
      </c>
      <c r="Y97" s="373">
        <f t="shared" si="2"/>
        <v>3.9541859219043296E-3</v>
      </c>
    </row>
    <row r="98" spans="1:25">
      <c r="A98" s="396">
        <v>44389</v>
      </c>
      <c r="B98">
        <v>3.3666737079620361</v>
      </c>
      <c r="C98">
        <v>3.0787076950073242</v>
      </c>
      <c r="D98">
        <v>4327.16015625</v>
      </c>
      <c r="E98">
        <v>10.680000305175779</v>
      </c>
      <c r="F98">
        <v>10.38000011444092</v>
      </c>
      <c r="G98">
        <v>4327.16015625</v>
      </c>
      <c r="H98">
        <v>11.39000034332275</v>
      </c>
      <c r="I98">
        <v>11.02000045776367</v>
      </c>
      <c r="J98">
        <v>4393.68017578125</v>
      </c>
      <c r="K98">
        <v>10.539999961853029</v>
      </c>
      <c r="L98">
        <v>10.340000152587891</v>
      </c>
      <c r="M98">
        <v>4322.52978515625</v>
      </c>
      <c r="N98">
        <v>10.80000019073486</v>
      </c>
      <c r="O98">
        <v>10.409999847412109</v>
      </c>
      <c r="P98">
        <v>4372.41015625</v>
      </c>
      <c r="Q98">
        <v>101616400</v>
      </c>
      <c r="R98">
        <v>36805600</v>
      </c>
      <c r="S98">
        <v>18977190000</v>
      </c>
      <c r="W98" s="373">
        <f t="shared" si="2"/>
        <v>-1.9283799553995729E-2</v>
      </c>
      <c r="X98" s="373">
        <f t="shared" si="2"/>
        <v>-1.0486226693272149E-2</v>
      </c>
      <c r="Y98" s="373">
        <f t="shared" si="2"/>
        <v>-9.7011477914785704E-3</v>
      </c>
    </row>
    <row r="99" spans="1:25">
      <c r="A99" s="396">
        <v>44396</v>
      </c>
      <c r="B99">
        <v>3.3225407600402832</v>
      </c>
      <c r="C99">
        <v>3.0282857418060298</v>
      </c>
      <c r="D99">
        <v>4411.7900390625</v>
      </c>
      <c r="E99">
        <v>10.539999961853029</v>
      </c>
      <c r="F99">
        <v>10.210000038146971</v>
      </c>
      <c r="G99">
        <v>4411.7900390625</v>
      </c>
      <c r="H99">
        <v>10.789999961853029</v>
      </c>
      <c r="I99">
        <v>10.460000038146971</v>
      </c>
      <c r="J99">
        <v>4415.18017578125</v>
      </c>
      <c r="K99">
        <v>9.9799995422363281</v>
      </c>
      <c r="L99">
        <v>9.7600002288818359</v>
      </c>
      <c r="M99">
        <v>4233.1298828125</v>
      </c>
      <c r="N99">
        <v>10.35999965667725</v>
      </c>
      <c r="O99">
        <v>10.069999694824221</v>
      </c>
      <c r="P99">
        <v>4296.39990234375</v>
      </c>
      <c r="Q99">
        <v>106474500</v>
      </c>
      <c r="R99">
        <v>41540800</v>
      </c>
      <c r="S99">
        <v>21304580000</v>
      </c>
      <c r="W99" s="373">
        <f t="shared" si="2"/>
        <v>-1.3108768995753972E-2</v>
      </c>
      <c r="X99" s="373">
        <f t="shared" si="2"/>
        <v>-1.6377635747317765E-2</v>
      </c>
      <c r="Y99" s="373">
        <f t="shared" si="2"/>
        <v>1.9557834643643579E-2</v>
      </c>
    </row>
    <row r="100" spans="1:25">
      <c r="A100" s="396">
        <v>44403</v>
      </c>
      <c r="B100">
        <v>3.3635208606719971</v>
      </c>
      <c r="C100">
        <v>3.043115615844727</v>
      </c>
      <c r="D100">
        <v>4395.259765625</v>
      </c>
      <c r="E100">
        <v>10.670000076293951</v>
      </c>
      <c r="F100">
        <v>10.260000228881839</v>
      </c>
      <c r="G100">
        <v>4395.259765625</v>
      </c>
      <c r="H100">
        <v>11.27999973297119</v>
      </c>
      <c r="I100">
        <v>11.02000045776367</v>
      </c>
      <c r="J100">
        <v>4429.97021484375</v>
      </c>
      <c r="K100">
        <v>10.55000019073486</v>
      </c>
      <c r="L100">
        <v>10.25</v>
      </c>
      <c r="M100">
        <v>4372.509765625</v>
      </c>
      <c r="N100">
        <v>10.55000019073486</v>
      </c>
      <c r="O100">
        <v>10.25</v>
      </c>
      <c r="P100">
        <v>4409.580078125</v>
      </c>
      <c r="Q100">
        <v>97434700</v>
      </c>
      <c r="R100">
        <v>49748900</v>
      </c>
      <c r="S100">
        <v>20734210000</v>
      </c>
      <c r="W100" s="373">
        <f t="shared" si="2"/>
        <v>1.2333964755098181E-2</v>
      </c>
      <c r="X100" s="373">
        <f t="shared" si="2"/>
        <v>4.8971184700201675E-3</v>
      </c>
      <c r="Y100" s="373">
        <f t="shared" si="2"/>
        <v>-3.746840464106227E-3</v>
      </c>
    </row>
    <row r="101" spans="1:25">
      <c r="A101" s="396">
        <v>44410</v>
      </c>
      <c r="B101">
        <v>3.5242888927459721</v>
      </c>
      <c r="C101">
        <v>3.209211111068726</v>
      </c>
      <c r="D101">
        <v>4436.52001953125</v>
      </c>
      <c r="E101">
        <v>11.180000305175779</v>
      </c>
      <c r="F101">
        <v>10.819999694824221</v>
      </c>
      <c r="G101">
        <v>4436.52001953125</v>
      </c>
      <c r="H101">
        <v>11.689999580383301</v>
      </c>
      <c r="I101">
        <v>11.30000019073486</v>
      </c>
      <c r="J101">
        <v>4440.81982421875</v>
      </c>
      <c r="K101">
        <v>10.11999988555908</v>
      </c>
      <c r="L101">
        <v>9.7799997329711914</v>
      </c>
      <c r="M101">
        <v>4373</v>
      </c>
      <c r="N101">
        <v>10.810000419616699</v>
      </c>
      <c r="O101">
        <v>10.460000038146971</v>
      </c>
      <c r="P101">
        <v>4406.85986328125</v>
      </c>
      <c r="Q101">
        <v>196333400</v>
      </c>
      <c r="R101">
        <v>68858800</v>
      </c>
      <c r="S101">
        <v>19171320000</v>
      </c>
      <c r="W101" s="373">
        <f t="shared" si="2"/>
        <v>4.779754273379333E-2</v>
      </c>
      <c r="X101" s="373">
        <f t="shared" si="2"/>
        <v>5.4580737701578563E-2</v>
      </c>
      <c r="Y101" s="373">
        <f t="shared" si="2"/>
        <v>9.3874437704326574E-3</v>
      </c>
    </row>
    <row r="102" spans="1:25">
      <c r="A102" s="396">
        <v>44417</v>
      </c>
      <c r="B102">
        <v>3.5747261047363281</v>
      </c>
      <c r="C102">
        <v>3.3130216598510742</v>
      </c>
      <c r="D102">
        <v>4468</v>
      </c>
      <c r="E102">
        <v>11.340000152587891</v>
      </c>
      <c r="F102">
        <v>11.170000076293951</v>
      </c>
      <c r="G102">
        <v>4468</v>
      </c>
      <c r="H102">
        <v>11.47999954223633</v>
      </c>
      <c r="I102">
        <v>11.27999973297119</v>
      </c>
      <c r="J102">
        <v>4468.3701171875</v>
      </c>
      <c r="K102">
        <v>10.72999954223633</v>
      </c>
      <c r="L102">
        <v>10.44999980926514</v>
      </c>
      <c r="M102">
        <v>4424.740234375</v>
      </c>
      <c r="N102">
        <v>11</v>
      </c>
      <c r="O102">
        <v>10.69999980926514</v>
      </c>
      <c r="P102">
        <v>4437.77001953125</v>
      </c>
      <c r="Q102">
        <v>120281400</v>
      </c>
      <c r="R102">
        <v>75056200</v>
      </c>
      <c r="S102">
        <v>17260230000</v>
      </c>
      <c r="W102" s="373">
        <f t="shared" si="2"/>
        <v>1.4311315991765161E-2</v>
      </c>
      <c r="X102" s="373">
        <f t="shared" si="2"/>
        <v>3.2347684583385883E-2</v>
      </c>
      <c r="Y102" s="373">
        <f t="shared" si="2"/>
        <v>7.0956471130894094E-3</v>
      </c>
    </row>
    <row r="103" spans="1:25">
      <c r="A103" s="396">
        <v>44424</v>
      </c>
      <c r="B103">
        <v>3.183838844299316</v>
      </c>
      <c r="C103">
        <v>2.9215102195739751</v>
      </c>
      <c r="D103">
        <v>4441.669921875</v>
      </c>
      <c r="E103">
        <v>10.10000038146973</v>
      </c>
      <c r="F103">
        <v>9.8500003814697266</v>
      </c>
      <c r="G103">
        <v>4441.669921875</v>
      </c>
      <c r="H103">
        <v>11.27000045776367</v>
      </c>
      <c r="I103">
        <v>11.02999973297119</v>
      </c>
      <c r="J103">
        <v>4480.259765625</v>
      </c>
      <c r="K103">
        <v>9.7600002288818359</v>
      </c>
      <c r="L103">
        <v>9.5399999618530273</v>
      </c>
      <c r="M103">
        <v>4367.72998046875</v>
      </c>
      <c r="N103">
        <v>11.239999771118161</v>
      </c>
      <c r="O103">
        <v>11.02000045776367</v>
      </c>
      <c r="P103">
        <v>4461.64990234375</v>
      </c>
      <c r="Q103">
        <v>119560100</v>
      </c>
      <c r="R103">
        <v>63744700</v>
      </c>
      <c r="S103">
        <v>19014210000</v>
      </c>
      <c r="W103" s="373">
        <f t="shared" si="2"/>
        <v>-0.10934747138224288</v>
      </c>
      <c r="X103" s="373">
        <f t="shared" si="2"/>
        <v>-0.11817352268523906</v>
      </c>
      <c r="Y103" s="373">
        <f t="shared" si="2"/>
        <v>-5.8930344952998759E-3</v>
      </c>
    </row>
    <row r="104" spans="1:25">
      <c r="A104" s="396">
        <v>44431</v>
      </c>
      <c r="B104">
        <v>3.7421658039093022</v>
      </c>
      <c r="C104">
        <v>3.433769702911377</v>
      </c>
      <c r="D104">
        <v>4509.3701171875</v>
      </c>
      <c r="E104">
        <v>11.210000038146971</v>
      </c>
      <c r="F104">
        <v>10.920000076293951</v>
      </c>
      <c r="G104">
        <v>4509.3701171875</v>
      </c>
      <c r="H104">
        <v>11.22000026702881</v>
      </c>
      <c r="I104">
        <v>10.930000305175779</v>
      </c>
      <c r="J104">
        <v>4513.330078125</v>
      </c>
      <c r="K104">
        <v>10.210000038146971</v>
      </c>
      <c r="L104">
        <v>9.9499998092651367</v>
      </c>
      <c r="M104">
        <v>4450.2900390625</v>
      </c>
      <c r="N104">
        <v>10.239999771118161</v>
      </c>
      <c r="O104">
        <v>10</v>
      </c>
      <c r="P104">
        <v>4450.2900390625</v>
      </c>
      <c r="Q104">
        <v>107676500</v>
      </c>
      <c r="R104">
        <v>50915800</v>
      </c>
      <c r="S104">
        <v>17595630000</v>
      </c>
      <c r="W104" s="373">
        <f t="shared" si="2"/>
        <v>0.17536282045483365</v>
      </c>
      <c r="X104" s="373">
        <f t="shared" si="2"/>
        <v>0.17534064399476978</v>
      </c>
      <c r="Y104" s="373">
        <f t="shared" si="2"/>
        <v>1.5242059068612868E-2</v>
      </c>
    </row>
    <row r="105" spans="1:25">
      <c r="A105" s="396">
        <v>44438</v>
      </c>
      <c r="B105">
        <v>3.4884600639343262</v>
      </c>
      <c r="C105">
        <v>3.1664896011352539</v>
      </c>
      <c r="D105">
        <v>4535.43017578125</v>
      </c>
      <c r="E105">
        <v>10.44999980926514</v>
      </c>
      <c r="F105">
        <v>10.069999694824221</v>
      </c>
      <c r="G105">
        <v>4535.43017578125</v>
      </c>
      <c r="H105">
        <v>11.260000228881839</v>
      </c>
      <c r="I105">
        <v>11.039999961853029</v>
      </c>
      <c r="J105">
        <v>4545.85009765625</v>
      </c>
      <c r="K105">
        <v>10.420000076293951</v>
      </c>
      <c r="L105">
        <v>10.02999973297119</v>
      </c>
      <c r="M105">
        <v>4513.759765625</v>
      </c>
      <c r="N105">
        <v>11.189999580383301</v>
      </c>
      <c r="O105">
        <v>10.920000076293951</v>
      </c>
      <c r="P105">
        <v>4513.759765625</v>
      </c>
      <c r="Q105">
        <v>131751600</v>
      </c>
      <c r="R105">
        <v>54883700</v>
      </c>
      <c r="S105">
        <v>18470230000</v>
      </c>
      <c r="W105" s="373">
        <f t="shared" si="2"/>
        <v>-6.7796498944525441E-2</v>
      </c>
      <c r="X105" s="373">
        <f t="shared" si="2"/>
        <v>-7.7838680197307775E-2</v>
      </c>
      <c r="Y105" s="373">
        <f t="shared" si="2"/>
        <v>5.7790906305121847E-3</v>
      </c>
    </row>
    <row r="106" spans="1:25">
      <c r="A106" s="396">
        <v>44445</v>
      </c>
      <c r="B106">
        <v>3.3182098865509029</v>
      </c>
      <c r="C106">
        <v>3.021843433380127</v>
      </c>
      <c r="D106">
        <v>4458.580078125</v>
      </c>
      <c r="E106">
        <v>9.9399995803833008</v>
      </c>
      <c r="F106">
        <v>9.6099996566772461</v>
      </c>
      <c r="G106">
        <v>4458.580078125</v>
      </c>
      <c r="H106">
        <v>10.840000152587891</v>
      </c>
      <c r="I106">
        <v>10.430000305175779</v>
      </c>
      <c r="J106">
        <v>4535.3798828125</v>
      </c>
      <c r="K106">
        <v>9.4799995422363281</v>
      </c>
      <c r="L106">
        <v>9.1000003814697266</v>
      </c>
      <c r="M106">
        <v>4457.66015625</v>
      </c>
      <c r="N106">
        <v>10.430000305175779</v>
      </c>
      <c r="O106">
        <v>10.069999694824221</v>
      </c>
      <c r="P106">
        <v>4535.3798828125</v>
      </c>
      <c r="Q106">
        <v>156377000</v>
      </c>
      <c r="R106">
        <v>48937400</v>
      </c>
      <c r="S106">
        <v>14932410000</v>
      </c>
      <c r="W106" s="373">
        <f t="shared" si="2"/>
        <v>-4.8803820099179607E-2</v>
      </c>
      <c r="X106" s="373">
        <f t="shared" si="2"/>
        <v>-4.5680291419011199E-2</v>
      </c>
      <c r="Y106" s="373">
        <f t="shared" si="2"/>
        <v>-1.6944389986780495E-2</v>
      </c>
    </row>
    <row r="107" spans="1:25">
      <c r="A107" s="396">
        <v>44452</v>
      </c>
      <c r="B107">
        <v>3.2414300441741939</v>
      </c>
      <c r="C107">
        <v>2.9463760852813721</v>
      </c>
      <c r="D107">
        <v>4432.990234375</v>
      </c>
      <c r="E107">
        <v>9.7100000381469727</v>
      </c>
      <c r="F107">
        <v>9.369999885559082</v>
      </c>
      <c r="G107">
        <v>4432.990234375</v>
      </c>
      <c r="H107">
        <v>10.420000076293951</v>
      </c>
      <c r="I107">
        <v>10.079999923706049</v>
      </c>
      <c r="J107">
        <v>4492.990234375</v>
      </c>
      <c r="K107">
        <v>9.6999998092651367</v>
      </c>
      <c r="L107">
        <v>9.3599996566772461</v>
      </c>
      <c r="M107">
        <v>4427.759765625</v>
      </c>
      <c r="N107">
        <v>10.159999847412109</v>
      </c>
      <c r="O107">
        <v>9.8400001525878906</v>
      </c>
      <c r="P107">
        <v>4474.81005859375</v>
      </c>
      <c r="Q107">
        <v>114703200</v>
      </c>
      <c r="R107">
        <v>42909700</v>
      </c>
      <c r="S107">
        <v>22890790000</v>
      </c>
      <c r="W107" s="373">
        <f t="shared" si="2"/>
        <v>-2.3138934847945158E-2</v>
      </c>
      <c r="X107" s="373">
        <f t="shared" si="2"/>
        <v>-2.4973943806989252E-2</v>
      </c>
      <c r="Y107" s="373">
        <f t="shared" si="2"/>
        <v>-5.7394603890935647E-3</v>
      </c>
    </row>
    <row r="108" spans="1:25">
      <c r="A108" s="396">
        <v>44459</v>
      </c>
      <c r="B108">
        <v>3.4383864402771001</v>
      </c>
      <c r="C108">
        <v>3.15076732635498</v>
      </c>
      <c r="D108">
        <v>4455.47998046875</v>
      </c>
      <c r="E108">
        <v>10.30000019073486</v>
      </c>
      <c r="F108">
        <v>10.02000045776367</v>
      </c>
      <c r="G108">
        <v>4455.47998046875</v>
      </c>
      <c r="H108">
        <v>10.460000038146971</v>
      </c>
      <c r="I108">
        <v>10.14999961853027</v>
      </c>
      <c r="J108">
        <v>4465.39990234375</v>
      </c>
      <c r="K108">
        <v>9.1999998092651367</v>
      </c>
      <c r="L108">
        <v>8.8900003433227539</v>
      </c>
      <c r="M108">
        <v>4305.91015625</v>
      </c>
      <c r="N108">
        <v>9.4200000762939453</v>
      </c>
      <c r="O108">
        <v>9.130000114440918</v>
      </c>
      <c r="P108">
        <v>4402.9501953125</v>
      </c>
      <c r="Q108">
        <v>122074000</v>
      </c>
      <c r="R108">
        <v>43245000</v>
      </c>
      <c r="S108">
        <v>20058800000</v>
      </c>
      <c r="W108" s="373">
        <f t="shared" si="2"/>
        <v>6.076219243321157E-2</v>
      </c>
      <c r="X108" s="373">
        <f t="shared" si="2"/>
        <v>6.9370384213558012E-2</v>
      </c>
      <c r="Y108" s="373">
        <f t="shared" si="2"/>
        <v>5.0732676826934497E-3</v>
      </c>
    </row>
    <row r="109" spans="1:25">
      <c r="A109" s="396">
        <v>44466</v>
      </c>
      <c r="B109">
        <v>3.5852689743041992</v>
      </c>
      <c r="C109">
        <v>3.2671127319335942</v>
      </c>
      <c r="D109">
        <v>4357.0400390625</v>
      </c>
      <c r="E109">
        <v>10.739999771118161</v>
      </c>
      <c r="F109">
        <v>10.39000034332275</v>
      </c>
      <c r="G109">
        <v>4357.0400390625</v>
      </c>
      <c r="H109">
        <v>10.760000228881839</v>
      </c>
      <c r="I109">
        <v>10.409999847412109</v>
      </c>
      <c r="J109">
        <v>4457.2998046875</v>
      </c>
      <c r="K109">
        <v>10.14000034332275</v>
      </c>
      <c r="L109">
        <v>9.7899999618530273</v>
      </c>
      <c r="M109">
        <v>4288.52001953125</v>
      </c>
      <c r="N109">
        <v>10.460000038146971</v>
      </c>
      <c r="O109">
        <v>10.180000305175779</v>
      </c>
      <c r="P109">
        <v>4442.1201171875</v>
      </c>
      <c r="Q109">
        <v>140041200</v>
      </c>
      <c r="R109">
        <v>64520500</v>
      </c>
      <c r="S109">
        <v>20646370000</v>
      </c>
      <c r="W109" s="373">
        <f t="shared" si="2"/>
        <v>4.2718448486919414E-2</v>
      </c>
      <c r="X109" s="373">
        <f t="shared" si="2"/>
        <v>3.6926054363147998E-2</v>
      </c>
      <c r="Y109" s="373">
        <f t="shared" si="2"/>
        <v>-2.2094127195672719E-2</v>
      </c>
    </row>
    <row r="110" spans="1:25">
      <c r="A110" s="396">
        <v>44473</v>
      </c>
      <c r="B110">
        <v>3.611974954605103</v>
      </c>
      <c r="C110">
        <v>3.3142802715301509</v>
      </c>
      <c r="D110">
        <v>4391.33984375</v>
      </c>
      <c r="E110">
        <v>10.819999694824221</v>
      </c>
      <c r="F110">
        <v>10.539999961853029</v>
      </c>
      <c r="G110">
        <v>4391.33984375</v>
      </c>
      <c r="H110">
        <v>11.079999923706049</v>
      </c>
      <c r="I110">
        <v>10.789999961853029</v>
      </c>
      <c r="J110">
        <v>4429.97021484375</v>
      </c>
      <c r="K110">
        <v>10.439999580383301</v>
      </c>
      <c r="L110">
        <v>10.210000038146971</v>
      </c>
      <c r="M110">
        <v>4278.93994140625</v>
      </c>
      <c r="N110">
        <v>10.689999580383301</v>
      </c>
      <c r="O110">
        <v>10.409999847412109</v>
      </c>
      <c r="P110">
        <v>4348.83984375</v>
      </c>
      <c r="Q110">
        <v>122917800</v>
      </c>
      <c r="R110">
        <v>51893800</v>
      </c>
      <c r="S110">
        <v>19344290000</v>
      </c>
      <c r="W110" s="373">
        <f t="shared" si="2"/>
        <v>7.4488080231376319E-3</v>
      </c>
      <c r="X110" s="373">
        <f t="shared" si="2"/>
        <v>1.4437071343002428E-2</v>
      </c>
      <c r="Y110" s="373">
        <f t="shared" si="2"/>
        <v>7.8722720883879216E-3</v>
      </c>
    </row>
    <row r="111" spans="1:25">
      <c r="A111" s="396">
        <v>44480</v>
      </c>
      <c r="B111">
        <v>3.702107429504395</v>
      </c>
      <c r="C111">
        <v>3.39918065071106</v>
      </c>
      <c r="D111">
        <v>4471.3701171875</v>
      </c>
      <c r="E111">
        <v>11.090000152587891</v>
      </c>
      <c r="F111">
        <v>10.810000419616699</v>
      </c>
      <c r="G111">
        <v>4471.3701171875</v>
      </c>
      <c r="H111">
        <v>11.189999580383301</v>
      </c>
      <c r="I111">
        <v>10.930000305175779</v>
      </c>
      <c r="J111">
        <v>4475.81982421875</v>
      </c>
      <c r="K111">
        <v>10.579999923706049</v>
      </c>
      <c r="L111">
        <v>10.38000011444092</v>
      </c>
      <c r="M111">
        <v>4329.919921875</v>
      </c>
      <c r="N111">
        <v>11</v>
      </c>
      <c r="O111">
        <v>10.77000045776367</v>
      </c>
      <c r="P111">
        <v>4385.43994140625</v>
      </c>
      <c r="Q111">
        <v>105268100</v>
      </c>
      <c r="R111">
        <v>33754700</v>
      </c>
      <c r="S111">
        <v>17878150000</v>
      </c>
      <c r="W111" s="373">
        <f t="shared" si="2"/>
        <v>2.4953792878429804E-2</v>
      </c>
      <c r="X111" s="373">
        <f t="shared" si="2"/>
        <v>2.561653578612777E-2</v>
      </c>
      <c r="Y111" s="373">
        <f t="shared" si="2"/>
        <v>1.822456841991027E-2</v>
      </c>
    </row>
    <row r="112" spans="1:25">
      <c r="A112" s="396">
        <v>44487</v>
      </c>
      <c r="B112">
        <v>3.3215475082397461</v>
      </c>
      <c r="C112">
        <v>3.024986743927002</v>
      </c>
      <c r="D112">
        <v>4544.89990234375</v>
      </c>
      <c r="E112">
        <v>9.9499998092651367</v>
      </c>
      <c r="F112">
        <v>9.619999885559082</v>
      </c>
      <c r="G112">
        <v>4544.89990234375</v>
      </c>
      <c r="H112">
        <v>11.05000019073486</v>
      </c>
      <c r="I112">
        <v>10.710000038146971</v>
      </c>
      <c r="J112">
        <v>4559.669921875</v>
      </c>
      <c r="K112">
        <v>9.3599996566772461</v>
      </c>
      <c r="L112">
        <v>8.9799995422363281</v>
      </c>
      <c r="M112">
        <v>4447.47021484375</v>
      </c>
      <c r="N112">
        <v>10.909999847412109</v>
      </c>
      <c r="O112">
        <v>10.590000152587891</v>
      </c>
      <c r="P112">
        <v>4463.72021484375</v>
      </c>
      <c r="Q112">
        <v>229677400</v>
      </c>
      <c r="R112">
        <v>61724600</v>
      </c>
      <c r="S112">
        <v>18372450000</v>
      </c>
      <c r="W112" s="373">
        <f t="shared" si="2"/>
        <v>-0.10279548298132313</v>
      </c>
      <c r="X112" s="373">
        <f t="shared" si="2"/>
        <v>-0.11008355990311436</v>
      </c>
      <c r="Y112" s="373">
        <f t="shared" si="2"/>
        <v>1.6444575874765777E-2</v>
      </c>
    </row>
    <row r="113" spans="1:25">
      <c r="A113" s="396">
        <v>44494</v>
      </c>
      <c r="B113">
        <v>3.2781510353088379</v>
      </c>
      <c r="C113">
        <v>3.021843433380127</v>
      </c>
      <c r="D113">
        <v>4605.3798828125</v>
      </c>
      <c r="E113">
        <v>9.8199996948242188</v>
      </c>
      <c r="F113">
        <v>9.6099996566772461</v>
      </c>
      <c r="G113">
        <v>4605.3798828125</v>
      </c>
      <c r="H113">
        <v>10.739999771118161</v>
      </c>
      <c r="I113">
        <v>10.52999973297119</v>
      </c>
      <c r="J113">
        <v>4608.080078125</v>
      </c>
      <c r="K113">
        <v>9.7600002288818359</v>
      </c>
      <c r="L113">
        <v>9.5299997329711914</v>
      </c>
      <c r="M113">
        <v>4537.35986328125</v>
      </c>
      <c r="N113">
        <v>10.260000228881839</v>
      </c>
      <c r="O113">
        <v>9.9399995803833008</v>
      </c>
      <c r="P113">
        <v>4553.68994140625</v>
      </c>
      <c r="Q113">
        <v>195540500</v>
      </c>
      <c r="R113">
        <v>64135200</v>
      </c>
      <c r="S113">
        <v>20648340000</v>
      </c>
      <c r="W113" s="373">
        <f t="shared" si="2"/>
        <v>-1.30651369047875E-2</v>
      </c>
      <c r="X113" s="373">
        <f t="shared" si="2"/>
        <v>-1.0391154781704826E-3</v>
      </c>
      <c r="Y113" s="373">
        <f t="shared" si="2"/>
        <v>1.3307219469797626E-2</v>
      </c>
    </row>
    <row r="114" spans="1:25">
      <c r="A114" s="396">
        <v>44501</v>
      </c>
      <c r="B114">
        <v>3.244768381118774</v>
      </c>
      <c r="C114">
        <v>2.9400870800018311</v>
      </c>
      <c r="D114">
        <v>4697.52978515625</v>
      </c>
      <c r="E114">
        <v>9.7200002670288086</v>
      </c>
      <c r="F114">
        <v>9.3500003814697266</v>
      </c>
      <c r="G114">
        <v>4697.52978515625</v>
      </c>
      <c r="H114">
        <v>10.289999961853029</v>
      </c>
      <c r="I114">
        <v>9.9600000381469727</v>
      </c>
      <c r="J114">
        <v>4718.5</v>
      </c>
      <c r="K114">
        <v>9.4799995422363281</v>
      </c>
      <c r="L114">
        <v>9.1599998474121094</v>
      </c>
      <c r="M114">
        <v>4595.06005859375</v>
      </c>
      <c r="N114">
        <v>9.9899997711181641</v>
      </c>
      <c r="O114">
        <v>9.75</v>
      </c>
      <c r="P114">
        <v>4610.6201171875</v>
      </c>
      <c r="Q114">
        <v>159408200</v>
      </c>
      <c r="R114">
        <v>80568800</v>
      </c>
      <c r="S114">
        <v>21195930000</v>
      </c>
      <c r="W114" s="373">
        <f t="shared" si="2"/>
        <v>-1.0183378932361764E-2</v>
      </c>
      <c r="X114" s="373">
        <f t="shared" si="2"/>
        <v>-2.7055125515502376E-2</v>
      </c>
      <c r="Y114" s="373">
        <f t="shared" si="2"/>
        <v>2.0009185927887918E-2</v>
      </c>
    </row>
    <row r="115" spans="1:25">
      <c r="A115" s="396">
        <v>44508</v>
      </c>
      <c r="B115">
        <v>3.4150187969207759</v>
      </c>
      <c r="C115">
        <v>3.1130332946777339</v>
      </c>
      <c r="D115">
        <v>4682.85009765625</v>
      </c>
      <c r="E115">
        <v>10.22999954223633</v>
      </c>
      <c r="F115">
        <v>9.8999996185302734</v>
      </c>
      <c r="G115">
        <v>4682.85009765625</v>
      </c>
      <c r="H115">
        <v>10.25</v>
      </c>
      <c r="I115">
        <v>9.9099998474121094</v>
      </c>
      <c r="J115">
        <v>4714.919921875</v>
      </c>
      <c r="K115">
        <v>9.7399997711181641</v>
      </c>
      <c r="L115">
        <v>9.3299999237060547</v>
      </c>
      <c r="M115">
        <v>4630.85986328125</v>
      </c>
      <c r="N115">
        <v>9.7399997711181641</v>
      </c>
      <c r="O115">
        <v>9.380000114440918</v>
      </c>
      <c r="P115">
        <v>4701.47998046875</v>
      </c>
      <c r="Q115">
        <v>117999100</v>
      </c>
      <c r="R115">
        <v>121866200</v>
      </c>
      <c r="S115">
        <v>20545980000</v>
      </c>
      <c r="W115" s="373">
        <f t="shared" si="2"/>
        <v>5.2469204517858525E-2</v>
      </c>
      <c r="X115" s="373">
        <f t="shared" si="2"/>
        <v>5.8823500790934125E-2</v>
      </c>
      <c r="Y115" s="373">
        <f t="shared" si="2"/>
        <v>-3.1249801856256809E-3</v>
      </c>
    </row>
    <row r="116" spans="1:25">
      <c r="A116" s="396">
        <v>44515</v>
      </c>
      <c r="B116">
        <v>3.251444816589355</v>
      </c>
      <c r="C116">
        <v>2.921220064163208</v>
      </c>
      <c r="D116">
        <v>4697.9599609375</v>
      </c>
      <c r="E116">
        <v>9.7399997711181641</v>
      </c>
      <c r="F116">
        <v>9.2899999618530273</v>
      </c>
      <c r="G116">
        <v>4697.9599609375</v>
      </c>
      <c r="H116">
        <v>10.420000076293951</v>
      </c>
      <c r="I116">
        <v>10.090000152587891</v>
      </c>
      <c r="J116">
        <v>4717.75</v>
      </c>
      <c r="K116">
        <v>9.6700000762939453</v>
      </c>
      <c r="L116">
        <v>9.2100000381469727</v>
      </c>
      <c r="M116">
        <v>4672.77978515625</v>
      </c>
      <c r="N116">
        <v>10.25</v>
      </c>
      <c r="O116">
        <v>9.9099998474121094</v>
      </c>
      <c r="P116">
        <v>4689.2998046875</v>
      </c>
      <c r="Q116">
        <v>97288500</v>
      </c>
      <c r="R116">
        <v>40280500</v>
      </c>
      <c r="S116">
        <v>19909710000</v>
      </c>
      <c r="W116" s="373">
        <f t="shared" si="2"/>
        <v>-4.7898412881039132E-2</v>
      </c>
      <c r="X116" s="373">
        <f t="shared" si="2"/>
        <v>-6.1616183431916327E-2</v>
      </c>
      <c r="Y116" s="373">
        <f t="shared" si="2"/>
        <v>3.2266382579302366E-3</v>
      </c>
    </row>
    <row r="117" spans="1:25">
      <c r="A117" s="396">
        <v>44522</v>
      </c>
      <c r="B117">
        <v>3.4951364994049068</v>
      </c>
      <c r="C117">
        <v>3.2073674201965332</v>
      </c>
      <c r="D117">
        <v>4594.6201171875</v>
      </c>
      <c r="E117">
        <v>10.47000026702881</v>
      </c>
      <c r="F117">
        <v>10.19999980926514</v>
      </c>
      <c r="G117">
        <v>4594.6201171875</v>
      </c>
      <c r="H117">
        <v>10.60000038146973</v>
      </c>
      <c r="I117">
        <v>10.260000228881839</v>
      </c>
      <c r="J117">
        <v>4743.830078125</v>
      </c>
      <c r="K117">
        <v>9.7600002288818359</v>
      </c>
      <c r="L117">
        <v>9.3500003814697266</v>
      </c>
      <c r="M117">
        <v>4585.43017578125</v>
      </c>
      <c r="N117">
        <v>9.9499998092651367</v>
      </c>
      <c r="O117">
        <v>9.5399999618530273</v>
      </c>
      <c r="P117">
        <v>4712</v>
      </c>
      <c r="Q117">
        <v>102942700</v>
      </c>
      <c r="R117">
        <v>34928600</v>
      </c>
      <c r="S117">
        <v>15654820000</v>
      </c>
      <c r="W117" s="373">
        <f t="shared" si="2"/>
        <v>7.4948737119018727E-2</v>
      </c>
      <c r="X117" s="373">
        <f t="shared" si="2"/>
        <v>9.7954741425922975E-2</v>
      </c>
      <c r="Y117" s="373">
        <f t="shared" si="2"/>
        <v>-2.1996748505574315E-2</v>
      </c>
    </row>
    <row r="118" spans="1:25">
      <c r="A118" s="396">
        <v>44529</v>
      </c>
      <c r="B118">
        <v>3.5485479831695561</v>
      </c>
      <c r="C118">
        <v>3.1916451454162602</v>
      </c>
      <c r="D118">
        <v>4538.43017578125</v>
      </c>
      <c r="E118">
        <v>10.63000011444092</v>
      </c>
      <c r="F118">
        <v>10.14999961853027</v>
      </c>
      <c r="G118">
        <v>4538.43017578125</v>
      </c>
      <c r="H118">
        <v>11.14000034332275</v>
      </c>
      <c r="I118">
        <v>10.80000019073486</v>
      </c>
      <c r="J118">
        <v>4672.9501953125</v>
      </c>
      <c r="K118">
        <v>9.5799999237060547</v>
      </c>
      <c r="L118">
        <v>9.2600002288818359</v>
      </c>
      <c r="M118">
        <v>4495.1201171875</v>
      </c>
      <c r="N118">
        <v>10.710000038146971</v>
      </c>
      <c r="O118">
        <v>10.439999580383301</v>
      </c>
      <c r="P118">
        <v>4628.75</v>
      </c>
      <c r="Q118">
        <v>202240700</v>
      </c>
      <c r="R118">
        <v>70991400</v>
      </c>
      <c r="S118">
        <v>26646380000</v>
      </c>
      <c r="W118" s="373">
        <f t="shared" si="2"/>
        <v>1.528165889193267E-2</v>
      </c>
      <c r="X118" s="373">
        <f t="shared" si="2"/>
        <v>-4.9019250745240273E-3</v>
      </c>
      <c r="Y118" s="373">
        <f t="shared" si="2"/>
        <v>-1.2229507548633944E-2</v>
      </c>
    </row>
    <row r="119" spans="1:25">
      <c r="A119" s="396">
        <v>44536</v>
      </c>
      <c r="B119">
        <v>4.2283473014831543</v>
      </c>
      <c r="C119">
        <v>3.729519128799438</v>
      </c>
      <c r="D119">
        <v>4712.02001953125</v>
      </c>
      <c r="E119">
        <v>11.27000045776367</v>
      </c>
      <c r="F119">
        <v>10.560000419616699</v>
      </c>
      <c r="G119">
        <v>4712.02001953125</v>
      </c>
      <c r="H119">
        <v>11.430000305175779</v>
      </c>
      <c r="I119">
        <v>10.72999954223633</v>
      </c>
      <c r="J119">
        <v>4713.56982421875</v>
      </c>
      <c r="K119">
        <v>10.569999694824221</v>
      </c>
      <c r="L119">
        <v>10.10000038146973</v>
      </c>
      <c r="M119">
        <v>4540.509765625</v>
      </c>
      <c r="N119">
        <v>10.670000076293951</v>
      </c>
      <c r="O119">
        <v>10.189999580383301</v>
      </c>
      <c r="P119">
        <v>4548.3701171875</v>
      </c>
      <c r="Q119">
        <v>136725800</v>
      </c>
      <c r="R119">
        <v>40915400</v>
      </c>
      <c r="S119">
        <v>21271750000</v>
      </c>
      <c r="W119" s="373">
        <f t="shared" si="2"/>
        <v>0.19157112191742232</v>
      </c>
      <c r="X119" s="373">
        <f t="shared" si="2"/>
        <v>0.16852562201523424</v>
      </c>
      <c r="Y119" s="373">
        <f t="shared" si="2"/>
        <v>3.824887395565546E-2</v>
      </c>
    </row>
    <row r="120" spans="1:25">
      <c r="A120" s="396">
        <v>44543</v>
      </c>
      <c r="B120">
        <v>4.0482573509216309</v>
      </c>
      <c r="C120">
        <v>3.5811870098114009</v>
      </c>
      <c r="D120">
        <v>4620.64013671875</v>
      </c>
      <c r="E120">
        <v>10.789999961853029</v>
      </c>
      <c r="F120">
        <v>10.14000034332275</v>
      </c>
      <c r="G120">
        <v>4620.64013671875</v>
      </c>
      <c r="H120">
        <v>11.310000419616699</v>
      </c>
      <c r="I120">
        <v>10.590000152587891</v>
      </c>
      <c r="J120">
        <v>4731.990234375</v>
      </c>
      <c r="K120">
        <v>10.659999847412109</v>
      </c>
      <c r="L120">
        <v>9.9600000381469727</v>
      </c>
      <c r="M120">
        <v>4600.22021484375</v>
      </c>
      <c r="N120">
        <v>11.27000045776367</v>
      </c>
      <c r="O120">
        <v>10.55000019073486</v>
      </c>
      <c r="P120">
        <v>4710.2998046875</v>
      </c>
      <c r="Q120">
        <v>112116600</v>
      </c>
      <c r="R120">
        <v>68095800</v>
      </c>
      <c r="S120">
        <v>26609380000</v>
      </c>
      <c r="W120" s="373">
        <f t="shared" si="2"/>
        <v>-4.2591097116917109E-2</v>
      </c>
      <c r="X120" s="373">
        <f t="shared" si="2"/>
        <v>-3.9772451585678437E-2</v>
      </c>
      <c r="Y120" s="373">
        <f t="shared" si="2"/>
        <v>-1.9392931785886303E-2</v>
      </c>
    </row>
    <row r="121" spans="1:25">
      <c r="A121" s="396">
        <v>44550</v>
      </c>
      <c r="B121">
        <v>4.0482573509216309</v>
      </c>
      <c r="C121">
        <v>3.5176148414611821</v>
      </c>
      <c r="D121">
        <v>4725.7900390625</v>
      </c>
      <c r="E121">
        <v>10.789999961853029</v>
      </c>
      <c r="F121">
        <v>9.9600000381469727</v>
      </c>
      <c r="G121">
        <v>4725.7900390625</v>
      </c>
      <c r="H121">
        <v>10.85000038146973</v>
      </c>
      <c r="I121">
        <v>10</v>
      </c>
      <c r="J121">
        <v>4740.740234375</v>
      </c>
      <c r="K121">
        <v>10.39000034332275</v>
      </c>
      <c r="L121">
        <v>9.6400003433227539</v>
      </c>
      <c r="M121">
        <v>4531.10009765625</v>
      </c>
      <c r="N121">
        <v>10.420000076293951</v>
      </c>
      <c r="O121">
        <v>9.7399997711181641</v>
      </c>
      <c r="P121">
        <v>4587.89990234375</v>
      </c>
      <c r="Q121">
        <v>91359400</v>
      </c>
      <c r="R121">
        <v>41928500</v>
      </c>
      <c r="S121">
        <v>14940780000</v>
      </c>
      <c r="W121" s="373">
        <f t="shared" si="2"/>
        <v>0</v>
      </c>
      <c r="X121" s="373">
        <f t="shared" si="2"/>
        <v>-1.7751703045959299E-2</v>
      </c>
      <c r="Y121" s="373">
        <f t="shared" si="2"/>
        <v>2.2756566023862668E-2</v>
      </c>
    </row>
    <row r="122" spans="1:25">
      <c r="A122" s="396">
        <v>44557</v>
      </c>
      <c r="B122">
        <v>4.1195416450500488</v>
      </c>
      <c r="C122">
        <v>3.5705912113189702</v>
      </c>
      <c r="D122">
        <v>4766.18017578125</v>
      </c>
      <c r="E122">
        <v>10.97999954223633</v>
      </c>
      <c r="F122">
        <v>10.10999965667725</v>
      </c>
      <c r="G122">
        <v>4766.18017578125</v>
      </c>
      <c r="H122">
        <v>11.180000305175779</v>
      </c>
      <c r="I122">
        <v>10.27999973297119</v>
      </c>
      <c r="J122">
        <v>4808.93017578125</v>
      </c>
      <c r="K122">
        <v>10.69999980926514</v>
      </c>
      <c r="L122">
        <v>9.8999996185302734</v>
      </c>
      <c r="M122">
        <v>4733.990234375</v>
      </c>
      <c r="N122">
        <v>10.80000019073486</v>
      </c>
      <c r="O122">
        <v>10.02000045776367</v>
      </c>
      <c r="P122">
        <v>4733.990234375</v>
      </c>
      <c r="Q122">
        <v>87940900</v>
      </c>
      <c r="R122">
        <v>28796800</v>
      </c>
      <c r="S122">
        <v>14244290000</v>
      </c>
      <c r="W122" s="373">
        <f t="shared" si="2"/>
        <v>1.7608636988503124E-2</v>
      </c>
      <c r="X122" s="373">
        <f t="shared" si="2"/>
        <v>1.5060309967245278E-2</v>
      </c>
      <c r="Y122" s="373">
        <f t="shared" si="2"/>
        <v>8.5467480325813749E-3</v>
      </c>
    </row>
    <row r="123" spans="1:25">
      <c r="A123" s="396">
        <v>44564</v>
      </c>
      <c r="B123">
        <v>4.1307988166809082</v>
      </c>
      <c r="C123">
        <v>3.521147489547729</v>
      </c>
      <c r="D123">
        <v>4677.02978515625</v>
      </c>
      <c r="E123">
        <v>11.010000228881839</v>
      </c>
      <c r="F123">
        <v>9.9700002670288086</v>
      </c>
      <c r="G123">
        <v>4677.02978515625</v>
      </c>
      <c r="H123">
        <v>11.39000034332275</v>
      </c>
      <c r="I123">
        <v>10.38000011444092</v>
      </c>
      <c r="J123">
        <v>4818.6201171875</v>
      </c>
      <c r="K123">
        <v>10.72000026702881</v>
      </c>
      <c r="L123">
        <v>9.7399997711181641</v>
      </c>
      <c r="M123">
        <v>4662.740234375</v>
      </c>
      <c r="N123">
        <v>11.02000045776367</v>
      </c>
      <c r="O123">
        <v>10.180000305175779</v>
      </c>
      <c r="P123">
        <v>4778.14013671875</v>
      </c>
      <c r="Q123">
        <v>127519600</v>
      </c>
      <c r="R123">
        <v>42269400</v>
      </c>
      <c r="S123">
        <v>21878940000</v>
      </c>
      <c r="W123" s="373">
        <f t="shared" si="2"/>
        <v>2.7326272194347911E-3</v>
      </c>
      <c r="X123" s="373">
        <f t="shared" si="2"/>
        <v>-1.3847488789672124E-2</v>
      </c>
      <c r="Y123" s="373">
        <f t="shared" si="2"/>
        <v>-1.8704788181950538E-2</v>
      </c>
    </row>
    <row r="124" spans="1:25">
      <c r="A124" s="396">
        <v>44571</v>
      </c>
      <c r="B124">
        <v>4.7310957908630371</v>
      </c>
      <c r="C124">
        <v>4.036780834197998</v>
      </c>
      <c r="D124">
        <v>4662.85009765625</v>
      </c>
      <c r="E124">
        <v>12.60999965667725</v>
      </c>
      <c r="F124">
        <v>11.430000305175779</v>
      </c>
      <c r="G124">
        <v>4662.85009765625</v>
      </c>
      <c r="H124">
        <v>12.61999988555908</v>
      </c>
      <c r="I124">
        <v>11.439999580383301</v>
      </c>
      <c r="J124">
        <v>4748.830078125</v>
      </c>
      <c r="K124">
        <v>10.72000026702881</v>
      </c>
      <c r="L124">
        <v>9.7299995422363281</v>
      </c>
      <c r="M124">
        <v>4582.240234375</v>
      </c>
      <c r="N124">
        <v>10.930000305175779</v>
      </c>
      <c r="O124">
        <v>9.8999996185302734</v>
      </c>
      <c r="P124">
        <v>4655.33984375</v>
      </c>
      <c r="Q124">
        <v>214903300</v>
      </c>
      <c r="R124">
        <v>56476900</v>
      </c>
      <c r="S124">
        <v>21251840000</v>
      </c>
      <c r="W124" s="373">
        <f t="shared" si="2"/>
        <v>0.14532224899407398</v>
      </c>
      <c r="X124" s="373">
        <f t="shared" si="2"/>
        <v>0.14643900778961672</v>
      </c>
      <c r="Y124" s="373">
        <f t="shared" si="2"/>
        <v>-3.031771904682512E-3</v>
      </c>
    </row>
    <row r="125" spans="1:25">
      <c r="A125" s="396">
        <v>44578</v>
      </c>
      <c r="B125">
        <v>4.7536067962646484</v>
      </c>
      <c r="C125">
        <v>4.103884220123291</v>
      </c>
      <c r="D125">
        <v>4397.93994140625</v>
      </c>
      <c r="E125">
        <v>12.670000076293951</v>
      </c>
      <c r="F125">
        <v>11.61999988555908</v>
      </c>
      <c r="G125">
        <v>4397.93994140625</v>
      </c>
      <c r="H125">
        <v>12.930000305175779</v>
      </c>
      <c r="I125">
        <v>11.829999923706049</v>
      </c>
      <c r="J125">
        <v>4632.240234375</v>
      </c>
      <c r="K125">
        <v>12.14000034332275</v>
      </c>
      <c r="L125">
        <v>11.079999923706049</v>
      </c>
      <c r="M125">
        <v>4395.33984375</v>
      </c>
      <c r="N125">
        <v>12.569999694824221</v>
      </c>
      <c r="O125">
        <v>11.5</v>
      </c>
      <c r="P125">
        <v>4632.240234375</v>
      </c>
      <c r="Q125">
        <v>143075900</v>
      </c>
      <c r="R125">
        <v>56908700</v>
      </c>
      <c r="S125">
        <v>19444410000</v>
      </c>
      <c r="W125" s="373">
        <f t="shared" si="2"/>
        <v>4.7580954596366798E-3</v>
      </c>
      <c r="X125" s="373">
        <f t="shared" si="2"/>
        <v>1.6622994579448047E-2</v>
      </c>
      <c r="Y125" s="373">
        <f t="shared" si="2"/>
        <v>-5.6812925721793084E-2</v>
      </c>
    </row>
    <row r="126" spans="1:25">
      <c r="A126" s="396">
        <v>44585</v>
      </c>
      <c r="B126">
        <v>5.019989013671875</v>
      </c>
      <c r="C126">
        <v>4.2663450241088867</v>
      </c>
      <c r="D126">
        <v>4431.85009765625</v>
      </c>
      <c r="E126">
        <v>13.38000011444092</v>
      </c>
      <c r="F126">
        <v>12.079999923706049</v>
      </c>
      <c r="G126">
        <v>4431.85009765625</v>
      </c>
      <c r="H126">
        <v>14.060000419616699</v>
      </c>
      <c r="I126">
        <v>12.840000152587891</v>
      </c>
      <c r="J126">
        <v>4453.22998046875</v>
      </c>
      <c r="K126">
        <v>12.10000038146973</v>
      </c>
      <c r="L126">
        <v>11.22000026702881</v>
      </c>
      <c r="M126">
        <v>4222.6201171875</v>
      </c>
      <c r="N126">
        <v>12.52000045776367</v>
      </c>
      <c r="O126">
        <v>11.510000228881839</v>
      </c>
      <c r="P126">
        <v>4356.31982421875</v>
      </c>
      <c r="Q126">
        <v>256712300</v>
      </c>
      <c r="R126">
        <v>107563200</v>
      </c>
      <c r="S126">
        <v>27889090000</v>
      </c>
      <c r="W126" s="373">
        <f t="shared" si="2"/>
        <v>5.6037915802490845E-2</v>
      </c>
      <c r="X126" s="373">
        <f t="shared" si="2"/>
        <v>3.9587082693262499E-2</v>
      </c>
      <c r="Y126" s="373">
        <f t="shared" si="2"/>
        <v>7.7104636947717964E-3</v>
      </c>
    </row>
    <row r="127" spans="1:25">
      <c r="A127" s="396">
        <v>44592</v>
      </c>
      <c r="B127">
        <v>5.0875229835510254</v>
      </c>
      <c r="C127">
        <v>4.3369793891906738</v>
      </c>
      <c r="D127">
        <v>4500.52978515625</v>
      </c>
      <c r="E127">
        <v>13.560000419616699</v>
      </c>
      <c r="F127">
        <v>12.27999973297119</v>
      </c>
      <c r="G127">
        <v>4500.52978515625</v>
      </c>
      <c r="H127">
        <v>13.88000011444092</v>
      </c>
      <c r="I127">
        <v>12.60000038146973</v>
      </c>
      <c r="J127">
        <v>4595.31005859375</v>
      </c>
      <c r="K127">
        <v>13.090000152587891</v>
      </c>
      <c r="L127">
        <v>11.89999961853027</v>
      </c>
      <c r="M127">
        <v>4414.02001953125</v>
      </c>
      <c r="N127">
        <v>13.27999973297119</v>
      </c>
      <c r="O127">
        <v>12.090000152587891</v>
      </c>
      <c r="P127">
        <v>4431.7900390625</v>
      </c>
      <c r="Q127">
        <v>157033400</v>
      </c>
      <c r="R127">
        <v>75765500</v>
      </c>
      <c r="S127">
        <v>23505280000</v>
      </c>
      <c r="W127" s="373">
        <f t="shared" si="2"/>
        <v>1.3453011489710898E-2</v>
      </c>
      <c r="X127" s="373">
        <f t="shared" si="2"/>
        <v>1.6556177403054928E-2</v>
      </c>
      <c r="Y127" s="373">
        <f t="shared" si="2"/>
        <v>1.5496843527338822E-2</v>
      </c>
    </row>
    <row r="128" spans="1:25">
      <c r="A128" s="396">
        <v>44599</v>
      </c>
      <c r="B128">
        <v>5.3238906860351563</v>
      </c>
      <c r="C128">
        <v>4.5488839149475098</v>
      </c>
      <c r="D128">
        <v>4418.64013671875</v>
      </c>
      <c r="E128">
        <v>14.189999580383301</v>
      </c>
      <c r="F128">
        <v>12.88000011444092</v>
      </c>
      <c r="G128">
        <v>4418.64013671875</v>
      </c>
      <c r="H128">
        <v>14.310000419616699</v>
      </c>
      <c r="I128">
        <v>13.02999973297119</v>
      </c>
      <c r="J128">
        <v>4590.02978515625</v>
      </c>
      <c r="K128">
        <v>13.079999923706049</v>
      </c>
      <c r="L128">
        <v>11.840000152587891</v>
      </c>
      <c r="M128">
        <v>4401.41015625</v>
      </c>
      <c r="N128">
        <v>13.47000026702881</v>
      </c>
      <c r="O128">
        <v>12.210000038146971</v>
      </c>
      <c r="P128">
        <v>4505.75</v>
      </c>
      <c r="Q128">
        <v>172720500</v>
      </c>
      <c r="R128">
        <v>83270000</v>
      </c>
      <c r="S128">
        <v>23778810000</v>
      </c>
      <c r="W128" s="373">
        <f t="shared" si="2"/>
        <v>4.6460272169453587E-2</v>
      </c>
      <c r="X128" s="373">
        <f t="shared" si="2"/>
        <v>4.8859933779021203E-2</v>
      </c>
      <c r="Y128" s="373">
        <f t="shared" si="2"/>
        <v>-1.8195557489162795E-2</v>
      </c>
    </row>
    <row r="129" spans="1:25">
      <c r="A129" s="396">
        <v>44606</v>
      </c>
      <c r="B129">
        <v>5.2563567161560059</v>
      </c>
      <c r="C129">
        <v>4.5382895469665527</v>
      </c>
      <c r="D129">
        <v>4348.8701171875</v>
      </c>
      <c r="E129">
        <v>14.010000228881839</v>
      </c>
      <c r="F129">
        <v>12.85000038146973</v>
      </c>
      <c r="G129">
        <v>4348.8701171875</v>
      </c>
      <c r="H129">
        <v>14.439999580383301</v>
      </c>
      <c r="I129">
        <v>13.10999965667725</v>
      </c>
      <c r="J129">
        <v>4489.5498046875</v>
      </c>
      <c r="K129">
        <v>13.47000026702881</v>
      </c>
      <c r="L129">
        <v>12.27999973297119</v>
      </c>
      <c r="M129">
        <v>4327.22021484375</v>
      </c>
      <c r="N129">
        <v>14.180000305175779</v>
      </c>
      <c r="O129">
        <v>12.909999847412109</v>
      </c>
      <c r="P129">
        <v>4412.60986328125</v>
      </c>
      <c r="Q129">
        <v>139569600</v>
      </c>
      <c r="R129">
        <v>60701700</v>
      </c>
      <c r="S129">
        <v>22562340000</v>
      </c>
      <c r="W129" s="373">
        <f t="shared" si="2"/>
        <v>-1.2685078237292813E-2</v>
      </c>
      <c r="X129" s="373">
        <f t="shared" si="2"/>
        <v>-2.3290038125932666E-3</v>
      </c>
      <c r="Y129" s="373">
        <f t="shared" si="2"/>
        <v>-1.5789930243801376E-2</v>
      </c>
    </row>
    <row r="130" spans="1:25">
      <c r="A130" s="396">
        <v>44613</v>
      </c>
      <c r="B130">
        <v>5.3238906860351563</v>
      </c>
      <c r="C130">
        <v>4.6442408561706543</v>
      </c>
      <c r="D130">
        <v>4384.64990234375</v>
      </c>
      <c r="E130">
        <v>14.189999580383301</v>
      </c>
      <c r="F130">
        <v>13.14999961853027</v>
      </c>
      <c r="G130">
        <v>4384.64990234375</v>
      </c>
      <c r="H130">
        <v>14.72000026702881</v>
      </c>
      <c r="I130">
        <v>13.789999961853029</v>
      </c>
      <c r="J130">
        <v>4385.33984375</v>
      </c>
      <c r="K130">
        <v>13.569999694824221</v>
      </c>
      <c r="L130">
        <v>12.64999961853027</v>
      </c>
      <c r="M130">
        <v>4114.64990234375</v>
      </c>
      <c r="N130">
        <v>14.710000038146971</v>
      </c>
      <c r="O130">
        <v>13.52999973297119</v>
      </c>
      <c r="P130">
        <v>4332.740234375</v>
      </c>
      <c r="Q130">
        <v>170609700</v>
      </c>
      <c r="R130">
        <v>67570400</v>
      </c>
      <c r="S130">
        <v>21848520000</v>
      </c>
      <c r="W130" s="373">
        <f t="shared" si="2"/>
        <v>1.2848056843550504E-2</v>
      </c>
      <c r="X130" s="373">
        <f t="shared" si="2"/>
        <v>2.3346088456370317E-2</v>
      </c>
      <c r="Y130" s="373">
        <f t="shared" si="2"/>
        <v>8.2273749714534272E-3</v>
      </c>
    </row>
    <row r="131" spans="1:25">
      <c r="A131" s="396">
        <v>44620</v>
      </c>
      <c r="B131">
        <v>5.4439501762390137</v>
      </c>
      <c r="C131">
        <v>4.7395992279052734</v>
      </c>
      <c r="D131">
        <v>4328.8701171875</v>
      </c>
      <c r="E131">
        <v>14.510000228881839</v>
      </c>
      <c r="F131">
        <v>13.420000076293951</v>
      </c>
      <c r="G131">
        <v>4328.8701171875</v>
      </c>
      <c r="H131">
        <v>15.11999988555908</v>
      </c>
      <c r="I131">
        <v>14.02000045776367</v>
      </c>
      <c r="J131">
        <v>4416.77978515625</v>
      </c>
      <c r="K131">
        <v>13.939999580383301</v>
      </c>
      <c r="L131">
        <v>12.80000019073486</v>
      </c>
      <c r="M131">
        <v>4279.5400390625</v>
      </c>
      <c r="N131">
        <v>14.14000034332275</v>
      </c>
      <c r="O131">
        <v>13.039999961853029</v>
      </c>
      <c r="P131">
        <v>4354.169921875</v>
      </c>
      <c r="Q131">
        <v>190301700</v>
      </c>
      <c r="R131">
        <v>73788300</v>
      </c>
      <c r="S131">
        <v>28092740000</v>
      </c>
      <c r="W131" s="373">
        <f t="shared" si="2"/>
        <v>2.2551081020273367E-2</v>
      </c>
      <c r="X131" s="373">
        <f t="shared" si="2"/>
        <v>2.0532606875442116E-2</v>
      </c>
      <c r="Y131" s="373">
        <f t="shared" si="2"/>
        <v>-1.2721605236129307E-2</v>
      </c>
    </row>
    <row r="132" spans="1:25">
      <c r="A132" s="396">
        <v>44627</v>
      </c>
      <c r="B132">
        <v>5.1625609397888184</v>
      </c>
      <c r="C132">
        <v>4.5065031051635742</v>
      </c>
      <c r="D132">
        <v>4204.31005859375</v>
      </c>
      <c r="E132">
        <v>13.760000228881839</v>
      </c>
      <c r="F132">
        <v>12.760000228881839</v>
      </c>
      <c r="G132">
        <v>4204.31005859375</v>
      </c>
      <c r="H132">
        <v>14.52000045776367</v>
      </c>
      <c r="I132">
        <v>13.52000045776367</v>
      </c>
      <c r="J132">
        <v>4327.009765625</v>
      </c>
      <c r="K132">
        <v>13.25</v>
      </c>
      <c r="L132">
        <v>12.39000034332275</v>
      </c>
      <c r="M132">
        <v>4157.8701171875</v>
      </c>
      <c r="N132">
        <v>14.5</v>
      </c>
      <c r="O132">
        <v>13.39999961853027</v>
      </c>
      <c r="P132">
        <v>4327.009765625</v>
      </c>
      <c r="Q132">
        <v>223023200</v>
      </c>
      <c r="R132">
        <v>86647700</v>
      </c>
      <c r="S132">
        <v>29765730000</v>
      </c>
      <c r="W132" s="373">
        <f t="shared" si="2"/>
        <v>-5.1688429787319357E-2</v>
      </c>
      <c r="X132" s="373">
        <f t="shared" si="2"/>
        <v>-4.9180555471716292E-2</v>
      </c>
      <c r="Y132" s="373">
        <f t="shared" si="2"/>
        <v>-2.8774265621690165E-2</v>
      </c>
    </row>
    <row r="133" spans="1:25">
      <c r="A133" s="396">
        <v>44634</v>
      </c>
      <c r="B133">
        <v>4.974968433380127</v>
      </c>
      <c r="C133">
        <v>4.3087253570556641</v>
      </c>
      <c r="D133">
        <v>4463.1201171875</v>
      </c>
      <c r="E133">
        <v>13.260000228881839</v>
      </c>
      <c r="F133">
        <v>12.19999980926514</v>
      </c>
      <c r="G133">
        <v>4463.1201171875</v>
      </c>
      <c r="H133">
        <v>13.829999923706049</v>
      </c>
      <c r="I133">
        <v>12.819999694824221</v>
      </c>
      <c r="J133">
        <v>4465.39990234375</v>
      </c>
      <c r="K133">
        <v>12.659999847412109</v>
      </c>
      <c r="L133">
        <v>11.659999847412109</v>
      </c>
      <c r="M133">
        <v>4161.72021484375</v>
      </c>
      <c r="N133">
        <v>13.72000026702881</v>
      </c>
      <c r="O133">
        <v>12.77000045776367</v>
      </c>
      <c r="P133">
        <v>4202.75</v>
      </c>
      <c r="Q133">
        <v>155203100</v>
      </c>
      <c r="R133">
        <v>66873000</v>
      </c>
      <c r="S133">
        <v>30540660000</v>
      </c>
      <c r="W133" s="373">
        <f t="shared" si="2"/>
        <v>-3.6337102573043012E-2</v>
      </c>
      <c r="X133" s="373">
        <f t="shared" si="2"/>
        <v>-4.3887187802288508E-2</v>
      </c>
      <c r="Y133" s="373">
        <f t="shared" si="2"/>
        <v>6.155827115194179E-2</v>
      </c>
    </row>
    <row r="134" spans="1:25">
      <c r="A134" s="396">
        <v>44641</v>
      </c>
      <c r="B134">
        <v>5.5114827156066886</v>
      </c>
      <c r="C134">
        <v>4.781980037689209</v>
      </c>
      <c r="D134">
        <v>4543.06005859375</v>
      </c>
      <c r="E134">
        <v>14.689999580383301</v>
      </c>
      <c r="F134">
        <v>13.539999961853029</v>
      </c>
      <c r="G134">
        <v>4543.06005859375</v>
      </c>
      <c r="H134">
        <v>14.840000152587891</v>
      </c>
      <c r="I134">
        <v>13.659999847412109</v>
      </c>
      <c r="J134">
        <v>4546.02978515625</v>
      </c>
      <c r="K134">
        <v>13.52000045776367</v>
      </c>
      <c r="L134">
        <v>12.47000026702881</v>
      </c>
      <c r="M134">
        <v>4424.2998046875</v>
      </c>
      <c r="N134">
        <v>13.560000419616699</v>
      </c>
      <c r="O134">
        <v>12.47000026702881</v>
      </c>
      <c r="P134">
        <v>4462.39990234375</v>
      </c>
      <c r="Q134">
        <v>122799300</v>
      </c>
      <c r="R134">
        <v>62410300</v>
      </c>
      <c r="S134">
        <v>22611740000</v>
      </c>
      <c r="W134" s="373">
        <f t="shared" si="2"/>
        <v>0.10784275104677188</v>
      </c>
      <c r="X134" s="373">
        <f t="shared" si="2"/>
        <v>0.1098363533100517</v>
      </c>
      <c r="Y134" s="373">
        <f t="shared" si="2"/>
        <v>1.791122338348039E-2</v>
      </c>
    </row>
    <row r="135" spans="1:25">
      <c r="A135" s="396">
        <v>44648</v>
      </c>
      <c r="B135">
        <v>5.6653103828430176</v>
      </c>
      <c r="C135">
        <v>4.9938840866088867</v>
      </c>
      <c r="D135">
        <v>4545.85986328125</v>
      </c>
      <c r="E135">
        <v>15.10000038146973</v>
      </c>
      <c r="F135">
        <v>14.14000034332275</v>
      </c>
      <c r="G135">
        <v>4545.85986328125</v>
      </c>
      <c r="H135">
        <v>15.22000026702881</v>
      </c>
      <c r="I135">
        <v>14.35999965667725</v>
      </c>
      <c r="J135">
        <v>4637.2998046875</v>
      </c>
      <c r="K135">
        <v>14.039999961853029</v>
      </c>
      <c r="L135">
        <v>12.930000305175779</v>
      </c>
      <c r="M135">
        <v>4507.56982421875</v>
      </c>
      <c r="N135">
        <v>14.239999771118161</v>
      </c>
      <c r="O135">
        <v>13.159999847412109</v>
      </c>
      <c r="P135">
        <v>4541.08984375</v>
      </c>
      <c r="Q135">
        <v>163091900</v>
      </c>
      <c r="R135">
        <v>78446100</v>
      </c>
      <c r="S135">
        <v>23169700000</v>
      </c>
      <c r="W135" s="373">
        <f t="shared" si="2"/>
        <v>2.7910396380404157E-2</v>
      </c>
      <c r="X135" s="373">
        <f t="shared" si="2"/>
        <v>4.4313035029329706E-2</v>
      </c>
      <c r="Y135" s="373">
        <f t="shared" si="2"/>
        <v>6.1628168049510101E-4</v>
      </c>
    </row>
    <row r="136" spans="1:25">
      <c r="A136" s="396">
        <v>44655</v>
      </c>
      <c r="B136">
        <v>5.8866696357727051</v>
      </c>
      <c r="C136">
        <v>5.1280899047851563</v>
      </c>
      <c r="D136">
        <v>4488.27978515625</v>
      </c>
      <c r="E136">
        <v>15.689999580383301</v>
      </c>
      <c r="F136">
        <v>14.52000045776367</v>
      </c>
      <c r="G136">
        <v>4488.27978515625</v>
      </c>
      <c r="H136">
        <v>15.739999771118161</v>
      </c>
      <c r="I136">
        <v>14.55000019073486</v>
      </c>
      <c r="J136">
        <v>4593.4501953125</v>
      </c>
      <c r="K136">
        <v>14.63000011444092</v>
      </c>
      <c r="L136">
        <v>13.569999694824221</v>
      </c>
      <c r="M136">
        <v>4450.0400390625</v>
      </c>
      <c r="N136">
        <v>15.10000038146973</v>
      </c>
      <c r="O136">
        <v>14.180000305175779</v>
      </c>
      <c r="P136">
        <v>4547.97021484375</v>
      </c>
      <c r="Q136">
        <v>136760500</v>
      </c>
      <c r="R136">
        <v>62060700</v>
      </c>
      <c r="S136">
        <v>23239490000</v>
      </c>
      <c r="W136" s="373">
        <f t="shared" ref="W136:Y199" si="3">B136/B135-1</f>
        <v>3.9072749411940055E-2</v>
      </c>
      <c r="X136" s="373">
        <f t="shared" si="3"/>
        <v>2.6874035489959258E-2</v>
      </c>
      <c r="Y136" s="373">
        <f t="shared" si="3"/>
        <v>-1.2666487717779784E-2</v>
      </c>
    </row>
    <row r="137" spans="1:25">
      <c r="A137" s="396">
        <v>44662</v>
      </c>
      <c r="B137">
        <v>5.5189871788024902</v>
      </c>
      <c r="C137">
        <v>4.6936855316162109</v>
      </c>
      <c r="D137">
        <v>4392.58984375</v>
      </c>
      <c r="E137">
        <v>14.710000038146971</v>
      </c>
      <c r="F137">
        <v>13.289999961853029</v>
      </c>
      <c r="G137">
        <v>4392.58984375</v>
      </c>
      <c r="H137">
        <v>16.090000152587891</v>
      </c>
      <c r="I137">
        <v>14.840000152587891</v>
      </c>
      <c r="J137">
        <v>4471</v>
      </c>
      <c r="K137">
        <v>14.52999973297119</v>
      </c>
      <c r="L137">
        <v>13.180000305175779</v>
      </c>
      <c r="M137">
        <v>4381.33984375</v>
      </c>
      <c r="N137">
        <v>15.689999580383301</v>
      </c>
      <c r="O137">
        <v>14.460000038146971</v>
      </c>
      <c r="P137">
        <v>4462.64013671875</v>
      </c>
      <c r="Q137">
        <v>124958700</v>
      </c>
      <c r="R137">
        <v>79534400</v>
      </c>
      <c r="S137">
        <v>16329620000</v>
      </c>
      <c r="W137" s="373">
        <f t="shared" si="3"/>
        <v>-6.2460182024798083E-2</v>
      </c>
      <c r="X137" s="373">
        <f t="shared" si="3"/>
        <v>-8.4710756097234441E-2</v>
      </c>
      <c r="Y137" s="373">
        <f t="shared" si="3"/>
        <v>-2.1319959090500107E-2</v>
      </c>
    </row>
    <row r="138" spans="1:25">
      <c r="A138" s="396">
        <v>44669</v>
      </c>
      <c r="B138">
        <v>5.638221263885498</v>
      </c>
      <c r="C138">
        <v>4.8416275978088379</v>
      </c>
      <c r="D138">
        <v>4271.77978515625</v>
      </c>
      <c r="E138">
        <v>13.88000011444092</v>
      </c>
      <c r="F138">
        <v>12.61999988555908</v>
      </c>
      <c r="G138">
        <v>4271.77978515625</v>
      </c>
      <c r="H138">
        <v>15.239999771118161</v>
      </c>
      <c r="I138">
        <v>13.72999954223633</v>
      </c>
      <c r="J138">
        <v>4512.93994140625</v>
      </c>
      <c r="K138">
        <v>13.840000152587891</v>
      </c>
      <c r="L138">
        <v>12.579999923706049</v>
      </c>
      <c r="M138">
        <v>4267.6201171875</v>
      </c>
      <c r="N138">
        <v>14.710000038146971</v>
      </c>
      <c r="O138">
        <v>13.210000038146971</v>
      </c>
      <c r="P138">
        <v>4385.6298828125</v>
      </c>
      <c r="Q138">
        <v>119203200</v>
      </c>
      <c r="R138">
        <v>60242200</v>
      </c>
      <c r="S138">
        <v>21597890000</v>
      </c>
      <c r="W138" s="373">
        <f t="shared" si="3"/>
        <v>2.1604341742442523E-2</v>
      </c>
      <c r="X138" s="373">
        <f t="shared" si="3"/>
        <v>3.1519381772831423E-2</v>
      </c>
      <c r="Y138" s="373">
        <f t="shared" si="3"/>
        <v>-2.7503150280612898E-2</v>
      </c>
    </row>
    <row r="139" spans="1:25">
      <c r="A139" s="396">
        <v>44676</v>
      </c>
      <c r="B139">
        <v>5.5122957229614258</v>
      </c>
      <c r="C139">
        <v>4.7073516845703116</v>
      </c>
      <c r="D139">
        <v>4131.93017578125</v>
      </c>
      <c r="E139">
        <v>13.569999694824221</v>
      </c>
      <c r="F139">
        <v>12.27000045776367</v>
      </c>
      <c r="G139">
        <v>4131.93017578125</v>
      </c>
      <c r="H139">
        <v>14.30000019073486</v>
      </c>
      <c r="I139">
        <v>12.86999988555908</v>
      </c>
      <c r="J139">
        <v>4308.4501953125</v>
      </c>
      <c r="K139">
        <v>13.14999961853027</v>
      </c>
      <c r="L139">
        <v>11.89999961853027</v>
      </c>
      <c r="M139">
        <v>4124.27978515625</v>
      </c>
      <c r="N139">
        <v>13.430000305175779</v>
      </c>
      <c r="O139">
        <v>12.25</v>
      </c>
      <c r="P139">
        <v>4255.33984375</v>
      </c>
      <c r="Q139">
        <v>133680100</v>
      </c>
      <c r="R139">
        <v>83087900</v>
      </c>
      <c r="S139">
        <v>24637900000</v>
      </c>
      <c r="W139" s="373">
        <f t="shared" si="3"/>
        <v>-2.2334267321267309E-2</v>
      </c>
      <c r="X139" s="373">
        <f t="shared" si="3"/>
        <v>-2.773363100030557E-2</v>
      </c>
      <c r="Y139" s="373">
        <f t="shared" si="3"/>
        <v>-3.2738019375660454E-2</v>
      </c>
    </row>
    <row r="140" spans="1:25">
      <c r="A140" s="396">
        <v>44683</v>
      </c>
      <c r="B140">
        <v>5.7194643020629883</v>
      </c>
      <c r="C140">
        <v>4.968231201171875</v>
      </c>
      <c r="D140">
        <v>4123.33984375</v>
      </c>
      <c r="E140">
        <v>14.079999923706049</v>
      </c>
      <c r="F140">
        <v>12.94999980926514</v>
      </c>
      <c r="G140">
        <v>4123.33984375</v>
      </c>
      <c r="H140">
        <v>14.22000026702881</v>
      </c>
      <c r="I140">
        <v>13.069999694824221</v>
      </c>
      <c r="J140">
        <v>4307.66015625</v>
      </c>
      <c r="K140">
        <v>12.72999954223633</v>
      </c>
      <c r="L140">
        <v>11.52999973297119</v>
      </c>
      <c r="M140">
        <v>4062.510009765625</v>
      </c>
      <c r="N140">
        <v>13.19999980926514</v>
      </c>
      <c r="O140">
        <v>11.97000026702881</v>
      </c>
      <c r="P140">
        <v>4130.60986328125</v>
      </c>
      <c r="Q140">
        <v>193659200</v>
      </c>
      <c r="R140">
        <v>79525200</v>
      </c>
      <c r="S140">
        <v>25076170000</v>
      </c>
      <c r="W140" s="373">
        <f t="shared" si="3"/>
        <v>3.7582994366322398E-2</v>
      </c>
      <c r="X140" s="373">
        <f t="shared" si="3"/>
        <v>5.5419593453506E-2</v>
      </c>
      <c r="Y140" s="373">
        <f t="shared" si="3"/>
        <v>-2.0790119062517043E-3</v>
      </c>
    </row>
    <row r="141" spans="1:25">
      <c r="A141" s="396">
        <v>44690</v>
      </c>
      <c r="B141">
        <v>5.8941349983215332</v>
      </c>
      <c r="C141">
        <v>5.2137656211853027</v>
      </c>
      <c r="D141">
        <v>4023.889892578125</v>
      </c>
      <c r="E141">
        <v>14.510000228881839</v>
      </c>
      <c r="F141">
        <v>13.590000152587891</v>
      </c>
      <c r="G141">
        <v>4023.889892578125</v>
      </c>
      <c r="H141">
        <v>14.63000011444092</v>
      </c>
      <c r="I141">
        <v>13.590000152587891</v>
      </c>
      <c r="J141">
        <v>4081.27001953125</v>
      </c>
      <c r="K141">
        <v>13.19999980926514</v>
      </c>
      <c r="L141">
        <v>12.39000034332275</v>
      </c>
      <c r="M141">
        <v>3858.8701171875</v>
      </c>
      <c r="N141">
        <v>13.760000228881839</v>
      </c>
      <c r="O141">
        <v>12.789999961853029</v>
      </c>
      <c r="P141">
        <v>4081.27001953125</v>
      </c>
      <c r="Q141">
        <v>193581700</v>
      </c>
      <c r="R141">
        <v>78208300</v>
      </c>
      <c r="S141">
        <v>29126270000</v>
      </c>
      <c r="W141" s="373">
        <f t="shared" si="3"/>
        <v>3.0539695159132574E-2</v>
      </c>
      <c r="X141" s="373">
        <f t="shared" si="3"/>
        <v>4.9420892480912082E-2</v>
      </c>
      <c r="Y141" s="373">
        <f t="shared" si="3"/>
        <v>-2.4118785969732159E-2</v>
      </c>
    </row>
    <row r="142" spans="1:25">
      <c r="A142" s="396">
        <v>44697</v>
      </c>
      <c r="B142">
        <v>6.2637872695922852</v>
      </c>
      <c r="C142">
        <v>5.4477910995483398</v>
      </c>
      <c r="D142">
        <v>3901.360107421875</v>
      </c>
      <c r="E142">
        <v>15.420000076293951</v>
      </c>
      <c r="F142">
        <v>14.19999980926514</v>
      </c>
      <c r="G142">
        <v>3901.360107421875</v>
      </c>
      <c r="H142">
        <v>15.489999771118161</v>
      </c>
      <c r="I142">
        <v>14.25</v>
      </c>
      <c r="J142">
        <v>4090.719970703125</v>
      </c>
      <c r="K142">
        <v>14.55000019073486</v>
      </c>
      <c r="L142">
        <v>13.38000011444092</v>
      </c>
      <c r="M142">
        <v>3810.320068359375</v>
      </c>
      <c r="N142">
        <v>14.560000419616699</v>
      </c>
      <c r="O142">
        <v>13.590000152587891</v>
      </c>
      <c r="P142">
        <v>4013.02001953125</v>
      </c>
      <c r="Q142">
        <v>124862900</v>
      </c>
      <c r="R142">
        <v>61446400</v>
      </c>
      <c r="S142">
        <v>24603940000</v>
      </c>
      <c r="W142" s="373">
        <f t="shared" si="3"/>
        <v>6.2715270582709426E-2</v>
      </c>
      <c r="X142" s="373">
        <f t="shared" si="3"/>
        <v>4.4886075701621841E-2</v>
      </c>
      <c r="Y142" s="373">
        <f t="shared" si="3"/>
        <v>-3.045058101173459E-2</v>
      </c>
    </row>
    <row r="143" spans="1:25">
      <c r="A143" s="396">
        <v>44704</v>
      </c>
      <c r="B143">
        <v>5.7925820350646973</v>
      </c>
      <c r="C143">
        <v>4.9490489959716797</v>
      </c>
      <c r="D143">
        <v>4158.240234375</v>
      </c>
      <c r="E143">
        <v>14.260000228881839</v>
      </c>
      <c r="F143">
        <v>12.89999961853027</v>
      </c>
      <c r="G143">
        <v>4158.240234375</v>
      </c>
      <c r="H143">
        <v>16.29999923706055</v>
      </c>
      <c r="I143">
        <v>15.039999961853029</v>
      </c>
      <c r="J143">
        <v>4158.490234375</v>
      </c>
      <c r="K143">
        <v>13.94999980926514</v>
      </c>
      <c r="L143">
        <v>12.69999980926514</v>
      </c>
      <c r="M143">
        <v>3875.1298828125</v>
      </c>
      <c r="N143">
        <v>15.789999961853029</v>
      </c>
      <c r="O143">
        <v>14.659999847412109</v>
      </c>
      <c r="P143">
        <v>3919.419921875</v>
      </c>
      <c r="Q143">
        <v>177899000</v>
      </c>
      <c r="R143">
        <v>97764200</v>
      </c>
      <c r="S143">
        <v>23231370000</v>
      </c>
      <c r="W143" s="373">
        <f t="shared" si="3"/>
        <v>-7.5226889778818862E-2</v>
      </c>
      <c r="X143" s="373">
        <f t="shared" si="3"/>
        <v>-9.154941782147441E-2</v>
      </c>
      <c r="Y143" s="373">
        <f t="shared" si="3"/>
        <v>6.5843736512412931E-2</v>
      </c>
    </row>
    <row r="144" spans="1:25">
      <c r="A144" s="396">
        <v>44711</v>
      </c>
      <c r="B144">
        <v>6.3317327499389648</v>
      </c>
      <c r="C144">
        <v>5.3481526374816886</v>
      </c>
      <c r="D144">
        <v>4108.5400390625</v>
      </c>
      <c r="E144">
        <v>14.180000305175779</v>
      </c>
      <c r="F144">
        <v>12.64000034332275</v>
      </c>
      <c r="G144">
        <v>4108.5400390625</v>
      </c>
      <c r="H144">
        <v>14.340000152587891</v>
      </c>
      <c r="I144">
        <v>12.97000026702881</v>
      </c>
      <c r="J144">
        <v>4177.509765625</v>
      </c>
      <c r="K144">
        <v>13.64999961853027</v>
      </c>
      <c r="L144">
        <v>12.30000019073486</v>
      </c>
      <c r="M144">
        <v>4073.85009765625</v>
      </c>
      <c r="N144">
        <v>14.170000076293951</v>
      </c>
      <c r="O144">
        <v>12.89000034332275</v>
      </c>
      <c r="P144">
        <v>4151.08984375</v>
      </c>
      <c r="Q144">
        <v>95987300</v>
      </c>
      <c r="R144">
        <v>56305800</v>
      </c>
      <c r="S144">
        <v>19471340000</v>
      </c>
      <c r="W144" s="373">
        <f t="shared" si="3"/>
        <v>9.3076060314827513E-2</v>
      </c>
      <c r="X144" s="373">
        <f t="shared" si="3"/>
        <v>8.0642491483689627E-2</v>
      </c>
      <c r="Y144" s="373">
        <f t="shared" si="3"/>
        <v>-1.1952218369117418E-2</v>
      </c>
    </row>
    <row r="145" spans="1:25">
      <c r="A145" s="396">
        <v>44718</v>
      </c>
      <c r="B145">
        <v>5.8986010551452637</v>
      </c>
      <c r="C145">
        <v>4.9969696998596191</v>
      </c>
      <c r="D145">
        <v>3900.860107421875</v>
      </c>
      <c r="E145">
        <v>13.210000038146971</v>
      </c>
      <c r="F145">
        <v>11.810000419616699</v>
      </c>
      <c r="G145">
        <v>3900.860107421875</v>
      </c>
      <c r="H145">
        <v>14.260000228881839</v>
      </c>
      <c r="I145">
        <v>12.760000228881839</v>
      </c>
      <c r="J145">
        <v>4168.77978515625</v>
      </c>
      <c r="K145">
        <v>12.909999847412109</v>
      </c>
      <c r="L145">
        <v>11.670000076293951</v>
      </c>
      <c r="M145">
        <v>3900.159912109375</v>
      </c>
      <c r="N145">
        <v>14.25</v>
      </c>
      <c r="O145">
        <v>12.69999980926514</v>
      </c>
      <c r="P145">
        <v>4134.72021484375</v>
      </c>
      <c r="Q145">
        <v>124938400</v>
      </c>
      <c r="R145">
        <v>59699600</v>
      </c>
      <c r="S145">
        <v>21764190000</v>
      </c>
      <c r="W145" s="373">
        <f t="shared" si="3"/>
        <v>-6.8406502911525502E-2</v>
      </c>
      <c r="X145" s="373">
        <f t="shared" si="3"/>
        <v>-6.566434457402337E-2</v>
      </c>
      <c r="Y145" s="373">
        <f t="shared" si="3"/>
        <v>-5.0548352861619961E-2</v>
      </c>
    </row>
    <row r="146" spans="1:25">
      <c r="A146" s="396">
        <v>44725</v>
      </c>
      <c r="B146">
        <v>5.1841611862182617</v>
      </c>
      <c r="C146">
        <v>4.4130721092224121</v>
      </c>
      <c r="D146">
        <v>3674.840087890625</v>
      </c>
      <c r="E146">
        <v>11.60999965667725</v>
      </c>
      <c r="F146">
        <v>10.430000305175779</v>
      </c>
      <c r="G146">
        <v>3674.840087890625</v>
      </c>
      <c r="H146">
        <v>12.97999954223633</v>
      </c>
      <c r="I146">
        <v>11.760000228881839</v>
      </c>
      <c r="J146">
        <v>3838.14990234375</v>
      </c>
      <c r="K146">
        <v>11.22999954223633</v>
      </c>
      <c r="L146">
        <v>10.14999961853027</v>
      </c>
      <c r="M146">
        <v>3636.8701171875</v>
      </c>
      <c r="N146">
        <v>12.760000228881839</v>
      </c>
      <c r="O146">
        <v>11.44999980926514</v>
      </c>
      <c r="P146">
        <v>3838.14990234375</v>
      </c>
      <c r="Q146">
        <v>235537900</v>
      </c>
      <c r="R146">
        <v>90279400</v>
      </c>
      <c r="S146">
        <v>30486930000</v>
      </c>
      <c r="W146" s="373">
        <f t="shared" si="3"/>
        <v>-0.12112022193869276</v>
      </c>
      <c r="X146" s="373">
        <f t="shared" si="3"/>
        <v>-0.11685033644562837</v>
      </c>
      <c r="Y146" s="373">
        <f t="shared" si="3"/>
        <v>-5.794107281653571E-2</v>
      </c>
    </row>
    <row r="147" spans="1:25">
      <c r="A147" s="396">
        <v>44732</v>
      </c>
      <c r="B147">
        <v>4.8894543647766113</v>
      </c>
      <c r="C147">
        <v>4.2057466506958008</v>
      </c>
      <c r="D147">
        <v>3911.739990234375</v>
      </c>
      <c r="E147">
        <v>10.94999980926514</v>
      </c>
      <c r="F147">
        <v>9.9399995803833008</v>
      </c>
      <c r="G147">
        <v>3911.739990234375</v>
      </c>
      <c r="H147">
        <v>11.85999965667725</v>
      </c>
      <c r="I147">
        <v>10.789999961853029</v>
      </c>
      <c r="J147">
        <v>3913.64990234375</v>
      </c>
      <c r="K147">
        <v>10.920000076293951</v>
      </c>
      <c r="L147">
        <v>9.9099998474121094</v>
      </c>
      <c r="M147">
        <v>3715.31005859375</v>
      </c>
      <c r="N147">
        <v>11.72999954223633</v>
      </c>
      <c r="O147">
        <v>10.64999961853027</v>
      </c>
      <c r="P147">
        <v>3715.31005859375</v>
      </c>
      <c r="Q147">
        <v>129526900</v>
      </c>
      <c r="R147">
        <v>70885500</v>
      </c>
      <c r="S147">
        <v>23570150000</v>
      </c>
      <c r="W147" s="373">
        <f t="shared" si="3"/>
        <v>-5.6847542129883633E-2</v>
      </c>
      <c r="X147" s="373">
        <f t="shared" si="3"/>
        <v>-4.6979848367613042E-2</v>
      </c>
      <c r="Y147" s="373">
        <f t="shared" si="3"/>
        <v>6.4465363574427448E-2</v>
      </c>
    </row>
    <row r="148" spans="1:25">
      <c r="A148" s="396">
        <v>44739</v>
      </c>
      <c r="B148">
        <v>5.2511401176452637</v>
      </c>
      <c r="C148">
        <v>4.5315446853637704</v>
      </c>
      <c r="D148">
        <v>3825.330078125</v>
      </c>
      <c r="E148">
        <v>11.760000228881839</v>
      </c>
      <c r="F148">
        <v>10.710000038146971</v>
      </c>
      <c r="G148">
        <v>3825.330078125</v>
      </c>
      <c r="H148">
        <v>12.210000038146971</v>
      </c>
      <c r="I148">
        <v>11.060000419616699</v>
      </c>
      <c r="J148">
        <v>3945.860107421875</v>
      </c>
      <c r="K148">
        <v>11.159999847412109</v>
      </c>
      <c r="L148">
        <v>10.180000305175779</v>
      </c>
      <c r="M148">
        <v>3738.669921875</v>
      </c>
      <c r="N148">
        <v>11.210000038146971</v>
      </c>
      <c r="O148">
        <v>10.19999980926514</v>
      </c>
      <c r="P148">
        <v>3920.760009765625</v>
      </c>
      <c r="Q148">
        <v>159351400</v>
      </c>
      <c r="R148">
        <v>85725300</v>
      </c>
      <c r="S148">
        <v>21693690000</v>
      </c>
      <c r="W148" s="373">
        <f t="shared" si="3"/>
        <v>7.3972620641317155E-2</v>
      </c>
      <c r="X148" s="373">
        <f t="shared" si="3"/>
        <v>7.7464969178319354E-2</v>
      </c>
      <c r="Y148" s="373">
        <f t="shared" si="3"/>
        <v>-2.2089891538061512E-2</v>
      </c>
    </row>
    <row r="149" spans="1:25">
      <c r="A149" s="396">
        <v>44746</v>
      </c>
      <c r="B149">
        <v>5.2645349502563477</v>
      </c>
      <c r="C149">
        <v>4.6034741401672363</v>
      </c>
      <c r="D149">
        <v>3899.3798828125</v>
      </c>
      <c r="E149">
        <v>11.789999961853029</v>
      </c>
      <c r="F149">
        <v>10.88000011444092</v>
      </c>
      <c r="G149">
        <v>3899.3798828125</v>
      </c>
      <c r="H149">
        <v>11.86999988555908</v>
      </c>
      <c r="I149">
        <v>10.909999847412109</v>
      </c>
      <c r="J149">
        <v>3918.5</v>
      </c>
      <c r="K149">
        <v>10.75</v>
      </c>
      <c r="L149">
        <v>9.869999885559082</v>
      </c>
      <c r="M149">
        <v>3742.06005859375</v>
      </c>
      <c r="N149">
        <v>11.44999980926514</v>
      </c>
      <c r="O149">
        <v>10.47999954223633</v>
      </c>
      <c r="P149">
        <v>3792.610107421875</v>
      </c>
      <c r="Q149">
        <v>95280000</v>
      </c>
      <c r="R149">
        <v>47879400</v>
      </c>
      <c r="S149">
        <v>17073700000</v>
      </c>
      <c r="W149" s="373">
        <f t="shared" si="3"/>
        <v>2.5508427333853501E-3</v>
      </c>
      <c r="X149" s="373">
        <f t="shared" si="3"/>
        <v>1.5873054288924493E-2</v>
      </c>
      <c r="Y149" s="373">
        <f t="shared" si="3"/>
        <v>1.935775558583841E-2</v>
      </c>
    </row>
    <row r="150" spans="1:25">
      <c r="A150" s="396">
        <v>44753</v>
      </c>
      <c r="B150">
        <v>5.0144805908203116</v>
      </c>
      <c r="C150">
        <v>4.3834547996520996</v>
      </c>
      <c r="D150">
        <v>3863.159912109375</v>
      </c>
      <c r="E150">
        <v>11.22999954223633</v>
      </c>
      <c r="F150">
        <v>10.35999965667725</v>
      </c>
      <c r="G150">
        <v>3863.159912109375</v>
      </c>
      <c r="H150">
        <v>11.689999580383301</v>
      </c>
      <c r="I150">
        <v>10.72000026702881</v>
      </c>
      <c r="J150">
        <v>3880.93994140625</v>
      </c>
      <c r="K150">
        <v>10.75</v>
      </c>
      <c r="L150">
        <v>9.8999996185302734</v>
      </c>
      <c r="M150">
        <v>3721.56005859375</v>
      </c>
      <c r="N150">
        <v>11.579999923706049</v>
      </c>
      <c r="O150">
        <v>10.61999988555908</v>
      </c>
      <c r="P150">
        <v>3880.93994140625</v>
      </c>
      <c r="Q150">
        <v>116804800</v>
      </c>
      <c r="R150">
        <v>44665100</v>
      </c>
      <c r="S150">
        <v>19693570000</v>
      </c>
      <c r="W150" s="373">
        <f t="shared" si="3"/>
        <v>-4.7497900915988822E-2</v>
      </c>
      <c r="X150" s="373">
        <f t="shared" si="3"/>
        <v>-4.7794194952758828E-2</v>
      </c>
      <c r="Y150" s="373">
        <f t="shared" si="3"/>
        <v>-9.2886489112726789E-3</v>
      </c>
    </row>
    <row r="151" spans="1:25">
      <c r="A151" s="396">
        <v>44760</v>
      </c>
      <c r="B151">
        <v>5.1975574493408203</v>
      </c>
      <c r="C151">
        <v>4.5146207809448242</v>
      </c>
      <c r="D151">
        <v>3961.6298828125</v>
      </c>
      <c r="E151">
        <v>11.64000034332275</v>
      </c>
      <c r="F151">
        <v>10.670000076293951</v>
      </c>
      <c r="G151">
        <v>3961.6298828125</v>
      </c>
      <c r="H151">
        <v>11.80000019073486</v>
      </c>
      <c r="I151">
        <v>10.85000038146973</v>
      </c>
      <c r="J151">
        <v>4012.43994140625</v>
      </c>
      <c r="K151">
        <v>11.11999988555908</v>
      </c>
      <c r="L151">
        <v>10.25</v>
      </c>
      <c r="M151">
        <v>3818.6298828125</v>
      </c>
      <c r="N151">
        <v>11.439999580383301</v>
      </c>
      <c r="O151">
        <v>10.510000228881839</v>
      </c>
      <c r="P151">
        <v>3883.7900390625</v>
      </c>
      <c r="Q151">
        <v>98743400</v>
      </c>
      <c r="R151">
        <v>54775300</v>
      </c>
      <c r="S151">
        <v>20385270000</v>
      </c>
      <c r="W151" s="373">
        <f t="shared" si="3"/>
        <v>3.6509635485608483E-2</v>
      </c>
      <c r="X151" s="373">
        <f t="shared" si="3"/>
        <v>2.9922968819738882E-2</v>
      </c>
      <c r="Y151" s="373">
        <f t="shared" si="3"/>
        <v>2.5489488642306268E-2</v>
      </c>
    </row>
    <row r="152" spans="1:25">
      <c r="A152" s="396">
        <v>44767</v>
      </c>
      <c r="B152">
        <v>6.3763837814331046</v>
      </c>
      <c r="C152">
        <v>5.5554795265197754</v>
      </c>
      <c r="D152">
        <v>4130.2900390625</v>
      </c>
      <c r="E152">
        <v>14.27999973297119</v>
      </c>
      <c r="F152">
        <v>13.13000011444092</v>
      </c>
      <c r="G152">
        <v>4130.2900390625</v>
      </c>
      <c r="H152">
        <v>14.439999580383301</v>
      </c>
      <c r="I152">
        <v>13.36999988555908</v>
      </c>
      <c r="J152">
        <v>4140.14990234375</v>
      </c>
      <c r="K152">
        <v>11.86999988555908</v>
      </c>
      <c r="L152">
        <v>10.920000076293951</v>
      </c>
      <c r="M152">
        <v>3910.739990234375</v>
      </c>
      <c r="N152">
        <v>11.94999980926514</v>
      </c>
      <c r="O152">
        <v>10.97000026702881</v>
      </c>
      <c r="P152">
        <v>3965.719970703125</v>
      </c>
      <c r="Q152">
        <v>159665200</v>
      </c>
      <c r="R152">
        <v>82444500</v>
      </c>
      <c r="S152">
        <v>20488830000</v>
      </c>
      <c r="W152" s="373">
        <f t="shared" si="3"/>
        <v>0.22680390617746582</v>
      </c>
      <c r="X152" s="373">
        <f t="shared" si="3"/>
        <v>0.23055286281589282</v>
      </c>
      <c r="Y152" s="373">
        <f t="shared" si="3"/>
        <v>4.2573425897691974E-2</v>
      </c>
    </row>
    <row r="153" spans="1:25">
      <c r="A153" s="396">
        <v>44774</v>
      </c>
      <c r="B153">
        <v>6.4522933959960938</v>
      </c>
      <c r="C153">
        <v>5.6951065063476563</v>
      </c>
      <c r="D153">
        <v>4145.18994140625</v>
      </c>
      <c r="E153">
        <v>14.44999980926514</v>
      </c>
      <c r="F153">
        <v>13.460000038146971</v>
      </c>
      <c r="G153">
        <v>4145.18994140625</v>
      </c>
      <c r="H153">
        <v>14.55000019073486</v>
      </c>
      <c r="I153">
        <v>13.47999954223633</v>
      </c>
      <c r="J153">
        <v>4167.66015625</v>
      </c>
      <c r="K153">
        <v>13.61999988555908</v>
      </c>
      <c r="L153">
        <v>12.61999988555908</v>
      </c>
      <c r="M153">
        <v>4079.81005859375</v>
      </c>
      <c r="N153">
        <v>14.079999923706049</v>
      </c>
      <c r="O153">
        <v>12.939999580383301</v>
      </c>
      <c r="P153">
        <v>4112.3798828125</v>
      </c>
      <c r="Q153">
        <v>137397600</v>
      </c>
      <c r="R153">
        <v>59211200</v>
      </c>
      <c r="S153">
        <v>21651540000</v>
      </c>
      <c r="W153" s="373">
        <f t="shared" si="3"/>
        <v>1.1904806417710301E-2</v>
      </c>
      <c r="X153" s="373">
        <f t="shared" si="3"/>
        <v>2.5133200322556171E-2</v>
      </c>
      <c r="Y153" s="373">
        <f t="shared" si="3"/>
        <v>3.6074711952025496E-3</v>
      </c>
    </row>
    <row r="154" spans="1:25">
      <c r="A154" s="396">
        <v>44781</v>
      </c>
      <c r="B154">
        <v>6.0816769599914551</v>
      </c>
      <c r="C154">
        <v>5.2381443977355957</v>
      </c>
      <c r="D154">
        <v>4280.14990234375</v>
      </c>
      <c r="E154">
        <v>13.61999988555908</v>
      </c>
      <c r="F154">
        <v>12.38000011444092</v>
      </c>
      <c r="G154">
        <v>4280.14990234375</v>
      </c>
      <c r="H154">
        <v>15.829999923706049</v>
      </c>
      <c r="I154">
        <v>14.75</v>
      </c>
      <c r="J154">
        <v>4280.47021484375</v>
      </c>
      <c r="K154">
        <v>12.60999965667725</v>
      </c>
      <c r="L154">
        <v>11.579999923706049</v>
      </c>
      <c r="M154">
        <v>4112.08984375</v>
      </c>
      <c r="N154">
        <v>14.86999988555908</v>
      </c>
      <c r="O154">
        <v>13.960000038146971</v>
      </c>
      <c r="P154">
        <v>4155.93017578125</v>
      </c>
      <c r="Q154">
        <v>245540800</v>
      </c>
      <c r="R154">
        <v>96670000</v>
      </c>
      <c r="S154">
        <v>21098400000</v>
      </c>
      <c r="W154" s="373">
        <f t="shared" si="3"/>
        <v>-5.7439489071377525E-2</v>
      </c>
      <c r="X154" s="373">
        <f t="shared" si="3"/>
        <v>-8.023767564359674E-2</v>
      </c>
      <c r="Y154" s="373">
        <f t="shared" si="3"/>
        <v>3.2558209115916892E-2</v>
      </c>
    </row>
    <row r="155" spans="1:25">
      <c r="A155" s="396">
        <v>44788</v>
      </c>
      <c r="B155">
        <v>7.3633632659912109</v>
      </c>
      <c r="C155">
        <v>6.3552932739257813</v>
      </c>
      <c r="D155">
        <v>4228.47998046875</v>
      </c>
      <c r="E155">
        <v>13.659999847412109</v>
      </c>
      <c r="F155">
        <v>12.239999771118161</v>
      </c>
      <c r="G155">
        <v>4228.47998046875</v>
      </c>
      <c r="H155">
        <v>14.409999847412109</v>
      </c>
      <c r="I155">
        <v>12.960000038146971</v>
      </c>
      <c r="J155">
        <v>4325.27978515625</v>
      </c>
      <c r="K155">
        <v>13.060000419616699</v>
      </c>
      <c r="L155">
        <v>11.97000026702881</v>
      </c>
      <c r="M155">
        <v>4218.7001953125</v>
      </c>
      <c r="N155">
        <v>13.11999988555908</v>
      </c>
      <c r="O155">
        <v>12</v>
      </c>
      <c r="P155">
        <v>4269.3701171875</v>
      </c>
      <c r="Q155">
        <v>150768300</v>
      </c>
      <c r="R155">
        <v>76482200</v>
      </c>
      <c r="S155">
        <v>19013350000</v>
      </c>
      <c r="W155" s="373">
        <f t="shared" si="3"/>
        <v>0.21074554180226568</v>
      </c>
      <c r="X155" s="373">
        <f t="shared" si="3"/>
        <v>0.2132718748022906</v>
      </c>
      <c r="Y155" s="373">
        <f t="shared" si="3"/>
        <v>-1.207198884476135E-2</v>
      </c>
    </row>
    <row r="156" spans="1:25">
      <c r="A156" s="396">
        <v>44795</v>
      </c>
      <c r="B156">
        <v>7.9455327987670898</v>
      </c>
      <c r="C156">
        <v>6.8433656692504883</v>
      </c>
      <c r="D156">
        <v>4057.659912109375</v>
      </c>
      <c r="E156">
        <v>14.739999771118161</v>
      </c>
      <c r="F156">
        <v>13.180000305175779</v>
      </c>
      <c r="G156">
        <v>4057.659912109375</v>
      </c>
      <c r="H156">
        <v>14.89000034332275</v>
      </c>
      <c r="I156">
        <v>13.35999965667725</v>
      </c>
      <c r="J156">
        <v>4203.0400390625</v>
      </c>
      <c r="K156">
        <v>13.27999973297119</v>
      </c>
      <c r="L156">
        <v>11.85999965667725</v>
      </c>
      <c r="M156">
        <v>4057.659912109375</v>
      </c>
      <c r="N156">
        <v>13.44999980926514</v>
      </c>
      <c r="O156">
        <v>12.060000419616699</v>
      </c>
      <c r="P156">
        <v>4195.080078125</v>
      </c>
      <c r="Q156">
        <v>160904600</v>
      </c>
      <c r="R156">
        <v>73829200</v>
      </c>
      <c r="S156">
        <v>18714200000</v>
      </c>
      <c r="W156" s="373">
        <f t="shared" si="3"/>
        <v>7.906299224224278E-2</v>
      </c>
      <c r="X156" s="373">
        <f t="shared" si="3"/>
        <v>7.6797776953449137E-2</v>
      </c>
      <c r="Y156" s="373">
        <f t="shared" si="3"/>
        <v>-4.0397511433987843E-2</v>
      </c>
    </row>
    <row r="157" spans="1:25">
      <c r="A157" s="396">
        <v>44802</v>
      </c>
      <c r="B157">
        <v>7.7838177680969238</v>
      </c>
      <c r="C157">
        <v>6.6927905082702637</v>
      </c>
      <c r="D157">
        <v>3924.260009765625</v>
      </c>
      <c r="E157">
        <v>14.439999580383301</v>
      </c>
      <c r="F157">
        <v>12.89000034332275</v>
      </c>
      <c r="G157">
        <v>3924.260009765625</v>
      </c>
      <c r="H157">
        <v>15.44999980926514</v>
      </c>
      <c r="I157">
        <v>13.960000038146971</v>
      </c>
      <c r="J157">
        <v>4062.989990234375</v>
      </c>
      <c r="K157">
        <v>13.72999954223633</v>
      </c>
      <c r="L157">
        <v>12.289999961853029</v>
      </c>
      <c r="M157">
        <v>3903.64990234375</v>
      </c>
      <c r="N157">
        <v>14.89999961853027</v>
      </c>
      <c r="O157">
        <v>13.340000152587891</v>
      </c>
      <c r="P157">
        <v>4034.580078125</v>
      </c>
      <c r="Q157">
        <v>167244800</v>
      </c>
      <c r="R157">
        <v>79385200</v>
      </c>
      <c r="S157">
        <v>19592960000</v>
      </c>
      <c r="W157" s="373">
        <f t="shared" si="3"/>
        <v>-2.0352949860739322E-2</v>
      </c>
      <c r="X157" s="373">
        <f t="shared" si="3"/>
        <v>-2.2003085653717003E-2</v>
      </c>
      <c r="Y157" s="373">
        <f t="shared" si="3"/>
        <v>-3.2876067791103303E-2</v>
      </c>
    </row>
    <row r="158" spans="1:25">
      <c r="A158" s="396">
        <v>44809</v>
      </c>
      <c r="B158">
        <v>7.4388294219970703</v>
      </c>
      <c r="C158">
        <v>6.4176011085510254</v>
      </c>
      <c r="D158">
        <v>4067.360107421875</v>
      </c>
      <c r="E158">
        <v>13.80000019073486</v>
      </c>
      <c r="F158">
        <v>12.35999965667725</v>
      </c>
      <c r="G158">
        <v>4067.360107421875</v>
      </c>
      <c r="H158">
        <v>14.060000419616699</v>
      </c>
      <c r="I158">
        <v>12.60000038146973</v>
      </c>
      <c r="J158">
        <v>4076.81005859375</v>
      </c>
      <c r="K158">
        <v>13.430000305175779</v>
      </c>
      <c r="L158">
        <v>11.939999580383301</v>
      </c>
      <c r="M158">
        <v>3886.75</v>
      </c>
      <c r="N158">
        <v>13.89999961853027</v>
      </c>
      <c r="O158">
        <v>12.39999961853027</v>
      </c>
      <c r="P158">
        <v>3930.889892578125</v>
      </c>
      <c r="Q158">
        <v>100198700</v>
      </c>
      <c r="R158">
        <v>41779900</v>
      </c>
      <c r="S158">
        <v>15886450000</v>
      </c>
      <c r="W158" s="373">
        <f t="shared" si="3"/>
        <v>-4.4321225955961774E-2</v>
      </c>
      <c r="X158" s="373">
        <f t="shared" si="3"/>
        <v>-4.1117288727203882E-2</v>
      </c>
      <c r="Y158" s="373">
        <f t="shared" si="3"/>
        <v>3.646549853988823E-2</v>
      </c>
    </row>
    <row r="159" spans="1:25">
      <c r="A159" s="396">
        <v>44816</v>
      </c>
      <c r="B159">
        <v>7.0614972114562988</v>
      </c>
      <c r="C159">
        <v>6.080106258392334</v>
      </c>
      <c r="D159">
        <v>3873.330078125</v>
      </c>
      <c r="E159">
        <v>13.10000038146973</v>
      </c>
      <c r="F159">
        <v>11.710000038146971</v>
      </c>
      <c r="G159">
        <v>3873.330078125</v>
      </c>
      <c r="H159">
        <v>14.159999847412109</v>
      </c>
      <c r="I159">
        <v>12.680000305175779</v>
      </c>
      <c r="J159">
        <v>4119.27978515625</v>
      </c>
      <c r="K159">
        <v>12.85000038146973</v>
      </c>
      <c r="L159">
        <v>11.47000026702881</v>
      </c>
      <c r="M159">
        <v>3837.080078125</v>
      </c>
      <c r="N159">
        <v>14.090000152587891</v>
      </c>
      <c r="O159">
        <v>12.61999988555908</v>
      </c>
      <c r="P159">
        <v>4083.669921875</v>
      </c>
      <c r="Q159">
        <v>123248600</v>
      </c>
      <c r="R159">
        <v>59177500</v>
      </c>
      <c r="S159">
        <v>24728470000</v>
      </c>
      <c r="W159" s="373">
        <f t="shared" si="3"/>
        <v>-5.0724675770219552E-2</v>
      </c>
      <c r="X159" s="373">
        <f t="shared" si="3"/>
        <v>-5.2588941638800568E-2</v>
      </c>
      <c r="Y159" s="373">
        <f t="shared" si="3"/>
        <v>-4.7704167856399193E-2</v>
      </c>
    </row>
    <row r="160" spans="1:25">
      <c r="A160" s="396">
        <v>44823</v>
      </c>
      <c r="B160">
        <v>6.765021800994873</v>
      </c>
      <c r="C160">
        <v>5.9087619781494141</v>
      </c>
      <c r="D160">
        <v>3693.22998046875</v>
      </c>
      <c r="E160">
        <v>12.55000019073486</v>
      </c>
      <c r="F160">
        <v>11.38000011444092</v>
      </c>
      <c r="G160">
        <v>3693.22998046875</v>
      </c>
      <c r="H160">
        <v>13.920000076293951</v>
      </c>
      <c r="I160">
        <v>12.55000019073486</v>
      </c>
      <c r="J160">
        <v>3907.070068359375</v>
      </c>
      <c r="K160">
        <v>12.47000026702881</v>
      </c>
      <c r="L160">
        <v>11.319999694824221</v>
      </c>
      <c r="M160">
        <v>3647.469970703125</v>
      </c>
      <c r="N160">
        <v>12.88000011444092</v>
      </c>
      <c r="O160">
        <v>11.510000228881839</v>
      </c>
      <c r="P160">
        <v>3849.909912109375</v>
      </c>
      <c r="Q160">
        <v>143466400</v>
      </c>
      <c r="R160">
        <v>67059400</v>
      </c>
      <c r="S160">
        <v>21332100000</v>
      </c>
      <c r="W160" s="373">
        <f t="shared" si="3"/>
        <v>-4.1984780505249786E-2</v>
      </c>
      <c r="X160" s="373">
        <f t="shared" si="3"/>
        <v>-2.8181132526494013E-2</v>
      </c>
      <c r="Y160" s="373">
        <f t="shared" si="3"/>
        <v>-4.6497482534055723E-2</v>
      </c>
    </row>
    <row r="161" spans="1:25">
      <c r="A161" s="396">
        <v>44830</v>
      </c>
      <c r="B161">
        <v>6.6518220901489258</v>
      </c>
      <c r="C161">
        <v>5.752995491027832</v>
      </c>
      <c r="D161">
        <v>3585.6201171875</v>
      </c>
      <c r="E161">
        <v>12.340000152587891</v>
      </c>
      <c r="F161">
        <v>11.079999923706049</v>
      </c>
      <c r="G161">
        <v>3585.6201171875</v>
      </c>
      <c r="H161">
        <v>12.60000038146973</v>
      </c>
      <c r="I161">
        <v>11.409999847412109</v>
      </c>
      <c r="J161">
        <v>3736.739990234375</v>
      </c>
      <c r="K161">
        <v>11.85000038146973</v>
      </c>
      <c r="L161">
        <v>10.569999694824221</v>
      </c>
      <c r="M161">
        <v>3584.1298828125</v>
      </c>
      <c r="N161">
        <v>12.329999923706049</v>
      </c>
      <c r="O161">
        <v>11.14999961853027</v>
      </c>
      <c r="P161">
        <v>3682.719970703125</v>
      </c>
      <c r="Q161">
        <v>175158700</v>
      </c>
      <c r="R161">
        <v>88065300</v>
      </c>
      <c r="S161">
        <v>24475900000</v>
      </c>
      <c r="W161" s="373">
        <f t="shared" si="3"/>
        <v>-1.6733088846705546E-2</v>
      </c>
      <c r="X161" s="373">
        <f t="shared" si="3"/>
        <v>-2.6361949880128188E-2</v>
      </c>
      <c r="Y161" s="373">
        <f t="shared" si="3"/>
        <v>-2.9137059931369835E-2</v>
      </c>
    </row>
    <row r="162" spans="1:25">
      <c r="A162" s="396">
        <v>44837</v>
      </c>
      <c r="B162">
        <v>7.7353048324584961</v>
      </c>
      <c r="C162">
        <v>6.6927905082702637</v>
      </c>
      <c r="D162">
        <v>3639.659912109375</v>
      </c>
      <c r="E162">
        <v>14.35000038146973</v>
      </c>
      <c r="F162">
        <v>12.89000034332275</v>
      </c>
      <c r="G162">
        <v>3639.659912109375</v>
      </c>
      <c r="H162">
        <v>14.75</v>
      </c>
      <c r="I162">
        <v>13.180000305175779</v>
      </c>
      <c r="J162">
        <v>3806.909912109375</v>
      </c>
      <c r="K162">
        <v>13.52999973297119</v>
      </c>
      <c r="L162">
        <v>12.02999973297119</v>
      </c>
      <c r="M162">
        <v>3604.929931640625</v>
      </c>
      <c r="N162">
        <v>13.72999954223633</v>
      </c>
      <c r="O162">
        <v>12.310000419616699</v>
      </c>
      <c r="P162">
        <v>3609.780029296875</v>
      </c>
      <c r="Q162">
        <v>188942100</v>
      </c>
      <c r="R162">
        <v>108938700</v>
      </c>
      <c r="S162">
        <v>22948200000</v>
      </c>
      <c r="W162" s="373">
        <f t="shared" si="3"/>
        <v>0.16288510540806</v>
      </c>
      <c r="X162" s="373">
        <f t="shared" si="3"/>
        <v>0.16335750978913555</v>
      </c>
      <c r="Y162" s="373">
        <f t="shared" si="3"/>
        <v>1.5071254944950097E-2</v>
      </c>
    </row>
    <row r="163" spans="1:25">
      <c r="A163" s="396">
        <v>44844</v>
      </c>
      <c r="B163">
        <v>7.519686222076416</v>
      </c>
      <c r="C163">
        <v>6.5058689117431641</v>
      </c>
      <c r="D163">
        <v>3583.070068359375</v>
      </c>
      <c r="E163">
        <v>13.94999980926514</v>
      </c>
      <c r="F163">
        <v>12.52999973297119</v>
      </c>
      <c r="G163">
        <v>3583.070068359375</v>
      </c>
      <c r="H163">
        <v>14.75</v>
      </c>
      <c r="I163">
        <v>13.189999580383301</v>
      </c>
      <c r="J163">
        <v>3712</v>
      </c>
      <c r="K163">
        <v>13.670000076293951</v>
      </c>
      <c r="L163">
        <v>12.25</v>
      </c>
      <c r="M163">
        <v>3491.580078125</v>
      </c>
      <c r="N163">
        <v>14.460000038146971</v>
      </c>
      <c r="O163">
        <v>12.989999771118161</v>
      </c>
      <c r="P163">
        <v>3647.510009765625</v>
      </c>
      <c r="Q163">
        <v>143793900</v>
      </c>
      <c r="R163">
        <v>70119400</v>
      </c>
      <c r="S163">
        <v>21864890000</v>
      </c>
      <c r="W163" s="373">
        <f t="shared" si="3"/>
        <v>-2.7874610639429753E-2</v>
      </c>
      <c r="X163" s="373">
        <f t="shared" si="3"/>
        <v>-2.7928798353410444E-2</v>
      </c>
      <c r="Y163" s="373">
        <f t="shared" si="3"/>
        <v>-1.554811304257353E-2</v>
      </c>
    </row>
    <row r="164" spans="1:25">
      <c r="A164" s="396">
        <v>44851</v>
      </c>
      <c r="B164">
        <v>8.6516809463500977</v>
      </c>
      <c r="C164">
        <v>7.622199535369873</v>
      </c>
      <c r="D164">
        <v>3752.75</v>
      </c>
      <c r="E164">
        <v>16.04999923706055</v>
      </c>
      <c r="F164">
        <v>14.680000305175779</v>
      </c>
      <c r="G164">
        <v>3752.75</v>
      </c>
      <c r="H164">
        <v>16.319999694824219</v>
      </c>
      <c r="I164">
        <v>14.930000305175779</v>
      </c>
      <c r="J164">
        <v>3762.7900390625</v>
      </c>
      <c r="K164">
        <v>13.810000419616699</v>
      </c>
      <c r="L164">
        <v>12.439999580383301</v>
      </c>
      <c r="M164">
        <v>3638.64990234375</v>
      </c>
      <c r="N164">
        <v>14.02000045776367</v>
      </c>
      <c r="O164">
        <v>12.63000011444092</v>
      </c>
      <c r="P164">
        <v>3638.64990234375</v>
      </c>
      <c r="Q164">
        <v>191236300</v>
      </c>
      <c r="R164">
        <v>78222600</v>
      </c>
      <c r="S164">
        <v>22634960000</v>
      </c>
      <c r="W164" s="373">
        <f t="shared" si="3"/>
        <v>0.1505374946298097</v>
      </c>
      <c r="X164" s="373">
        <f t="shared" si="3"/>
        <v>0.17158824421004248</v>
      </c>
      <c r="Y164" s="373">
        <f t="shared" si="3"/>
        <v>4.735601827577951E-2</v>
      </c>
    </row>
    <row r="165" spans="1:25">
      <c r="A165" s="396">
        <v>44858</v>
      </c>
      <c r="B165">
        <v>7.2501630783081046</v>
      </c>
      <c r="C165">
        <v>6.3604869842529297</v>
      </c>
      <c r="D165">
        <v>3901.06005859375</v>
      </c>
      <c r="E165">
        <v>13.44999980926514</v>
      </c>
      <c r="F165">
        <v>12.25</v>
      </c>
      <c r="G165">
        <v>3901.06005859375</v>
      </c>
      <c r="H165">
        <v>15.430000305175779</v>
      </c>
      <c r="I165">
        <v>14.02999973297119</v>
      </c>
      <c r="J165">
        <v>3905.419921875</v>
      </c>
      <c r="K165">
        <v>13.27000045776367</v>
      </c>
      <c r="L165">
        <v>12.02000045776367</v>
      </c>
      <c r="M165">
        <v>3741.64990234375</v>
      </c>
      <c r="N165">
        <v>15.36999988555908</v>
      </c>
      <c r="O165">
        <v>13.94999980926514</v>
      </c>
      <c r="P165">
        <v>3762.010009765625</v>
      </c>
      <c r="Q165">
        <v>227313500</v>
      </c>
      <c r="R165">
        <v>113338600</v>
      </c>
      <c r="S165">
        <v>23555090000</v>
      </c>
      <c r="W165" s="373">
        <f t="shared" si="3"/>
        <v>-0.16199370697242998</v>
      </c>
      <c r="X165" s="373">
        <f t="shared" si="3"/>
        <v>-0.16553129385581189</v>
      </c>
      <c r="Y165" s="373">
        <f t="shared" si="3"/>
        <v>3.9520367355605934E-2</v>
      </c>
    </row>
    <row r="166" spans="1:25">
      <c r="A166" s="396">
        <v>44865</v>
      </c>
      <c r="B166">
        <v>6.8189258575439453</v>
      </c>
      <c r="C166">
        <v>5.830878734588623</v>
      </c>
      <c r="D166">
        <v>3770.550048828125</v>
      </c>
      <c r="E166">
        <v>12.64999961853027</v>
      </c>
      <c r="F166">
        <v>11.22999954223633</v>
      </c>
      <c r="G166">
        <v>3770.550048828125</v>
      </c>
      <c r="H166">
        <v>13.560000419616699</v>
      </c>
      <c r="I166">
        <v>12.159999847412109</v>
      </c>
      <c r="J166">
        <v>3911.7900390625</v>
      </c>
      <c r="K166">
        <v>12.47999954223633</v>
      </c>
      <c r="L166">
        <v>11.189999580383301</v>
      </c>
      <c r="M166">
        <v>3698.14990234375</v>
      </c>
      <c r="N166">
        <v>12.5</v>
      </c>
      <c r="O166">
        <v>11.319999694824221</v>
      </c>
      <c r="P166">
        <v>3881.85009765625</v>
      </c>
      <c r="Q166">
        <v>320945400</v>
      </c>
      <c r="R166">
        <v>111427400</v>
      </c>
      <c r="S166">
        <v>24226300000</v>
      </c>
      <c r="W166" s="373">
        <f t="shared" si="3"/>
        <v>-5.9479658058228524E-2</v>
      </c>
      <c r="X166" s="373">
        <f t="shared" si="3"/>
        <v>-8.326536175225141E-2</v>
      </c>
      <c r="Y166" s="373">
        <f t="shared" si="3"/>
        <v>-3.3455011664873191E-2</v>
      </c>
    </row>
    <row r="167" spans="1:25">
      <c r="A167" s="396">
        <v>44872</v>
      </c>
      <c r="B167">
        <v>6.2313685417175293</v>
      </c>
      <c r="C167">
        <v>5.2597336769104004</v>
      </c>
      <c r="D167">
        <v>3992.929931640625</v>
      </c>
      <c r="E167">
        <v>11.560000419616699</v>
      </c>
      <c r="F167">
        <v>10.13000011444092</v>
      </c>
      <c r="G167">
        <v>3992.929931640625</v>
      </c>
      <c r="H167">
        <v>12.61999988555908</v>
      </c>
      <c r="I167">
        <v>11.170000076293951</v>
      </c>
      <c r="J167">
        <v>4001.47998046875</v>
      </c>
      <c r="K167">
        <v>10.819999694824221</v>
      </c>
      <c r="L167">
        <v>9.5600004196166992</v>
      </c>
      <c r="M167">
        <v>3744.219970703125</v>
      </c>
      <c r="N167">
        <v>12.44999980926514</v>
      </c>
      <c r="O167">
        <v>11.060000419616699</v>
      </c>
      <c r="P167">
        <v>3780.7099609375</v>
      </c>
      <c r="Q167">
        <v>229109900</v>
      </c>
      <c r="R167">
        <v>97945200</v>
      </c>
      <c r="S167">
        <v>24968840000</v>
      </c>
      <c r="W167" s="373">
        <f t="shared" si="3"/>
        <v>-8.616567009250975E-2</v>
      </c>
      <c r="X167" s="373">
        <f t="shared" si="3"/>
        <v>-9.795179829246059E-2</v>
      </c>
      <c r="Y167" s="373">
        <f t="shared" si="3"/>
        <v>5.8978101320154908E-2</v>
      </c>
    </row>
    <row r="168" spans="1:25">
      <c r="A168" s="396">
        <v>44879</v>
      </c>
      <c r="B168">
        <v>6.1181683540344238</v>
      </c>
      <c r="C168">
        <v>5.1558895111083984</v>
      </c>
      <c r="D168">
        <v>3965.340087890625</v>
      </c>
      <c r="E168">
        <v>11.35000038146973</v>
      </c>
      <c r="F168">
        <v>9.9300003051757813</v>
      </c>
      <c r="G168">
        <v>3965.340087890625</v>
      </c>
      <c r="H168">
        <v>12.22999954223633</v>
      </c>
      <c r="I168">
        <v>10.789999961853029</v>
      </c>
      <c r="J168">
        <v>4028.840087890625</v>
      </c>
      <c r="K168">
        <v>11.180000305175779</v>
      </c>
      <c r="L168">
        <v>9.7600002288818359</v>
      </c>
      <c r="M168">
        <v>3906.5400390625</v>
      </c>
      <c r="N168">
        <v>11.69999980926514</v>
      </c>
      <c r="O168">
        <v>10.22000026702881</v>
      </c>
      <c r="P168">
        <v>3977.969970703125</v>
      </c>
      <c r="Q168">
        <v>177625000</v>
      </c>
      <c r="R168">
        <v>75553500</v>
      </c>
      <c r="S168">
        <v>21831700000</v>
      </c>
      <c r="W168" s="373">
        <f t="shared" si="3"/>
        <v>-1.816618402927983E-2</v>
      </c>
      <c r="X168" s="373">
        <f t="shared" si="3"/>
        <v>-1.9743236479418225E-2</v>
      </c>
      <c r="Y168" s="373">
        <f t="shared" si="3"/>
        <v>-6.9096739042109334E-3</v>
      </c>
    </row>
    <row r="169" spans="1:25">
      <c r="A169" s="396">
        <v>44886</v>
      </c>
      <c r="B169">
        <v>5.5521693229675293</v>
      </c>
      <c r="C169">
        <v>4.6262803077697754</v>
      </c>
      <c r="D169">
        <v>4026.1201171875</v>
      </c>
      <c r="E169">
        <v>10.30000019073486</v>
      </c>
      <c r="F169">
        <v>8.9099998474121094</v>
      </c>
      <c r="G169">
        <v>4026.1201171875</v>
      </c>
      <c r="H169">
        <v>11.510000228881839</v>
      </c>
      <c r="I169">
        <v>10.22000026702881</v>
      </c>
      <c r="J169">
        <v>4034.02001953125</v>
      </c>
      <c r="K169">
        <v>9.5600004196166992</v>
      </c>
      <c r="L169">
        <v>8.3500003814697266</v>
      </c>
      <c r="M169">
        <v>3933.340087890625</v>
      </c>
      <c r="N169">
        <v>11.44999980926514</v>
      </c>
      <c r="O169">
        <v>10.10000038146973</v>
      </c>
      <c r="P169">
        <v>3956.22998046875</v>
      </c>
      <c r="Q169">
        <v>177711100</v>
      </c>
      <c r="R169">
        <v>69388300</v>
      </c>
      <c r="S169">
        <v>12724860000</v>
      </c>
      <c r="W169" s="373">
        <f t="shared" si="3"/>
        <v>-9.2511189348633227E-2</v>
      </c>
      <c r="X169" s="373">
        <f t="shared" si="3"/>
        <v>-0.10271926933220277</v>
      </c>
      <c r="Y169" s="373">
        <f t="shared" si="3"/>
        <v>1.5327822569994876E-2</v>
      </c>
    </row>
    <row r="170" spans="1:25">
      <c r="A170" s="396">
        <v>44893</v>
      </c>
      <c r="B170">
        <v>6.9333300590515137</v>
      </c>
      <c r="C170">
        <v>5.9052953720092773</v>
      </c>
      <c r="D170">
        <v>4071.699951171875</v>
      </c>
      <c r="E170">
        <v>11.39999961853027</v>
      </c>
      <c r="F170">
        <v>9.9300003051757813</v>
      </c>
      <c r="G170">
        <v>4071.699951171875</v>
      </c>
      <c r="H170">
        <v>11.789999961853029</v>
      </c>
      <c r="I170">
        <v>10.25</v>
      </c>
      <c r="J170">
        <v>4100.509765625</v>
      </c>
      <c r="K170">
        <v>10.189999580383301</v>
      </c>
      <c r="L170">
        <v>8.8500003814697266</v>
      </c>
      <c r="M170">
        <v>3937.64990234375</v>
      </c>
      <c r="N170">
        <v>10.210000038146971</v>
      </c>
      <c r="O170">
        <v>8.880000114440918</v>
      </c>
      <c r="P170">
        <v>4005.360107421875</v>
      </c>
      <c r="Q170">
        <v>155184300</v>
      </c>
      <c r="R170">
        <v>66007900</v>
      </c>
      <c r="S170">
        <v>22280580000</v>
      </c>
      <c r="W170" s="373">
        <f t="shared" si="3"/>
        <v>0.24876055749426973</v>
      </c>
      <c r="X170" s="373">
        <f t="shared" si="3"/>
        <v>0.27646726509230612</v>
      </c>
      <c r="Y170" s="373">
        <f t="shared" si="3"/>
        <v>1.1321031826595274E-2</v>
      </c>
    </row>
    <row r="171" spans="1:25">
      <c r="A171" s="396">
        <v>44900</v>
      </c>
      <c r="B171">
        <v>6.5136818885803223</v>
      </c>
      <c r="C171">
        <v>5.607947826385498</v>
      </c>
      <c r="D171">
        <v>3934.3798828125</v>
      </c>
      <c r="E171">
        <v>10.710000038146971</v>
      </c>
      <c r="F171">
        <v>9.4300003051757813</v>
      </c>
      <c r="G171">
        <v>3934.3798828125</v>
      </c>
      <c r="H171">
        <v>11.47999954223633</v>
      </c>
      <c r="I171">
        <v>10.090000152587891</v>
      </c>
      <c r="J171">
        <v>4052.449951171875</v>
      </c>
      <c r="K171">
        <v>10.60999965667725</v>
      </c>
      <c r="L171">
        <v>9.3500003814697266</v>
      </c>
      <c r="M171">
        <v>3918.389892578125</v>
      </c>
      <c r="N171">
        <v>11.430000305175779</v>
      </c>
      <c r="O171">
        <v>10</v>
      </c>
      <c r="P171">
        <v>4052.02001953125</v>
      </c>
      <c r="Q171">
        <v>112092400</v>
      </c>
      <c r="R171">
        <v>43712200</v>
      </c>
      <c r="S171">
        <v>20662410000</v>
      </c>
      <c r="W171" s="373">
        <f t="shared" si="3"/>
        <v>-6.0526207016978417E-2</v>
      </c>
      <c r="X171" s="373">
        <f t="shared" si="3"/>
        <v>-5.0352696502394712E-2</v>
      </c>
      <c r="Y171" s="373">
        <f t="shared" si="3"/>
        <v>-3.3725488126857939E-2</v>
      </c>
    </row>
    <row r="172" spans="1:25">
      <c r="A172" s="396">
        <v>44907</v>
      </c>
      <c r="B172">
        <v>5.6987109184265137</v>
      </c>
      <c r="C172">
        <v>4.9299988746643066</v>
      </c>
      <c r="D172">
        <v>3852.360107421875</v>
      </c>
      <c r="E172">
        <v>9.369999885559082</v>
      </c>
      <c r="F172">
        <v>8.2899999618530273</v>
      </c>
      <c r="G172">
        <v>3852.360107421875</v>
      </c>
      <c r="H172">
        <v>10.510000228881839</v>
      </c>
      <c r="I172">
        <v>9.119999885559082</v>
      </c>
      <c r="J172">
        <v>4100.9599609375</v>
      </c>
      <c r="K172">
        <v>8.880000114440918</v>
      </c>
      <c r="L172">
        <v>7.8600001335144043</v>
      </c>
      <c r="M172">
        <v>3827.909912109375</v>
      </c>
      <c r="N172">
        <v>10.27999973297119</v>
      </c>
      <c r="O172">
        <v>8.9300003051757813</v>
      </c>
      <c r="P172">
        <v>3939.2900390625</v>
      </c>
      <c r="Q172">
        <v>268662700</v>
      </c>
      <c r="R172">
        <v>102168600</v>
      </c>
      <c r="S172">
        <v>25443390000</v>
      </c>
      <c r="W172" s="373">
        <f t="shared" si="3"/>
        <v>-0.12511679018015942</v>
      </c>
      <c r="X172" s="373">
        <f t="shared" si="3"/>
        <v>-0.12089073805776673</v>
      </c>
      <c r="Y172" s="373">
        <f t="shared" si="3"/>
        <v>-2.0846938484240352E-2</v>
      </c>
    </row>
    <row r="173" spans="1:25">
      <c r="A173" s="396">
        <v>44914</v>
      </c>
      <c r="B173">
        <v>6.7447919845581046</v>
      </c>
      <c r="C173">
        <v>5.8339300155639648</v>
      </c>
      <c r="D173">
        <v>3844.820068359375</v>
      </c>
      <c r="E173">
        <v>11.090000152587891</v>
      </c>
      <c r="F173">
        <v>9.8100004196166992</v>
      </c>
      <c r="G173">
        <v>3844.820068359375</v>
      </c>
      <c r="H173">
        <v>11.090000152587891</v>
      </c>
      <c r="I173">
        <v>9.8199996948242188</v>
      </c>
      <c r="J173">
        <v>3889.820068359375</v>
      </c>
      <c r="K173">
        <v>9.3299999237060547</v>
      </c>
      <c r="L173">
        <v>8.2200002670288086</v>
      </c>
      <c r="M173">
        <v>3764.489990234375</v>
      </c>
      <c r="N173">
        <v>9.380000114440918</v>
      </c>
      <c r="O173">
        <v>8.2700004577636719</v>
      </c>
      <c r="P173">
        <v>3853.7900390625</v>
      </c>
      <c r="Q173">
        <v>134286400</v>
      </c>
      <c r="R173">
        <v>61236800</v>
      </c>
      <c r="S173">
        <v>18506410000</v>
      </c>
      <c r="W173" s="373">
        <f t="shared" si="3"/>
        <v>0.18356450802744484</v>
      </c>
      <c r="X173" s="373">
        <f t="shared" si="3"/>
        <v>0.1833532144490011</v>
      </c>
      <c r="Y173" s="373">
        <f t="shared" si="3"/>
        <v>-1.9572518799511052E-3</v>
      </c>
    </row>
    <row r="174" spans="1:25">
      <c r="A174" s="396">
        <v>44921</v>
      </c>
      <c r="B174">
        <v>6.4771904945373544</v>
      </c>
      <c r="C174">
        <v>5.5246906280517578</v>
      </c>
      <c r="D174">
        <v>3839.5</v>
      </c>
      <c r="E174">
        <v>10.64999961853027</v>
      </c>
      <c r="F174">
        <v>9.2899999618530273</v>
      </c>
      <c r="G174">
        <v>3839.5</v>
      </c>
      <c r="H174">
        <v>11.060000419616699</v>
      </c>
      <c r="I174">
        <v>9.6700000762939453</v>
      </c>
      <c r="J174">
        <v>3858.18994140625</v>
      </c>
      <c r="K174">
        <v>10.579999923706049</v>
      </c>
      <c r="L174">
        <v>9.2299995422363281</v>
      </c>
      <c r="M174">
        <v>3780.780029296875</v>
      </c>
      <c r="N174">
        <v>10.64999961853027</v>
      </c>
      <c r="O174">
        <v>9.3400001525878906</v>
      </c>
      <c r="P174">
        <v>3843.340087890625</v>
      </c>
      <c r="Q174">
        <v>82222100</v>
      </c>
      <c r="R174">
        <v>44081800</v>
      </c>
      <c r="S174">
        <v>12097370000</v>
      </c>
      <c r="W174" s="373">
        <f t="shared" si="3"/>
        <v>-3.9675276959380112E-2</v>
      </c>
      <c r="X174" s="373">
        <f t="shared" si="3"/>
        <v>-5.300704442583426E-2</v>
      </c>
      <c r="Y174" s="373">
        <f t="shared" si="3"/>
        <v>-1.3836976151774261E-3</v>
      </c>
    </row>
    <row r="175" spans="1:25">
      <c r="A175" s="396">
        <v>44928</v>
      </c>
      <c r="B175">
        <v>6.2521605491638184</v>
      </c>
      <c r="C175">
        <v>5.4057526588439941</v>
      </c>
      <c r="D175">
        <v>3895.080078125</v>
      </c>
      <c r="E175">
        <v>10.27999973297119</v>
      </c>
      <c r="F175">
        <v>9.0900001525878906</v>
      </c>
      <c r="G175">
        <v>3895.080078125</v>
      </c>
      <c r="H175">
        <v>10.38000011444092</v>
      </c>
      <c r="I175">
        <v>9.119999885559082</v>
      </c>
      <c r="J175">
        <v>3906.18994140625</v>
      </c>
      <c r="K175">
        <v>9.2700004577636719</v>
      </c>
      <c r="L175">
        <v>8.1000003814697266</v>
      </c>
      <c r="M175">
        <v>3794.330078125</v>
      </c>
      <c r="N175">
        <v>9.7700004577636719</v>
      </c>
      <c r="O175">
        <v>8.4399995803833008</v>
      </c>
      <c r="P175">
        <v>3853.2900390625</v>
      </c>
      <c r="Q175">
        <v>124285800</v>
      </c>
      <c r="R175">
        <v>41248900</v>
      </c>
      <c r="S175">
        <v>16190230000</v>
      </c>
      <c r="W175" s="373">
        <f t="shared" si="3"/>
        <v>-3.4741906319309068E-2</v>
      </c>
      <c r="X175" s="373">
        <f t="shared" si="3"/>
        <v>-2.1528439729068816E-2</v>
      </c>
      <c r="Y175" s="373">
        <f t="shared" si="3"/>
        <v>1.4475863556452584E-2</v>
      </c>
    </row>
    <row r="176" spans="1:25">
      <c r="A176" s="396">
        <v>44935</v>
      </c>
      <c r="B176">
        <v>6.5927462577819824</v>
      </c>
      <c r="C176">
        <v>5.7268867492675781</v>
      </c>
      <c r="D176">
        <v>3999.090087890625</v>
      </c>
      <c r="E176">
        <v>10.840000152587891</v>
      </c>
      <c r="F176">
        <v>9.630000114440918</v>
      </c>
      <c r="G176">
        <v>3999.090087890625</v>
      </c>
      <c r="H176">
        <v>10.939999580383301</v>
      </c>
      <c r="I176">
        <v>9.6999998092651367</v>
      </c>
      <c r="J176">
        <v>4003.949951171875</v>
      </c>
      <c r="K176">
        <v>10.10000038146973</v>
      </c>
      <c r="L176">
        <v>8.8999996185302734</v>
      </c>
      <c r="M176">
        <v>3877.2900390625</v>
      </c>
      <c r="N176">
        <v>10.22000026702881</v>
      </c>
      <c r="O176">
        <v>8.9499998092651367</v>
      </c>
      <c r="P176">
        <v>3910.820068359375</v>
      </c>
      <c r="Q176">
        <v>91047500</v>
      </c>
      <c r="R176">
        <v>48776100</v>
      </c>
      <c r="S176">
        <v>20846120000</v>
      </c>
      <c r="W176" s="373">
        <f t="shared" si="3"/>
        <v>5.4474882073160202E-2</v>
      </c>
      <c r="X176" s="373">
        <f t="shared" si="3"/>
        <v>5.9405990375493323E-2</v>
      </c>
      <c r="Y176" s="373">
        <f t="shared" si="3"/>
        <v>2.67029194983055E-2</v>
      </c>
    </row>
    <row r="177" spans="1:25">
      <c r="A177" s="396">
        <v>44942</v>
      </c>
      <c r="B177">
        <v>6.9698224067687988</v>
      </c>
      <c r="C177">
        <v>6.036125659942627</v>
      </c>
      <c r="D177">
        <v>3972.610107421875</v>
      </c>
      <c r="E177">
        <v>11.460000038146971</v>
      </c>
      <c r="F177">
        <v>10.14999961853027</v>
      </c>
      <c r="G177">
        <v>3972.610107421875</v>
      </c>
      <c r="H177">
        <v>11.52999973297119</v>
      </c>
      <c r="I177">
        <v>10.22999954223633</v>
      </c>
      <c r="J177">
        <v>4015.389892578125</v>
      </c>
      <c r="K177">
        <v>10.739999771118161</v>
      </c>
      <c r="L177">
        <v>9.5600004196166992</v>
      </c>
      <c r="M177">
        <v>3885.5400390625</v>
      </c>
      <c r="N177">
        <v>10.739999771118161</v>
      </c>
      <c r="O177">
        <v>9.5600004196166992</v>
      </c>
      <c r="P177">
        <v>3999.280029296875</v>
      </c>
      <c r="Q177">
        <v>103177400</v>
      </c>
      <c r="R177">
        <v>51274200</v>
      </c>
      <c r="S177">
        <v>16539130000</v>
      </c>
      <c r="W177" s="373">
        <f t="shared" si="3"/>
        <v>5.7195610788405737E-2</v>
      </c>
      <c r="X177" s="373">
        <f t="shared" si="3"/>
        <v>5.3997734583209223E-2</v>
      </c>
      <c r="Y177" s="373">
        <f t="shared" si="3"/>
        <v>-6.6215013632556774E-3</v>
      </c>
    </row>
    <row r="178" spans="1:25">
      <c r="A178" s="396">
        <v>44949</v>
      </c>
      <c r="B178">
        <v>6.866429328918457</v>
      </c>
      <c r="C178">
        <v>5.9647631645202637</v>
      </c>
      <c r="D178">
        <v>4070.56005859375</v>
      </c>
      <c r="E178">
        <v>11.289999961853029</v>
      </c>
      <c r="F178">
        <v>10.02999973297119</v>
      </c>
      <c r="G178">
        <v>4070.56005859375</v>
      </c>
      <c r="H178">
        <v>12.35000038146973</v>
      </c>
      <c r="I178">
        <v>10.689999580383301</v>
      </c>
      <c r="J178">
        <v>4094.2099609375</v>
      </c>
      <c r="K178">
        <v>11.210000038146971</v>
      </c>
      <c r="L178">
        <v>10</v>
      </c>
      <c r="M178">
        <v>3949.06005859375</v>
      </c>
      <c r="N178">
        <v>11.569999694824221</v>
      </c>
      <c r="O178">
        <v>10.22000026702881</v>
      </c>
      <c r="P178">
        <v>3978.139892578125</v>
      </c>
      <c r="Q178">
        <v>115008500</v>
      </c>
      <c r="R178">
        <v>53045000</v>
      </c>
      <c r="S178">
        <v>18707010000</v>
      </c>
      <c r="W178" s="373">
        <f t="shared" si="3"/>
        <v>-1.4834392014053455E-2</v>
      </c>
      <c r="X178" s="373">
        <f t="shared" si="3"/>
        <v>-1.1822566235813237E-2</v>
      </c>
      <c r="Y178" s="373">
        <f t="shared" si="3"/>
        <v>2.4656321290850824E-2</v>
      </c>
    </row>
    <row r="179" spans="1:25">
      <c r="A179" s="396">
        <v>44956</v>
      </c>
      <c r="B179">
        <v>6.5927462577819824</v>
      </c>
      <c r="C179">
        <v>5.7744617462158203</v>
      </c>
      <c r="D179">
        <v>4136.47998046875</v>
      </c>
      <c r="E179">
        <v>10.840000152587891</v>
      </c>
      <c r="F179">
        <v>9.7100000381469727</v>
      </c>
      <c r="G179">
        <v>4136.47998046875</v>
      </c>
      <c r="H179">
        <v>11.77000045776367</v>
      </c>
      <c r="I179">
        <v>10.439999580383301</v>
      </c>
      <c r="J179">
        <v>4195.43994140625</v>
      </c>
      <c r="K179">
        <v>10.72999954223633</v>
      </c>
      <c r="L179">
        <v>9.5600004196166992</v>
      </c>
      <c r="M179">
        <v>4015.550048828125</v>
      </c>
      <c r="N179">
        <v>11.489999771118161</v>
      </c>
      <c r="O179">
        <v>10.14999961853027</v>
      </c>
      <c r="P179">
        <v>4049.27001953125</v>
      </c>
      <c r="Q179">
        <v>125908100</v>
      </c>
      <c r="R179">
        <v>43392000</v>
      </c>
      <c r="S179">
        <v>23657120000</v>
      </c>
      <c r="W179" s="373">
        <f t="shared" si="3"/>
        <v>-3.9858135579119547E-2</v>
      </c>
      <c r="X179" s="373">
        <f t="shared" si="3"/>
        <v>-3.1904270640014443E-2</v>
      </c>
      <c r="Y179" s="373">
        <f t="shared" si="3"/>
        <v>1.6194312558005519E-2</v>
      </c>
    </row>
    <row r="180" spans="1:25">
      <c r="A180" s="396">
        <v>44963</v>
      </c>
      <c r="B180">
        <v>7.012394905090332</v>
      </c>
      <c r="C180">
        <v>6.1074895858764648</v>
      </c>
      <c r="D180">
        <v>4090.4599609375</v>
      </c>
      <c r="E180">
        <v>11.52999973297119</v>
      </c>
      <c r="F180">
        <v>10.27000045776367</v>
      </c>
      <c r="G180">
        <v>4090.4599609375</v>
      </c>
      <c r="H180">
        <v>11.569999694824221</v>
      </c>
      <c r="I180">
        <v>10.30000019073486</v>
      </c>
      <c r="J180">
        <v>4176.5400390625</v>
      </c>
      <c r="K180">
        <v>10.710000038146971</v>
      </c>
      <c r="L180">
        <v>9.5399999618530273</v>
      </c>
      <c r="M180">
        <v>4060.7900390625</v>
      </c>
      <c r="N180">
        <v>10.840000152587891</v>
      </c>
      <c r="O180">
        <v>9.6599998474121094</v>
      </c>
      <c r="P180">
        <v>4119.56982421875</v>
      </c>
      <c r="Q180">
        <v>137257400</v>
      </c>
      <c r="R180">
        <v>38566300</v>
      </c>
      <c r="S180">
        <v>20661640000</v>
      </c>
      <c r="W180" s="373">
        <f t="shared" si="3"/>
        <v>6.3653086422521099E-2</v>
      </c>
      <c r="X180" s="373">
        <f t="shared" si="3"/>
        <v>5.7672533700459327E-2</v>
      </c>
      <c r="Y180" s="373">
        <f t="shared" si="3"/>
        <v>-1.1125406081630485E-2</v>
      </c>
    </row>
    <row r="181" spans="1:25">
      <c r="A181" s="396">
        <v>44970</v>
      </c>
      <c r="B181">
        <v>7.0245575904846191</v>
      </c>
      <c r="C181">
        <v>6.0955948829650879</v>
      </c>
      <c r="D181">
        <v>4079.090087890625</v>
      </c>
      <c r="E181">
        <v>11.55000019073486</v>
      </c>
      <c r="F181">
        <v>10.25</v>
      </c>
      <c r="G181">
        <v>4079.090087890625</v>
      </c>
      <c r="H181">
        <v>11.80000019073486</v>
      </c>
      <c r="I181">
        <v>10.47000026702881</v>
      </c>
      <c r="J181">
        <v>4159.77001953125</v>
      </c>
      <c r="K181">
        <v>11.39000034332275</v>
      </c>
      <c r="L181">
        <v>10.10999965667725</v>
      </c>
      <c r="M181">
        <v>4047.949951171875</v>
      </c>
      <c r="N181">
        <v>11.489999771118161</v>
      </c>
      <c r="O181">
        <v>10.22999954223633</v>
      </c>
      <c r="P181">
        <v>4096.6201171875</v>
      </c>
      <c r="Q181">
        <v>84125200</v>
      </c>
      <c r="R181">
        <v>28161200</v>
      </c>
      <c r="S181">
        <v>19642940000</v>
      </c>
      <c r="W181" s="373">
        <f t="shared" si="3"/>
        <v>1.7344552836660032E-3</v>
      </c>
      <c r="X181" s="373">
        <f t="shared" si="3"/>
        <v>-1.9475600808036564E-3</v>
      </c>
      <c r="Y181" s="373">
        <f t="shared" si="3"/>
        <v>-2.7796074660193515E-3</v>
      </c>
    </row>
    <row r="182" spans="1:25">
      <c r="A182" s="396">
        <v>44977</v>
      </c>
      <c r="B182">
        <v>6.9211664199829102</v>
      </c>
      <c r="C182">
        <v>5.9885501861572266</v>
      </c>
      <c r="D182">
        <v>3970.0400390625</v>
      </c>
      <c r="E182">
        <v>11.38000011444092</v>
      </c>
      <c r="F182">
        <v>10.069999694824221</v>
      </c>
      <c r="G182">
        <v>3970.0400390625</v>
      </c>
      <c r="H182">
        <v>11.840000152587891</v>
      </c>
      <c r="I182">
        <v>10.47999954223633</v>
      </c>
      <c r="J182">
        <v>4052.35009765625</v>
      </c>
      <c r="K182">
        <v>11.189999580383301</v>
      </c>
      <c r="L182">
        <v>9.9499998092651367</v>
      </c>
      <c r="M182">
        <v>3943.080078125</v>
      </c>
      <c r="N182">
        <v>11.5</v>
      </c>
      <c r="O182">
        <v>10.239999771118161</v>
      </c>
      <c r="P182">
        <v>4052.35009765625</v>
      </c>
      <c r="Q182">
        <v>65165900</v>
      </c>
      <c r="R182">
        <v>29488300</v>
      </c>
      <c r="S182">
        <v>16031550000</v>
      </c>
      <c r="W182" s="373">
        <f t="shared" si="3"/>
        <v>-1.4718531262632339E-2</v>
      </c>
      <c r="X182" s="373">
        <f t="shared" si="3"/>
        <v>-1.7560992628793515E-2</v>
      </c>
      <c r="Y182" s="373">
        <f t="shared" si="3"/>
        <v>-2.6733915279747333E-2</v>
      </c>
    </row>
    <row r="183" spans="1:25">
      <c r="A183" s="396">
        <v>44984</v>
      </c>
      <c r="B183">
        <v>6.7873659133911133</v>
      </c>
      <c r="C183">
        <v>5.851771354675293</v>
      </c>
      <c r="D183">
        <v>4045.639892578125</v>
      </c>
      <c r="E183">
        <v>11.159999847412109</v>
      </c>
      <c r="F183">
        <v>9.8400001525878906</v>
      </c>
      <c r="G183">
        <v>4045.639892578125</v>
      </c>
      <c r="H183">
        <v>11.739999771118161</v>
      </c>
      <c r="I183">
        <v>10.340000152587891</v>
      </c>
      <c r="J183">
        <v>4048.2900390625</v>
      </c>
      <c r="K183">
        <v>10.460000038146971</v>
      </c>
      <c r="L183">
        <v>9.2899999618530273</v>
      </c>
      <c r="M183">
        <v>3928.159912109375</v>
      </c>
      <c r="N183">
        <v>11.420000076293951</v>
      </c>
      <c r="O183">
        <v>10.079999923706049</v>
      </c>
      <c r="P183">
        <v>3992.360107421875</v>
      </c>
      <c r="Q183">
        <v>182424500</v>
      </c>
      <c r="R183">
        <v>61548700</v>
      </c>
      <c r="S183">
        <v>21459460000</v>
      </c>
      <c r="W183" s="373">
        <f t="shared" si="3"/>
        <v>-1.9332074750505357E-2</v>
      </c>
      <c r="X183" s="373">
        <f t="shared" si="3"/>
        <v>-2.2840057648360945E-2</v>
      </c>
      <c r="Y183" s="373">
        <f t="shared" si="3"/>
        <v>1.9042592208585729E-2</v>
      </c>
    </row>
    <row r="184" spans="1:25">
      <c r="A184" s="396">
        <v>44991</v>
      </c>
      <c r="B184">
        <v>6.6170735359191886</v>
      </c>
      <c r="C184">
        <v>5.7328343391418457</v>
      </c>
      <c r="D184">
        <v>3861.590087890625</v>
      </c>
      <c r="E184">
        <v>10.88000011444092</v>
      </c>
      <c r="F184">
        <v>9.6400003433227539</v>
      </c>
      <c r="G184">
        <v>3861.590087890625</v>
      </c>
      <c r="H184">
        <v>11.60999965667725</v>
      </c>
      <c r="I184">
        <v>10.260000228881839</v>
      </c>
      <c r="J184">
        <v>4078.489990234375</v>
      </c>
      <c r="K184">
        <v>10.85000038146973</v>
      </c>
      <c r="L184">
        <v>9.5900001525878906</v>
      </c>
      <c r="M184">
        <v>3846.320068359375</v>
      </c>
      <c r="N184">
        <v>11.10000038146973</v>
      </c>
      <c r="O184">
        <v>9.8400001525878906</v>
      </c>
      <c r="P184">
        <v>4055.14990234375</v>
      </c>
      <c r="Q184">
        <v>113109100</v>
      </c>
      <c r="R184">
        <v>42020400</v>
      </c>
      <c r="S184">
        <v>21422390000</v>
      </c>
      <c r="W184" s="373">
        <f t="shared" si="3"/>
        <v>-2.5089612029896124E-2</v>
      </c>
      <c r="X184" s="373">
        <f t="shared" si="3"/>
        <v>-2.0324959456664682E-2</v>
      </c>
      <c r="Y184" s="373">
        <f t="shared" si="3"/>
        <v>-4.5493373007604143E-2</v>
      </c>
    </row>
    <row r="185" spans="1:25">
      <c r="A185" s="396">
        <v>44998</v>
      </c>
      <c r="B185">
        <v>6.0757865905761719</v>
      </c>
      <c r="C185">
        <v>5.2511320114135742</v>
      </c>
      <c r="D185">
        <v>3916.639892578125</v>
      </c>
      <c r="E185">
        <v>9.9899997711181641</v>
      </c>
      <c r="F185">
        <v>8.8299999237060547</v>
      </c>
      <c r="G185">
        <v>3916.639892578125</v>
      </c>
      <c r="H185">
        <v>10.77000045776367</v>
      </c>
      <c r="I185">
        <v>9.5399999618530273</v>
      </c>
      <c r="J185">
        <v>3964.4599609375</v>
      </c>
      <c r="K185">
        <v>9.6400003433227539</v>
      </c>
      <c r="L185">
        <v>8.5699996948242188</v>
      </c>
      <c r="M185">
        <v>3808.860107421875</v>
      </c>
      <c r="N185">
        <v>10.539999961853029</v>
      </c>
      <c r="O185">
        <v>9.2799997329711914</v>
      </c>
      <c r="P185">
        <v>3835.1201171875</v>
      </c>
      <c r="Q185">
        <v>125664700</v>
      </c>
      <c r="R185">
        <v>46243800</v>
      </c>
      <c r="S185">
        <v>33867970000</v>
      </c>
      <c r="W185" s="373">
        <f t="shared" si="3"/>
        <v>-8.1801561128914568E-2</v>
      </c>
      <c r="X185" s="373">
        <f t="shared" si="3"/>
        <v>-8.4025160894563355E-2</v>
      </c>
      <c r="Y185" s="373">
        <f t="shared" si="3"/>
        <v>1.4255734926430508E-2</v>
      </c>
    </row>
    <row r="186" spans="1:25">
      <c r="A186" s="396">
        <v>45005</v>
      </c>
      <c r="B186">
        <v>5.8994121551513672</v>
      </c>
      <c r="C186">
        <v>5.1738224029541016</v>
      </c>
      <c r="D186">
        <v>3970.989990234375</v>
      </c>
      <c r="E186">
        <v>9.6999998092651367</v>
      </c>
      <c r="F186">
        <v>8.6999998092651367</v>
      </c>
      <c r="G186">
        <v>3970.989990234375</v>
      </c>
      <c r="H186">
        <v>10.14000034332275</v>
      </c>
      <c r="I186">
        <v>9.0799999237060547</v>
      </c>
      <c r="J186">
        <v>4039.489990234375</v>
      </c>
      <c r="K186">
        <v>9.5600004196166992</v>
      </c>
      <c r="L186">
        <v>8.5200004577636719</v>
      </c>
      <c r="M186">
        <v>3909.159912109375</v>
      </c>
      <c r="N186">
        <v>9.9499998092651367</v>
      </c>
      <c r="O186">
        <v>8.8999996185302734</v>
      </c>
      <c r="P186">
        <v>3917.469970703125</v>
      </c>
      <c r="Q186">
        <v>106082900</v>
      </c>
      <c r="R186">
        <v>43694300</v>
      </c>
      <c r="S186">
        <v>24375960000</v>
      </c>
      <c r="W186" s="373">
        <f t="shared" si="3"/>
        <v>-2.9029070194527495E-2</v>
      </c>
      <c r="X186" s="373">
        <f t="shared" si="3"/>
        <v>-1.4722465230627702E-2</v>
      </c>
      <c r="Y186" s="373">
        <f t="shared" si="3"/>
        <v>1.3876715538551521E-2</v>
      </c>
    </row>
    <row r="187" spans="1:25">
      <c r="A187" s="396">
        <v>45012</v>
      </c>
      <c r="B187">
        <v>6.3433899879455566</v>
      </c>
      <c r="C187">
        <v>5.5187439918518066</v>
      </c>
      <c r="D187">
        <v>4109.31005859375</v>
      </c>
      <c r="E187">
        <v>10.430000305175779</v>
      </c>
      <c r="F187">
        <v>9.2799997329711914</v>
      </c>
      <c r="G187">
        <v>4109.31005859375</v>
      </c>
      <c r="H187">
        <v>10.69999980926514</v>
      </c>
      <c r="I187">
        <v>9.5399999618530273</v>
      </c>
      <c r="J187">
        <v>4110.75</v>
      </c>
      <c r="K187">
        <v>9.75</v>
      </c>
      <c r="L187">
        <v>8.7299995422363281</v>
      </c>
      <c r="M187">
        <v>3951.530029296875</v>
      </c>
      <c r="N187">
        <v>9.880000114440918</v>
      </c>
      <c r="O187">
        <v>8.8299999237060547</v>
      </c>
      <c r="P187">
        <v>3982.929931640625</v>
      </c>
      <c r="Q187">
        <v>82735500</v>
      </c>
      <c r="R187">
        <v>33783900</v>
      </c>
      <c r="S187">
        <v>20849370000</v>
      </c>
      <c r="W187" s="373">
        <f t="shared" si="3"/>
        <v>7.5257978442226259E-2</v>
      </c>
      <c r="X187" s="373">
        <f t="shared" si="3"/>
        <v>6.6666685099350254E-2</v>
      </c>
      <c r="Y187" s="373">
        <f t="shared" si="3"/>
        <v>3.4832640903033729E-2</v>
      </c>
    </row>
    <row r="188" spans="1:25">
      <c r="A188" s="396">
        <v>45019</v>
      </c>
      <c r="B188">
        <v>6.5015172958374023</v>
      </c>
      <c r="C188">
        <v>5.6555233001708984</v>
      </c>
      <c r="D188">
        <v>4105.02001953125</v>
      </c>
      <c r="E188">
        <v>10.689999580383301</v>
      </c>
      <c r="F188">
        <v>9.5100002288818359</v>
      </c>
      <c r="G188">
        <v>4105.02001953125</v>
      </c>
      <c r="H188">
        <v>10.989999771118161</v>
      </c>
      <c r="I188">
        <v>9.75</v>
      </c>
      <c r="J188">
        <v>4133.1298828125</v>
      </c>
      <c r="K188">
        <v>10.489999771118161</v>
      </c>
      <c r="L188">
        <v>9.2399997711181641</v>
      </c>
      <c r="M188">
        <v>4069.840087890625</v>
      </c>
      <c r="N188">
        <v>10.61999988555908</v>
      </c>
      <c r="O188">
        <v>9.4300003051757813</v>
      </c>
      <c r="P188">
        <v>4102.2001953125</v>
      </c>
      <c r="Q188">
        <v>65665100</v>
      </c>
      <c r="R188">
        <v>35361100</v>
      </c>
      <c r="S188">
        <v>15917210000</v>
      </c>
      <c r="W188" s="373">
        <f t="shared" si="3"/>
        <v>2.4927886854243075E-2</v>
      </c>
      <c r="X188" s="373">
        <f t="shared" si="3"/>
        <v>2.4784499610969624E-2</v>
      </c>
      <c r="Y188" s="373">
        <f t="shared" si="3"/>
        <v>-1.043980376591036E-3</v>
      </c>
    </row>
    <row r="189" spans="1:25">
      <c r="A189" s="396">
        <v>45026</v>
      </c>
      <c r="B189">
        <v>7.3347330093383789</v>
      </c>
      <c r="C189">
        <v>6.3751010894775391</v>
      </c>
      <c r="D189">
        <v>4137.64013671875</v>
      </c>
      <c r="E189">
        <v>12.060000419616699</v>
      </c>
      <c r="F189">
        <v>10.72000026702881</v>
      </c>
      <c r="G189">
        <v>4137.64013671875</v>
      </c>
      <c r="H189">
        <v>12.10000038146973</v>
      </c>
      <c r="I189">
        <v>10.75</v>
      </c>
      <c r="J189">
        <v>4163.18994140625</v>
      </c>
      <c r="K189">
        <v>10.760000228881839</v>
      </c>
      <c r="L189">
        <v>9.5600004196166992</v>
      </c>
      <c r="M189">
        <v>4072.550048828125</v>
      </c>
      <c r="N189">
        <v>10.77999973297119</v>
      </c>
      <c r="O189">
        <v>9.5600004196166992</v>
      </c>
      <c r="P189">
        <v>4085.199951171875</v>
      </c>
      <c r="Q189">
        <v>87548100</v>
      </c>
      <c r="R189">
        <v>27010900</v>
      </c>
      <c r="S189">
        <v>17894880000</v>
      </c>
      <c r="W189" s="373">
        <f t="shared" si="3"/>
        <v>0.12815711711394551</v>
      </c>
      <c r="X189" s="373">
        <f t="shared" si="3"/>
        <v>0.12723451944489317</v>
      </c>
      <c r="Y189" s="373">
        <f t="shared" si="3"/>
        <v>7.9463966149486698E-3</v>
      </c>
    </row>
    <row r="190" spans="1:25">
      <c r="A190" s="396">
        <v>45033</v>
      </c>
      <c r="B190">
        <v>7.0549674034118652</v>
      </c>
      <c r="C190">
        <v>6.196692943572998</v>
      </c>
      <c r="D190">
        <v>4133.52001953125</v>
      </c>
      <c r="E190">
        <v>11.60000038146973</v>
      </c>
      <c r="F190">
        <v>10.420000076293951</v>
      </c>
      <c r="G190">
        <v>4133.52001953125</v>
      </c>
      <c r="H190">
        <v>12.409999847412109</v>
      </c>
      <c r="I190">
        <v>11.11999988555908</v>
      </c>
      <c r="J190">
        <v>4169.47998046875</v>
      </c>
      <c r="K190">
        <v>11.539999961853029</v>
      </c>
      <c r="L190">
        <v>10.38000011444092</v>
      </c>
      <c r="M190">
        <v>4113.85986328125</v>
      </c>
      <c r="N190">
        <v>12.10999965667725</v>
      </c>
      <c r="O190">
        <v>10.80000019073486</v>
      </c>
      <c r="P190">
        <v>4137.169921875</v>
      </c>
      <c r="Q190">
        <v>99826400</v>
      </c>
      <c r="R190">
        <v>39608900</v>
      </c>
      <c r="S190">
        <v>18104210000</v>
      </c>
      <c r="W190" s="373">
        <f t="shared" si="3"/>
        <v>-3.8142575274426993E-2</v>
      </c>
      <c r="X190" s="373">
        <f t="shared" si="3"/>
        <v>-2.7985147749109984E-2</v>
      </c>
      <c r="Y190" s="373">
        <f t="shared" si="3"/>
        <v>-9.9576498954967452E-4</v>
      </c>
    </row>
    <row r="191" spans="1:25">
      <c r="A191" s="396">
        <v>45040</v>
      </c>
      <c r="B191">
        <v>6.4589443206787109</v>
      </c>
      <c r="C191">
        <v>5.6436290740966797</v>
      </c>
      <c r="D191">
        <v>4169.47998046875</v>
      </c>
      <c r="E191">
        <v>10.61999988555908</v>
      </c>
      <c r="F191">
        <v>9.4899997711181641</v>
      </c>
      <c r="G191">
        <v>4169.47998046875</v>
      </c>
      <c r="H191">
        <v>12.05000019073486</v>
      </c>
      <c r="I191">
        <v>10.89000034332275</v>
      </c>
      <c r="J191">
        <v>4170.06005859375</v>
      </c>
      <c r="K191">
        <v>10.310000419616699</v>
      </c>
      <c r="L191">
        <v>9.2600002288818359</v>
      </c>
      <c r="M191">
        <v>4049.35009765625</v>
      </c>
      <c r="N191">
        <v>11.760000228881839</v>
      </c>
      <c r="O191">
        <v>10.579999923706049</v>
      </c>
      <c r="P191">
        <v>4132.06982421875</v>
      </c>
      <c r="Q191">
        <v>138974600</v>
      </c>
      <c r="R191">
        <v>58681300</v>
      </c>
      <c r="S191">
        <v>18944960000</v>
      </c>
      <c r="W191" s="373">
        <f t="shared" si="3"/>
        <v>-8.448275500818192E-2</v>
      </c>
      <c r="X191" s="373">
        <f t="shared" si="3"/>
        <v>-8.9251456302984589E-2</v>
      </c>
      <c r="Y191" s="373">
        <f t="shared" si="3"/>
        <v>8.6995976232329131E-3</v>
      </c>
    </row>
    <row r="192" spans="1:25">
      <c r="A192" s="396">
        <v>45047</v>
      </c>
      <c r="B192">
        <v>7.3167052268981934</v>
      </c>
      <c r="C192">
        <v>6.5238542556762704</v>
      </c>
      <c r="D192">
        <v>4136.25</v>
      </c>
      <c r="E192">
        <v>10.819999694824221</v>
      </c>
      <c r="F192">
        <v>9.7200002670288086</v>
      </c>
      <c r="G192">
        <v>4136.25</v>
      </c>
      <c r="H192">
        <v>10.85999965667725</v>
      </c>
      <c r="I192">
        <v>9.7700004577636719</v>
      </c>
      <c r="J192">
        <v>4186.919921875</v>
      </c>
      <c r="K192">
        <v>10.010000228881839</v>
      </c>
      <c r="L192">
        <v>8.9399995803833008</v>
      </c>
      <c r="M192">
        <v>4048.280029296875</v>
      </c>
      <c r="N192">
        <v>10.560000419616699</v>
      </c>
      <c r="O192">
        <v>9.4600000381469727</v>
      </c>
      <c r="P192">
        <v>4166.7900390625</v>
      </c>
      <c r="Q192">
        <v>103312700</v>
      </c>
      <c r="R192">
        <v>46393700</v>
      </c>
      <c r="S192">
        <v>21160370000</v>
      </c>
      <c r="W192" s="373">
        <f t="shared" si="3"/>
        <v>0.13280202826231324</v>
      </c>
      <c r="X192" s="373">
        <f t="shared" si="3"/>
        <v>0.15596793659237429</v>
      </c>
      <c r="Y192" s="373">
        <f t="shared" si="3"/>
        <v>-7.9698141313570003E-3</v>
      </c>
    </row>
    <row r="193" spans="1:25">
      <c r="A193" s="396">
        <v>45054</v>
      </c>
      <c r="B193">
        <v>8.0199747085571289</v>
      </c>
      <c r="C193">
        <v>7.1614727973937988</v>
      </c>
      <c r="D193">
        <v>4124.080078125</v>
      </c>
      <c r="E193">
        <v>11.85999965667725</v>
      </c>
      <c r="F193">
        <v>10.670000076293951</v>
      </c>
      <c r="G193">
        <v>4124.080078125</v>
      </c>
      <c r="H193">
        <v>12.079999923706049</v>
      </c>
      <c r="I193">
        <v>10.85000038146973</v>
      </c>
      <c r="J193">
        <v>4154.27978515625</v>
      </c>
      <c r="K193">
        <v>10.64000034332275</v>
      </c>
      <c r="L193">
        <v>9.6099996566772461</v>
      </c>
      <c r="M193">
        <v>4098.919921875</v>
      </c>
      <c r="N193">
        <v>10.97000026702881</v>
      </c>
      <c r="O193">
        <v>9.8299999237060547</v>
      </c>
      <c r="P193">
        <v>4136.97998046875</v>
      </c>
      <c r="Q193">
        <v>123824400</v>
      </c>
      <c r="R193">
        <v>46261700</v>
      </c>
      <c r="S193">
        <v>18795580000</v>
      </c>
      <c r="W193" s="373">
        <f t="shared" si="3"/>
        <v>9.6118329200078456E-2</v>
      </c>
      <c r="X193" s="373">
        <f t="shared" si="3"/>
        <v>9.7736478579782737E-2</v>
      </c>
      <c r="Y193" s="373">
        <f t="shared" si="3"/>
        <v>-2.9422597461469246E-3</v>
      </c>
    </row>
    <row r="194" spans="1:25">
      <c r="A194" s="396">
        <v>45061</v>
      </c>
      <c r="B194">
        <v>7.918541431427002</v>
      </c>
      <c r="C194">
        <v>6.9668307304382324</v>
      </c>
      <c r="D194">
        <v>4191.97998046875</v>
      </c>
      <c r="E194">
        <v>11.710000038146971</v>
      </c>
      <c r="F194">
        <v>10.38000011444092</v>
      </c>
      <c r="G194">
        <v>4191.97998046875</v>
      </c>
      <c r="H194">
        <v>12.210000038146971</v>
      </c>
      <c r="I194">
        <v>11.02999973297119</v>
      </c>
      <c r="J194">
        <v>4212.91015625</v>
      </c>
      <c r="K194">
        <v>11.489999771118161</v>
      </c>
      <c r="L194">
        <v>10.22999954223633</v>
      </c>
      <c r="M194">
        <v>4109.85986328125</v>
      </c>
      <c r="N194">
        <v>11.670000076293951</v>
      </c>
      <c r="O194">
        <v>10.5</v>
      </c>
      <c r="P194">
        <v>4126.64990234375</v>
      </c>
      <c r="Q194">
        <v>113099900</v>
      </c>
      <c r="R194">
        <v>44752200</v>
      </c>
      <c r="S194">
        <v>19277850000</v>
      </c>
      <c r="W194" s="373">
        <f t="shared" si="3"/>
        <v>-1.2647580674026271E-2</v>
      </c>
      <c r="X194" s="373">
        <f t="shared" si="3"/>
        <v>-2.717905554656308E-2</v>
      </c>
      <c r="Y194" s="373">
        <f t="shared" si="3"/>
        <v>1.6464254102122267E-2</v>
      </c>
    </row>
    <row r="195" spans="1:25">
      <c r="A195" s="396">
        <v>45068</v>
      </c>
      <c r="B195">
        <v>8.0943593978881836</v>
      </c>
      <c r="C195">
        <v>7.1816091537475586</v>
      </c>
      <c r="D195">
        <v>4205.4501953125</v>
      </c>
      <c r="E195">
        <v>11.97000026702881</v>
      </c>
      <c r="F195">
        <v>10.69999980926514</v>
      </c>
      <c r="G195">
        <v>4205.4501953125</v>
      </c>
      <c r="H195">
        <v>12.05000019073486</v>
      </c>
      <c r="I195">
        <v>10.829999923706049</v>
      </c>
      <c r="J195">
        <v>4212.8701171875</v>
      </c>
      <c r="K195">
        <v>11.52999973297119</v>
      </c>
      <c r="L195">
        <v>10.27999973297119</v>
      </c>
      <c r="M195">
        <v>4103.97998046875</v>
      </c>
      <c r="N195">
        <v>11.80000019073486</v>
      </c>
      <c r="O195">
        <v>10.39999961853027</v>
      </c>
      <c r="P195">
        <v>4190.77978515625</v>
      </c>
      <c r="Q195">
        <v>72490000</v>
      </c>
      <c r="R195">
        <v>29719700</v>
      </c>
      <c r="S195">
        <v>15747060000</v>
      </c>
      <c r="W195" s="373">
        <f t="shared" si="3"/>
        <v>2.2203327214201041E-2</v>
      </c>
      <c r="X195" s="373">
        <f t="shared" si="3"/>
        <v>3.0828712741785891E-2</v>
      </c>
      <c r="Y195" s="373">
        <f t="shared" si="3"/>
        <v>3.2133299554173433E-3</v>
      </c>
    </row>
    <row r="196" spans="1:25">
      <c r="A196" s="396">
        <v>45075</v>
      </c>
      <c r="B196">
        <v>8.2769384384155273</v>
      </c>
      <c r="C196">
        <v>7.349402904510498</v>
      </c>
      <c r="D196">
        <v>4282.3701171875</v>
      </c>
      <c r="E196">
        <v>12.239999771118161</v>
      </c>
      <c r="F196">
        <v>10.94999980926514</v>
      </c>
      <c r="G196">
        <v>4282.3701171875</v>
      </c>
      <c r="H196">
        <v>12.36999988555908</v>
      </c>
      <c r="I196">
        <v>11.13000011444092</v>
      </c>
      <c r="J196">
        <v>4290.669921875</v>
      </c>
      <c r="K196">
        <v>11.47000026702881</v>
      </c>
      <c r="L196">
        <v>10.22999954223633</v>
      </c>
      <c r="M196">
        <v>4166.14990234375</v>
      </c>
      <c r="N196">
        <v>11.80000019073486</v>
      </c>
      <c r="O196">
        <v>10.569999694824221</v>
      </c>
      <c r="P196">
        <v>4226.7099609375</v>
      </c>
      <c r="Q196">
        <v>71065400</v>
      </c>
      <c r="R196">
        <v>26782700</v>
      </c>
      <c r="S196">
        <v>19055240000</v>
      </c>
      <c r="W196" s="373">
        <f t="shared" si="3"/>
        <v>2.2556329852981172E-2</v>
      </c>
      <c r="X196" s="373">
        <f t="shared" si="3"/>
        <v>2.3364366839064177E-2</v>
      </c>
      <c r="Y196" s="373">
        <f t="shared" si="3"/>
        <v>1.8290532119661584E-2</v>
      </c>
    </row>
    <row r="197" spans="1:25">
      <c r="A197" s="396">
        <v>45082</v>
      </c>
      <c r="B197">
        <v>9.3047952651977539</v>
      </c>
      <c r="C197">
        <v>8.3494586944580078</v>
      </c>
      <c r="D197">
        <v>4298.85986328125</v>
      </c>
      <c r="E197">
        <v>13.760000228881839</v>
      </c>
      <c r="F197">
        <v>12.439999580383301</v>
      </c>
      <c r="G197">
        <v>4298.85986328125</v>
      </c>
      <c r="H197">
        <v>13.810000419616699</v>
      </c>
      <c r="I197">
        <v>12.460000038146971</v>
      </c>
      <c r="J197">
        <v>4322.6201171875</v>
      </c>
      <c r="K197">
        <v>12.19999980926514</v>
      </c>
      <c r="L197">
        <v>10.97999954223633</v>
      </c>
      <c r="M197">
        <v>4261.06982421875</v>
      </c>
      <c r="N197">
        <v>12.47000026702881</v>
      </c>
      <c r="O197">
        <v>11.13000011444092</v>
      </c>
      <c r="P197">
        <v>4282.990234375</v>
      </c>
      <c r="Q197">
        <v>113829700</v>
      </c>
      <c r="R197">
        <v>56076200</v>
      </c>
      <c r="S197">
        <v>19960900000</v>
      </c>
      <c r="W197" s="373">
        <f t="shared" si="3"/>
        <v>0.12418321513805908</v>
      </c>
      <c r="X197" s="373">
        <f t="shared" si="3"/>
        <v>0.13607306647098527</v>
      </c>
      <c r="Y197" s="373">
        <f t="shared" si="3"/>
        <v>3.850612077542559E-3</v>
      </c>
    </row>
    <row r="198" spans="1:25">
      <c r="A198" s="396">
        <v>45089</v>
      </c>
      <c r="B198">
        <v>9.3994646072387695</v>
      </c>
      <c r="C198">
        <v>8.3024749755859375</v>
      </c>
      <c r="D198">
        <v>4409.58984375</v>
      </c>
      <c r="E198">
        <v>13.89999961853027</v>
      </c>
      <c r="F198">
        <v>12.36999988555908</v>
      </c>
      <c r="G198">
        <v>4409.58984375</v>
      </c>
      <c r="H198">
        <v>14.260000228881839</v>
      </c>
      <c r="I198">
        <v>12.829999923706049</v>
      </c>
      <c r="J198">
        <v>4448.47021484375</v>
      </c>
      <c r="K198">
        <v>13.159999847412109</v>
      </c>
      <c r="L198">
        <v>11.77999973297119</v>
      </c>
      <c r="M198">
        <v>4304.3701171875</v>
      </c>
      <c r="N198">
        <v>13.789999961853029</v>
      </c>
      <c r="O198">
        <v>12.36999988555908</v>
      </c>
      <c r="P198">
        <v>4308.31982421875</v>
      </c>
      <c r="Q198">
        <v>141987700</v>
      </c>
      <c r="R198">
        <v>94215900</v>
      </c>
      <c r="S198">
        <v>23498470000</v>
      </c>
      <c r="W198" s="373">
        <f t="shared" si="3"/>
        <v>1.0174253096691066E-2</v>
      </c>
      <c r="X198" s="373">
        <f t="shared" si="3"/>
        <v>-5.6271574710892169E-3</v>
      </c>
      <c r="Y198" s="373">
        <f t="shared" si="3"/>
        <v>2.5757987929439397E-2</v>
      </c>
    </row>
    <row r="199" spans="1:25">
      <c r="A199" s="396">
        <v>45096</v>
      </c>
      <c r="B199">
        <v>10.077981948852541</v>
      </c>
      <c r="C199">
        <v>9.003596305847168</v>
      </c>
      <c r="D199">
        <v>4348.330078125</v>
      </c>
      <c r="E199">
        <v>14.090000152587891</v>
      </c>
      <c r="F199">
        <v>12.60000038146973</v>
      </c>
      <c r="G199">
        <v>4348.330078125</v>
      </c>
      <c r="H199">
        <v>15</v>
      </c>
      <c r="I199">
        <v>13.439999580383301</v>
      </c>
      <c r="J199">
        <v>4400.14990234375</v>
      </c>
      <c r="K199">
        <v>13.930000305175779</v>
      </c>
      <c r="L199">
        <v>12.5</v>
      </c>
      <c r="M199">
        <v>4341.33984375</v>
      </c>
      <c r="N199">
        <v>14.22000026702881</v>
      </c>
      <c r="O199">
        <v>12.72999954223633</v>
      </c>
      <c r="P199">
        <v>4396.10986328125</v>
      </c>
      <c r="Q199">
        <v>112311600</v>
      </c>
      <c r="R199">
        <v>36258700</v>
      </c>
      <c r="S199">
        <v>17329740000</v>
      </c>
      <c r="W199" s="373">
        <f t="shared" si="3"/>
        <v>7.2186807437013778E-2</v>
      </c>
      <c r="X199" s="373">
        <f t="shared" si="3"/>
        <v>8.4447268112572527E-2</v>
      </c>
      <c r="Y199" s="373">
        <f t="shared" si="3"/>
        <v>-1.3892395391790768E-2</v>
      </c>
    </row>
    <row r="200" spans="1:25">
      <c r="A200" s="396">
        <v>45103</v>
      </c>
      <c r="B200">
        <v>9.8920154571533203</v>
      </c>
      <c r="C200">
        <v>8.8392448425292969</v>
      </c>
      <c r="D200">
        <v>4450.3798828125</v>
      </c>
      <c r="E200">
        <v>13.829999923706049</v>
      </c>
      <c r="F200">
        <v>12.36999988555908</v>
      </c>
      <c r="G200">
        <v>4450.3798828125</v>
      </c>
      <c r="H200">
        <v>14.539999961853029</v>
      </c>
      <c r="I200">
        <v>13.069999694824221</v>
      </c>
      <c r="J200">
        <v>4458.47998046875</v>
      </c>
      <c r="K200">
        <v>13.760000228881839</v>
      </c>
      <c r="L200">
        <v>12.22999954223633</v>
      </c>
      <c r="M200">
        <v>4328.080078125</v>
      </c>
      <c r="N200">
        <v>14.329999923706049</v>
      </c>
      <c r="O200">
        <v>12.77999973297119</v>
      </c>
      <c r="P200">
        <v>4344.83984375</v>
      </c>
      <c r="Q200">
        <v>102498700</v>
      </c>
      <c r="R200">
        <v>42428800</v>
      </c>
      <c r="S200">
        <v>18347970000</v>
      </c>
      <c r="W200" s="373">
        <f t="shared" ref="W200:Y263" si="4">B200/B199-1</f>
        <v>-1.845275102128896E-2</v>
      </c>
      <c r="X200" s="373">
        <f t="shared" si="4"/>
        <v>-1.8253979602699144E-2</v>
      </c>
      <c r="Y200" s="373">
        <f t="shared" si="4"/>
        <v>2.3468734630077481E-2</v>
      </c>
    </row>
    <row r="201" spans="1:25">
      <c r="A201" s="396">
        <v>45110</v>
      </c>
      <c r="B201">
        <v>9.7346591949462891</v>
      </c>
      <c r="C201">
        <v>8.6677484512329102</v>
      </c>
      <c r="D201">
        <v>4398.9501953125</v>
      </c>
      <c r="E201">
        <v>13.60999965667725</v>
      </c>
      <c r="F201">
        <v>12.13000011444092</v>
      </c>
      <c r="G201">
        <v>4398.9501953125</v>
      </c>
      <c r="H201">
        <v>14.159999847412109</v>
      </c>
      <c r="I201">
        <v>12.659999847412109</v>
      </c>
      <c r="J201">
        <v>4456.4599609375</v>
      </c>
      <c r="K201">
        <v>13.35000038146973</v>
      </c>
      <c r="L201">
        <v>11.88000011444092</v>
      </c>
      <c r="M201">
        <v>4385.0498046875</v>
      </c>
      <c r="N201">
        <v>14.02000045776367</v>
      </c>
      <c r="O201">
        <v>12.55000019073486</v>
      </c>
      <c r="P201">
        <v>4450.47998046875</v>
      </c>
      <c r="Q201">
        <v>72206500</v>
      </c>
      <c r="R201">
        <v>28392800</v>
      </c>
      <c r="S201">
        <v>12829400000</v>
      </c>
      <c r="W201" s="373">
        <f t="shared" si="4"/>
        <v>-1.5907401569337454E-2</v>
      </c>
      <c r="X201" s="373">
        <f t="shared" si="4"/>
        <v>-1.9401701655694215E-2</v>
      </c>
      <c r="Y201" s="373">
        <f t="shared" si="4"/>
        <v>-1.1556246624838229E-2</v>
      </c>
    </row>
    <row r="202" spans="1:25">
      <c r="A202" s="396">
        <v>45117</v>
      </c>
      <c r="B202">
        <v>9.6774387359619141</v>
      </c>
      <c r="C202">
        <v>8.6177282333374023</v>
      </c>
      <c r="D202">
        <v>4505.419921875</v>
      </c>
      <c r="E202">
        <v>13.52999973297119</v>
      </c>
      <c r="F202">
        <v>12.060000419616699</v>
      </c>
      <c r="G202">
        <v>4505.419921875</v>
      </c>
      <c r="H202">
        <v>13.94999980926514</v>
      </c>
      <c r="I202">
        <v>12.420000076293951</v>
      </c>
      <c r="J202">
        <v>4527.759765625</v>
      </c>
      <c r="K202">
        <v>13.310000419616699</v>
      </c>
      <c r="L202">
        <v>11.840000152587891</v>
      </c>
      <c r="M202">
        <v>4389.919921875</v>
      </c>
      <c r="N202">
        <v>13.569999694824221</v>
      </c>
      <c r="O202">
        <v>12.11999988555908</v>
      </c>
      <c r="P202">
        <v>4394.22998046875</v>
      </c>
      <c r="Q202">
        <v>71539200</v>
      </c>
      <c r="R202">
        <v>25421600</v>
      </c>
      <c r="S202">
        <v>18461090000</v>
      </c>
      <c r="W202" s="373">
        <f t="shared" si="4"/>
        <v>-5.8780135840893477E-3</v>
      </c>
      <c r="X202" s="373">
        <f t="shared" si="4"/>
        <v>-5.7708432791900854E-3</v>
      </c>
      <c r="Y202" s="373">
        <f t="shared" si="4"/>
        <v>2.4203439874348476E-2</v>
      </c>
    </row>
    <row r="203" spans="1:25">
      <c r="A203" s="396">
        <v>45124</v>
      </c>
      <c r="B203">
        <v>9.9635419845581055</v>
      </c>
      <c r="C203">
        <v>8.8892660140991211</v>
      </c>
      <c r="D203">
        <v>4536.33984375</v>
      </c>
      <c r="E203">
        <v>13.930000305175779</v>
      </c>
      <c r="F203">
        <v>12.439999580383301</v>
      </c>
      <c r="G203">
        <v>4536.33984375</v>
      </c>
      <c r="H203">
        <v>14.039999961853029</v>
      </c>
      <c r="I203">
        <v>12.539999961853029</v>
      </c>
      <c r="J203">
        <v>4578.43017578125</v>
      </c>
      <c r="K203">
        <v>13.02000045776367</v>
      </c>
      <c r="L203">
        <v>11.60999965667725</v>
      </c>
      <c r="M203">
        <v>4504.89990234375</v>
      </c>
      <c r="N203">
        <v>13.02999973297119</v>
      </c>
      <c r="O203">
        <v>11.61999988555908</v>
      </c>
      <c r="P203">
        <v>4508.85986328125</v>
      </c>
      <c r="Q203">
        <v>101654300</v>
      </c>
      <c r="R203">
        <v>35199200</v>
      </c>
      <c r="S203">
        <v>19075880000</v>
      </c>
      <c r="W203" s="373">
        <f t="shared" si="4"/>
        <v>2.9563943146755811E-2</v>
      </c>
      <c r="X203" s="373">
        <f t="shared" si="4"/>
        <v>3.1509206766498377E-2</v>
      </c>
      <c r="Y203" s="373">
        <f t="shared" si="4"/>
        <v>6.8628279741196341E-3</v>
      </c>
    </row>
    <row r="204" spans="1:25">
      <c r="A204" s="396">
        <v>45131</v>
      </c>
      <c r="B204">
        <v>9.9635419845581055</v>
      </c>
      <c r="C204">
        <v>9.017888069152832</v>
      </c>
      <c r="D204">
        <v>4582.22998046875</v>
      </c>
      <c r="E204">
        <v>13.930000305175779</v>
      </c>
      <c r="F204">
        <v>12.61999988555908</v>
      </c>
      <c r="G204">
        <v>4582.22998046875</v>
      </c>
      <c r="H204">
        <v>14.64999961853027</v>
      </c>
      <c r="I204">
        <v>13.180000305175779</v>
      </c>
      <c r="J204">
        <v>4607.06982421875</v>
      </c>
      <c r="K204">
        <v>13.64999961853027</v>
      </c>
      <c r="L204">
        <v>12.35999965667725</v>
      </c>
      <c r="M204">
        <v>4528.56005859375</v>
      </c>
      <c r="N204">
        <v>14.069999694824221</v>
      </c>
      <c r="O204">
        <v>12.579999923706049</v>
      </c>
      <c r="P204">
        <v>4543.39013671875</v>
      </c>
      <c r="Q204">
        <v>91865000</v>
      </c>
      <c r="R204">
        <v>41314200</v>
      </c>
      <c r="S204">
        <v>20193230000</v>
      </c>
      <c r="W204" s="373">
        <f t="shared" si="4"/>
        <v>0</v>
      </c>
      <c r="X204" s="373">
        <f t="shared" si="4"/>
        <v>1.4469367307683889E-2</v>
      </c>
      <c r="Y204" s="373">
        <f t="shared" si="4"/>
        <v>1.0116115260186298E-2</v>
      </c>
    </row>
    <row r="205" spans="1:25">
      <c r="A205" s="396">
        <v>45138</v>
      </c>
      <c r="B205">
        <v>9.6702871322631836</v>
      </c>
      <c r="C205">
        <v>8.7677888870239258</v>
      </c>
      <c r="D205">
        <v>4478.02978515625</v>
      </c>
      <c r="E205">
        <v>13.52000045776367</v>
      </c>
      <c r="F205">
        <v>12.27000045776367</v>
      </c>
      <c r="G205">
        <v>4478.02978515625</v>
      </c>
      <c r="H205">
        <v>14.710000038146971</v>
      </c>
      <c r="I205">
        <v>13.210000038146971</v>
      </c>
      <c r="J205">
        <v>4594.22021484375</v>
      </c>
      <c r="K205">
        <v>13.22000026702881</v>
      </c>
      <c r="L205">
        <v>12.22000026702881</v>
      </c>
      <c r="M205">
        <v>4474.5498046875</v>
      </c>
      <c r="N205">
        <v>14.27999973297119</v>
      </c>
      <c r="O205">
        <v>12.85000038146973</v>
      </c>
      <c r="P205">
        <v>4584.81982421875</v>
      </c>
      <c r="Q205">
        <v>135636400</v>
      </c>
      <c r="R205">
        <v>53625100</v>
      </c>
      <c r="S205">
        <v>21109110000</v>
      </c>
      <c r="W205" s="373">
        <f t="shared" si="4"/>
        <v>-2.9432791345629927E-2</v>
      </c>
      <c r="X205" s="373">
        <f t="shared" si="4"/>
        <v>-2.7733675580251638E-2</v>
      </c>
      <c r="Y205" s="373">
        <f t="shared" si="4"/>
        <v>-2.2740062318268972E-2</v>
      </c>
    </row>
    <row r="206" spans="1:25">
      <c r="A206" s="396">
        <v>45145</v>
      </c>
      <c r="B206">
        <v>9.7489643096923828</v>
      </c>
      <c r="C206">
        <v>8.8892660140991211</v>
      </c>
      <c r="D206">
        <v>4464.0498046875</v>
      </c>
      <c r="E206">
        <v>13.63000011444092</v>
      </c>
      <c r="F206">
        <v>12.439999580383301</v>
      </c>
      <c r="G206">
        <v>4464.0498046875</v>
      </c>
      <c r="H206">
        <v>13.909999847412109</v>
      </c>
      <c r="I206">
        <v>12.69999980926514</v>
      </c>
      <c r="J206">
        <v>4527.3701171875</v>
      </c>
      <c r="K206">
        <v>13.180000305175779</v>
      </c>
      <c r="L206">
        <v>12.079999923706049</v>
      </c>
      <c r="M206">
        <v>4443.97998046875</v>
      </c>
      <c r="N206">
        <v>13.47999954223633</v>
      </c>
      <c r="O206">
        <v>12.289999961853029</v>
      </c>
      <c r="P206">
        <v>4491.580078125</v>
      </c>
      <c r="Q206">
        <v>82971500</v>
      </c>
      <c r="R206">
        <v>45503400</v>
      </c>
      <c r="S206">
        <v>19439590000</v>
      </c>
      <c r="W206" s="373">
        <f t="shared" si="4"/>
        <v>8.1359711819422031E-3</v>
      </c>
      <c r="X206" s="373">
        <f t="shared" si="4"/>
        <v>1.3854932941528508E-2</v>
      </c>
      <c r="Y206" s="373">
        <f t="shared" si="4"/>
        <v>-3.1219043060166651E-3</v>
      </c>
    </row>
    <row r="207" spans="1:25">
      <c r="A207" s="396">
        <v>45152</v>
      </c>
      <c r="B207">
        <v>9.934931755065918</v>
      </c>
      <c r="C207">
        <v>9.0893449783325195</v>
      </c>
      <c r="D207">
        <v>4369.7099609375</v>
      </c>
      <c r="E207">
        <v>13.89000034332275</v>
      </c>
      <c r="F207">
        <v>12.72000026702881</v>
      </c>
      <c r="G207">
        <v>4369.7099609375</v>
      </c>
      <c r="H207">
        <v>14.14000034332275</v>
      </c>
      <c r="I207">
        <v>12.960000038146971</v>
      </c>
      <c r="J207">
        <v>4490.330078125</v>
      </c>
      <c r="K207">
        <v>13.39000034332275</v>
      </c>
      <c r="L207">
        <v>12.210000038146971</v>
      </c>
      <c r="M207">
        <v>4335.31005859375</v>
      </c>
      <c r="N207">
        <v>13.560000419616699</v>
      </c>
      <c r="O207">
        <v>12.319999694824221</v>
      </c>
      <c r="P207">
        <v>4458.1298828125</v>
      </c>
      <c r="Q207">
        <v>114018900</v>
      </c>
      <c r="R207">
        <v>43036500</v>
      </c>
      <c r="S207">
        <v>19366670000</v>
      </c>
      <c r="W207" s="373">
        <f t="shared" si="4"/>
        <v>1.9075610440859592E-2</v>
      </c>
      <c r="X207" s="373">
        <f t="shared" si="4"/>
        <v>2.2507928541688038E-2</v>
      </c>
      <c r="Y207" s="373">
        <f t="shared" si="4"/>
        <v>-2.1133241759744292E-2</v>
      </c>
    </row>
    <row r="208" spans="1:25">
      <c r="A208" s="396">
        <v>45159</v>
      </c>
      <c r="B208">
        <v>10.23533916473389</v>
      </c>
      <c r="C208">
        <v>9.3608808517456055</v>
      </c>
      <c r="D208">
        <v>4405.7099609375</v>
      </c>
      <c r="E208">
        <v>14.310000419616699</v>
      </c>
      <c r="F208">
        <v>13.10000038146973</v>
      </c>
      <c r="G208">
        <v>4405.7099609375</v>
      </c>
      <c r="H208">
        <v>14.670000076293951</v>
      </c>
      <c r="I208">
        <v>13.38000011444092</v>
      </c>
      <c r="J208">
        <v>4458.2998046875</v>
      </c>
      <c r="K208">
        <v>13.35999965667725</v>
      </c>
      <c r="L208">
        <v>12.22000026702881</v>
      </c>
      <c r="M208">
        <v>4356.2900390625</v>
      </c>
      <c r="N208">
        <v>13.94999980926514</v>
      </c>
      <c r="O208">
        <v>12.739999771118161</v>
      </c>
      <c r="P208">
        <v>4380.27978515625</v>
      </c>
      <c r="Q208">
        <v>108420100</v>
      </c>
      <c r="R208">
        <v>51374000</v>
      </c>
      <c r="S208">
        <v>18106530000</v>
      </c>
      <c r="W208" s="373">
        <f t="shared" si="4"/>
        <v>3.0237491013946016E-2</v>
      </c>
      <c r="X208" s="373">
        <f t="shared" si="4"/>
        <v>2.9874085983135457E-2</v>
      </c>
      <c r="Y208" s="373">
        <f t="shared" si="4"/>
        <v>8.238533065539233E-3</v>
      </c>
    </row>
    <row r="209" spans="1:25">
      <c r="A209" s="396">
        <v>45166</v>
      </c>
      <c r="B209">
        <v>10.733644485473629</v>
      </c>
      <c r="C209">
        <v>9.8200664520263672</v>
      </c>
      <c r="D209">
        <v>4515.77001953125</v>
      </c>
      <c r="E209">
        <v>14.489999771118161</v>
      </c>
      <c r="F209">
        <v>13.22999954223633</v>
      </c>
      <c r="G209">
        <v>4515.77001953125</v>
      </c>
      <c r="H209">
        <v>14.659999847412109</v>
      </c>
      <c r="I209">
        <v>13.420000076293951</v>
      </c>
      <c r="J209">
        <v>4541.25</v>
      </c>
      <c r="K209">
        <v>13.97000026702881</v>
      </c>
      <c r="L209">
        <v>12.88000011444092</v>
      </c>
      <c r="M209">
        <v>4414.97998046875</v>
      </c>
      <c r="N209">
        <v>14.27999973297119</v>
      </c>
      <c r="O209">
        <v>13.10000038146973</v>
      </c>
      <c r="P209">
        <v>4426.02978515625</v>
      </c>
      <c r="Q209">
        <v>98080200</v>
      </c>
      <c r="R209">
        <v>35391200</v>
      </c>
      <c r="S209">
        <v>16568780000</v>
      </c>
      <c r="W209" s="373">
        <f t="shared" si="4"/>
        <v>4.8684788331847528E-2</v>
      </c>
      <c r="X209" s="373">
        <f t="shared" si="4"/>
        <v>4.9053674280570947E-2</v>
      </c>
      <c r="Y209" s="373">
        <f t="shared" si="4"/>
        <v>2.498123107730188E-2</v>
      </c>
    </row>
    <row r="210" spans="1:25">
      <c r="A210" s="396">
        <v>45173</v>
      </c>
      <c r="B210">
        <v>10.87438869476318</v>
      </c>
      <c r="C210">
        <v>9.9091377258300781</v>
      </c>
      <c r="D210">
        <v>4457.490234375</v>
      </c>
      <c r="E210">
        <v>14.680000305175779</v>
      </c>
      <c r="F210">
        <v>13.35000038146973</v>
      </c>
      <c r="G210">
        <v>4457.490234375</v>
      </c>
      <c r="H210">
        <v>15.11999988555908</v>
      </c>
      <c r="I210">
        <v>13.64000034332275</v>
      </c>
      <c r="J210">
        <v>4514.2900390625</v>
      </c>
      <c r="K210">
        <v>14.19999980926514</v>
      </c>
      <c r="L210">
        <v>12.97999954223633</v>
      </c>
      <c r="M210">
        <v>4430.4599609375</v>
      </c>
      <c r="N210">
        <v>14.22999954223633</v>
      </c>
      <c r="O210">
        <v>13</v>
      </c>
      <c r="P210">
        <v>4510.06005859375</v>
      </c>
      <c r="Q210">
        <v>98249000</v>
      </c>
      <c r="R210">
        <v>29789500</v>
      </c>
      <c r="S210">
        <v>13968150000</v>
      </c>
      <c r="W210" s="373">
        <f t="shared" si="4"/>
        <v>1.3112434409396245E-2</v>
      </c>
      <c r="X210" s="373">
        <f t="shared" si="4"/>
        <v>9.0703331020056677E-3</v>
      </c>
      <c r="Y210" s="373">
        <f t="shared" si="4"/>
        <v>-1.2905835528422172E-2</v>
      </c>
    </row>
    <row r="211" spans="1:25">
      <c r="A211" s="396">
        <v>45180</v>
      </c>
      <c r="B211">
        <v>11.259584426879879</v>
      </c>
      <c r="C211">
        <v>10.28768920898438</v>
      </c>
      <c r="D211">
        <v>4450.31982421875</v>
      </c>
      <c r="E211">
        <v>15.19999980926514</v>
      </c>
      <c r="F211">
        <v>13.85999965667725</v>
      </c>
      <c r="G211">
        <v>4450.31982421875</v>
      </c>
      <c r="H211">
        <v>15.409999847412109</v>
      </c>
      <c r="I211">
        <v>13.939999580383301</v>
      </c>
      <c r="J211">
        <v>4511.990234375</v>
      </c>
      <c r="K211">
        <v>14.710000038146971</v>
      </c>
      <c r="L211">
        <v>13.430000305175779</v>
      </c>
      <c r="M211">
        <v>4447.2099609375</v>
      </c>
      <c r="N211">
        <v>14.94999980926514</v>
      </c>
      <c r="O211">
        <v>13.60999965667725</v>
      </c>
      <c r="P211">
        <v>4480.97998046875</v>
      </c>
      <c r="Q211">
        <v>87204200</v>
      </c>
      <c r="R211">
        <v>26793300</v>
      </c>
      <c r="S211">
        <v>20916040000</v>
      </c>
      <c r="W211" s="373">
        <f t="shared" si="4"/>
        <v>3.5422288362949583E-2</v>
      </c>
      <c r="X211" s="373">
        <f t="shared" si="4"/>
        <v>3.8202262762736083E-2</v>
      </c>
      <c r="Y211" s="373">
        <f t="shared" si="4"/>
        <v>-1.6086204970128248E-3</v>
      </c>
    </row>
    <row r="212" spans="1:25">
      <c r="A212" s="396">
        <v>45187</v>
      </c>
      <c r="B212">
        <v>11.170694351196291</v>
      </c>
      <c r="C212">
        <v>10.22830867767334</v>
      </c>
      <c r="D212">
        <v>4320.06005859375</v>
      </c>
      <c r="E212">
        <v>15.079999923706049</v>
      </c>
      <c r="F212">
        <v>13.77999973297119</v>
      </c>
      <c r="G212">
        <v>4320.06005859375</v>
      </c>
      <c r="H212">
        <v>15.710000038146971</v>
      </c>
      <c r="I212">
        <v>14.310000419616699</v>
      </c>
      <c r="J212">
        <v>4466.35986328125</v>
      </c>
      <c r="K212">
        <v>14.939999580383301</v>
      </c>
      <c r="L212">
        <v>13.63000011444092</v>
      </c>
      <c r="M212">
        <v>4316.490234375</v>
      </c>
      <c r="N212">
        <v>15.510000228881839</v>
      </c>
      <c r="O212">
        <v>14.19999980926514</v>
      </c>
      <c r="P212">
        <v>4445.1298828125</v>
      </c>
      <c r="Q212">
        <v>87042900</v>
      </c>
      <c r="R212">
        <v>35740500</v>
      </c>
      <c r="S212">
        <v>17096470000</v>
      </c>
      <c r="W212" s="373">
        <f t="shared" si="4"/>
        <v>-7.894614251604315E-3</v>
      </c>
      <c r="X212" s="373">
        <f t="shared" si="4"/>
        <v>-5.7719989498887792E-3</v>
      </c>
      <c r="Y212" s="373">
        <f t="shared" si="4"/>
        <v>-2.9269753808731536E-2</v>
      </c>
    </row>
    <row r="213" spans="1:25">
      <c r="A213" s="396">
        <v>45194</v>
      </c>
      <c r="B213">
        <v>11.104023933410639</v>
      </c>
      <c r="C213">
        <v>10.176351547241209</v>
      </c>
      <c r="D213">
        <v>4288.0498046875</v>
      </c>
      <c r="E213">
        <v>14.989999771118161</v>
      </c>
      <c r="F213">
        <v>13.710000038146971</v>
      </c>
      <c r="G213">
        <v>4288.0498046875</v>
      </c>
      <c r="H213">
        <v>15.14000034332275</v>
      </c>
      <c r="I213">
        <v>13.86999988555908</v>
      </c>
      <c r="J213">
        <v>4338.509765625</v>
      </c>
      <c r="K213">
        <v>14.61999988555908</v>
      </c>
      <c r="L213">
        <v>13.39999961853027</v>
      </c>
      <c r="M213">
        <v>4238.6298828125</v>
      </c>
      <c r="N213">
        <v>15</v>
      </c>
      <c r="O213">
        <v>13.75</v>
      </c>
      <c r="P213">
        <v>4310.6201171875</v>
      </c>
      <c r="Q213">
        <v>80533700</v>
      </c>
      <c r="R213">
        <v>32406100</v>
      </c>
      <c r="S213">
        <v>18256060000</v>
      </c>
      <c r="W213" s="373">
        <f t="shared" si="4"/>
        <v>-5.9683324679375982E-3</v>
      </c>
      <c r="X213" s="373">
        <f t="shared" si="4"/>
        <v>-5.0797382118066281E-3</v>
      </c>
      <c r="Y213" s="373">
        <f t="shared" si="4"/>
        <v>-7.4096779841227312E-3</v>
      </c>
    </row>
    <row r="214" spans="1:25">
      <c r="A214" s="396">
        <v>45201</v>
      </c>
      <c r="B214">
        <v>10.437337875366209</v>
      </c>
      <c r="C214">
        <v>9.6493473052978516</v>
      </c>
      <c r="D214">
        <v>4308.5</v>
      </c>
      <c r="E214">
        <v>14.090000152587891</v>
      </c>
      <c r="F214">
        <v>13</v>
      </c>
      <c r="G214">
        <v>4308.5</v>
      </c>
      <c r="H214">
        <v>15.05000019073486</v>
      </c>
      <c r="I214">
        <v>13.75</v>
      </c>
      <c r="J214">
        <v>4324.10009765625</v>
      </c>
      <c r="K214">
        <v>13.569999694824221</v>
      </c>
      <c r="L214">
        <v>12.420000076293951</v>
      </c>
      <c r="M214">
        <v>4216.4501953125</v>
      </c>
      <c r="N214">
        <v>15.02999973297119</v>
      </c>
      <c r="O214">
        <v>13.72000026702881</v>
      </c>
      <c r="P214">
        <v>4284.52001953125</v>
      </c>
      <c r="Q214">
        <v>100418800</v>
      </c>
      <c r="R214">
        <v>48052200</v>
      </c>
      <c r="S214">
        <v>19153590000</v>
      </c>
      <c r="W214" s="373">
        <f t="shared" si="4"/>
        <v>-6.0040041523906851E-2</v>
      </c>
      <c r="X214" s="373">
        <f t="shared" si="4"/>
        <v>-5.1787149794980114E-2</v>
      </c>
      <c r="Y214" s="373">
        <f t="shared" si="4"/>
        <v>4.7691132901825917E-3</v>
      </c>
    </row>
    <row r="215" spans="1:25">
      <c r="A215" s="396">
        <v>45208</v>
      </c>
      <c r="B215">
        <v>11.43736743927002</v>
      </c>
      <c r="C215">
        <v>10.55490207672119</v>
      </c>
      <c r="D215">
        <v>4327.77978515625</v>
      </c>
      <c r="E215">
        <v>15.439999580383301</v>
      </c>
      <c r="F215">
        <v>14.22000026702881</v>
      </c>
      <c r="G215">
        <v>4327.77978515625</v>
      </c>
      <c r="H215">
        <v>15.579999923706049</v>
      </c>
      <c r="I215">
        <v>14.35000038146973</v>
      </c>
      <c r="J215">
        <v>4385.85009765625</v>
      </c>
      <c r="K215">
        <v>14.439999580383301</v>
      </c>
      <c r="L215">
        <v>13.310000419616699</v>
      </c>
      <c r="M215">
        <v>4283.7900390625</v>
      </c>
      <c r="N215">
        <v>14.460000038146971</v>
      </c>
      <c r="O215">
        <v>13.310000419616699</v>
      </c>
      <c r="P215">
        <v>4289.02001953125</v>
      </c>
      <c r="Q215">
        <v>96003000</v>
      </c>
      <c r="R215">
        <v>56899800</v>
      </c>
      <c r="S215">
        <v>17576230000</v>
      </c>
      <c r="W215" s="373">
        <f t="shared" si="4"/>
        <v>9.5812703952416811E-2</v>
      </c>
      <c r="X215" s="373">
        <f t="shared" si="4"/>
        <v>9.3846220140314962E-2</v>
      </c>
      <c r="Y215" s="373">
        <f t="shared" si="4"/>
        <v>4.4748253815132255E-3</v>
      </c>
    </row>
    <row r="216" spans="1:25">
      <c r="A216" s="396">
        <v>45215</v>
      </c>
      <c r="B216">
        <v>12.007754325866699</v>
      </c>
      <c r="C216">
        <v>11.156131744384769</v>
      </c>
      <c r="D216">
        <v>4224.16015625</v>
      </c>
      <c r="E216">
        <v>16.20999908447266</v>
      </c>
      <c r="F216">
        <v>15.02999973297119</v>
      </c>
      <c r="G216">
        <v>4224.16015625</v>
      </c>
      <c r="H216">
        <v>16.54999923706055</v>
      </c>
      <c r="I216">
        <v>15.30000019073486</v>
      </c>
      <c r="J216">
        <v>4393.56982421875</v>
      </c>
      <c r="K216">
        <v>15.329999923706049</v>
      </c>
      <c r="L216">
        <v>14.189999580383301</v>
      </c>
      <c r="M216">
        <v>4223.02978515625</v>
      </c>
      <c r="N216">
        <v>15.47000026702881</v>
      </c>
      <c r="O216">
        <v>14.310000419616699</v>
      </c>
      <c r="P216">
        <v>4342.3701171875</v>
      </c>
      <c r="Q216">
        <v>113732000</v>
      </c>
      <c r="R216">
        <v>40451800</v>
      </c>
      <c r="S216">
        <v>18864600000</v>
      </c>
      <c r="W216" s="373">
        <f t="shared" si="4"/>
        <v>4.9870469723501731E-2</v>
      </c>
      <c r="X216" s="373">
        <f t="shared" si="4"/>
        <v>5.6962126535459845E-2</v>
      </c>
      <c r="Y216" s="373">
        <f t="shared" si="4"/>
        <v>-2.3942906998561386E-2</v>
      </c>
    </row>
    <row r="217" spans="1:25">
      <c r="A217" s="396">
        <v>45222</v>
      </c>
      <c r="B217">
        <v>11.35588264465332</v>
      </c>
      <c r="C217">
        <v>10.46583080291748</v>
      </c>
      <c r="D217">
        <v>4117.3701171875</v>
      </c>
      <c r="E217">
        <v>15.329999923706049</v>
      </c>
      <c r="F217">
        <v>14.10000038146973</v>
      </c>
      <c r="G217">
        <v>4117.3701171875</v>
      </c>
      <c r="H217">
        <v>16.069999694824219</v>
      </c>
      <c r="I217">
        <v>14.789999961853029</v>
      </c>
      <c r="J217">
        <v>4259.3798828125</v>
      </c>
      <c r="K217">
        <v>15.210000038146971</v>
      </c>
      <c r="L217">
        <v>14.05000019073486</v>
      </c>
      <c r="M217">
        <v>4103.77978515625</v>
      </c>
      <c r="N217">
        <v>15.72999954223633</v>
      </c>
      <c r="O217">
        <v>14.55000019073486</v>
      </c>
      <c r="P217">
        <v>4210.39990234375</v>
      </c>
      <c r="Q217">
        <v>101852100</v>
      </c>
      <c r="R217">
        <v>39957500</v>
      </c>
      <c r="S217">
        <v>19764430000</v>
      </c>
      <c r="W217" s="373">
        <f t="shared" si="4"/>
        <v>-5.4287559815338615E-2</v>
      </c>
      <c r="X217" s="373">
        <f t="shared" si="4"/>
        <v>-6.1876370527332525E-2</v>
      </c>
      <c r="Y217" s="373">
        <f t="shared" si="4"/>
        <v>-2.5280774192355193E-2</v>
      </c>
    </row>
    <row r="218" spans="1:25">
      <c r="A218" s="396">
        <v>45229</v>
      </c>
      <c r="B218">
        <v>11.61515045166016</v>
      </c>
      <c r="C218">
        <v>10.755311965942379</v>
      </c>
      <c r="D218">
        <v>4358.33984375</v>
      </c>
      <c r="E218">
        <v>15.680000305175779</v>
      </c>
      <c r="F218">
        <v>14.489999771118161</v>
      </c>
      <c r="G218">
        <v>4358.33984375</v>
      </c>
      <c r="H218">
        <v>15.86999988555908</v>
      </c>
      <c r="I218">
        <v>14.61999988555908</v>
      </c>
      <c r="J218">
        <v>4373.6201171875</v>
      </c>
      <c r="K218">
        <v>14.80000019073486</v>
      </c>
      <c r="L218">
        <v>13.64000034332275</v>
      </c>
      <c r="M218">
        <v>4132.93994140625</v>
      </c>
      <c r="N218">
        <v>15.47000026702881</v>
      </c>
      <c r="O218">
        <v>14.260000228881839</v>
      </c>
      <c r="P218">
        <v>4139.39013671875</v>
      </c>
      <c r="Q218">
        <v>80161600</v>
      </c>
      <c r="R218">
        <v>30538400</v>
      </c>
      <c r="S218">
        <v>21626250000</v>
      </c>
      <c r="W218" s="373">
        <f t="shared" si="4"/>
        <v>2.2831145329677227E-2</v>
      </c>
      <c r="X218" s="373">
        <f t="shared" si="4"/>
        <v>2.765964484579686E-2</v>
      </c>
      <c r="Y218" s="373">
        <f t="shared" si="4"/>
        <v>5.8525155549315144E-2</v>
      </c>
    </row>
    <row r="219" spans="1:25">
      <c r="A219" s="396">
        <v>45236</v>
      </c>
      <c r="B219">
        <v>11.281806945800779</v>
      </c>
      <c r="C219">
        <v>10.510366439819339</v>
      </c>
      <c r="D219">
        <v>4415.240234375</v>
      </c>
      <c r="E219">
        <v>15.22999954223633</v>
      </c>
      <c r="F219">
        <v>14.159999847412109</v>
      </c>
      <c r="G219">
        <v>4415.240234375</v>
      </c>
      <c r="H219">
        <v>15.989999771118161</v>
      </c>
      <c r="I219">
        <v>14.760000228881839</v>
      </c>
      <c r="J219">
        <v>4418.02978515625</v>
      </c>
      <c r="K219">
        <v>14.85000038146973</v>
      </c>
      <c r="L219">
        <v>13.789999961853029</v>
      </c>
      <c r="M219">
        <v>4343.93994140625</v>
      </c>
      <c r="N219">
        <v>15.909999847412109</v>
      </c>
      <c r="O219">
        <v>14.659999847412109</v>
      </c>
      <c r="P219">
        <v>4364.27001953125</v>
      </c>
      <c r="Q219">
        <v>86782400</v>
      </c>
      <c r="R219">
        <v>33208900</v>
      </c>
      <c r="S219">
        <v>18742940000</v>
      </c>
      <c r="W219" s="373">
        <f t="shared" si="4"/>
        <v>-2.8699026090680979E-2</v>
      </c>
      <c r="X219" s="373">
        <f t="shared" si="4"/>
        <v>-2.2774376689275067E-2</v>
      </c>
      <c r="Y219" s="373">
        <f t="shared" si="4"/>
        <v>1.3055519455784648E-2</v>
      </c>
    </row>
    <row r="220" spans="1:25">
      <c r="A220" s="396">
        <v>45243</v>
      </c>
      <c r="B220">
        <v>11.88182544708252</v>
      </c>
      <c r="C220">
        <v>11.10417461395264</v>
      </c>
      <c r="D220">
        <v>4514.02001953125</v>
      </c>
      <c r="E220">
        <v>16.04000091552734</v>
      </c>
      <c r="F220">
        <v>14.960000038146971</v>
      </c>
      <c r="G220">
        <v>4514.02001953125</v>
      </c>
      <c r="H220">
        <v>16.270000457763668</v>
      </c>
      <c r="I220">
        <v>15.10000038146973</v>
      </c>
      <c r="J220">
        <v>4521.169921875</v>
      </c>
      <c r="K220">
        <v>15.210000038146971</v>
      </c>
      <c r="L220">
        <v>14.159999847412109</v>
      </c>
      <c r="M220">
        <v>4393.81982421875</v>
      </c>
      <c r="N220">
        <v>15.27000045776367</v>
      </c>
      <c r="O220">
        <v>14.25</v>
      </c>
      <c r="P220">
        <v>4406.66015625</v>
      </c>
      <c r="Q220">
        <v>78945800</v>
      </c>
      <c r="R220">
        <v>37623600</v>
      </c>
      <c r="S220">
        <v>20115520000</v>
      </c>
      <c r="W220" s="373">
        <f t="shared" si="4"/>
        <v>5.3184609891332446E-2</v>
      </c>
      <c r="X220" s="373">
        <f t="shared" si="4"/>
        <v>5.6497380708213196E-2</v>
      </c>
      <c r="Y220" s="373">
        <f t="shared" si="4"/>
        <v>2.2372459914456355E-2</v>
      </c>
    </row>
    <row r="221" spans="1:25">
      <c r="A221" s="396">
        <v>45250</v>
      </c>
      <c r="B221">
        <v>11.35588264465332</v>
      </c>
      <c r="C221">
        <v>10.67366409301758</v>
      </c>
      <c r="D221">
        <v>4559.33984375</v>
      </c>
      <c r="E221">
        <v>15.329999923706049</v>
      </c>
      <c r="F221">
        <v>14.38000011444092</v>
      </c>
      <c r="G221">
        <v>4559.33984375</v>
      </c>
      <c r="H221">
        <v>16.379999160766602</v>
      </c>
      <c r="I221">
        <v>15.310000419616699</v>
      </c>
      <c r="J221">
        <v>4568.43017578125</v>
      </c>
      <c r="K221">
        <v>14.97000026702881</v>
      </c>
      <c r="L221">
        <v>14.02000045776367</v>
      </c>
      <c r="M221">
        <v>4510.35986328125</v>
      </c>
      <c r="N221">
        <v>16.20000076293945</v>
      </c>
      <c r="O221">
        <v>15.170000076293951</v>
      </c>
      <c r="P221">
        <v>4511.7001953125</v>
      </c>
      <c r="Q221">
        <v>86760100</v>
      </c>
      <c r="R221">
        <v>30111000</v>
      </c>
      <c r="S221">
        <v>11838180000</v>
      </c>
      <c r="W221" s="373">
        <f t="shared" si="4"/>
        <v>-4.4264478111681105E-2</v>
      </c>
      <c r="X221" s="373">
        <f t="shared" si="4"/>
        <v>-3.8770150497643874E-2</v>
      </c>
      <c r="Y221" s="373">
        <f t="shared" si="4"/>
        <v>1.0039792473817144E-2</v>
      </c>
    </row>
    <row r="222" spans="1:25">
      <c r="A222" s="396">
        <v>45257</v>
      </c>
      <c r="B222">
        <v>11.67049026489258</v>
      </c>
      <c r="C222">
        <v>11.198076248168951</v>
      </c>
      <c r="D222">
        <v>4594.6298828125</v>
      </c>
      <c r="E222">
        <v>15.210000038146971</v>
      </c>
      <c r="F222">
        <v>14.52999973297119</v>
      </c>
      <c r="G222">
        <v>4594.6298828125</v>
      </c>
      <c r="H222">
        <v>15.60999965667725</v>
      </c>
      <c r="I222">
        <v>14.75</v>
      </c>
      <c r="J222">
        <v>4599.39013671875</v>
      </c>
      <c r="K222">
        <v>15.039999961853029</v>
      </c>
      <c r="L222">
        <v>14.180000305175779</v>
      </c>
      <c r="M222">
        <v>4537.240234375</v>
      </c>
      <c r="N222">
        <v>15.39999961853027</v>
      </c>
      <c r="O222">
        <v>14.35999965667725</v>
      </c>
      <c r="P222">
        <v>4554.85986328125</v>
      </c>
      <c r="Q222">
        <v>77505500</v>
      </c>
      <c r="R222">
        <v>38068200</v>
      </c>
      <c r="S222">
        <v>21205410000</v>
      </c>
      <c r="W222" s="373">
        <f t="shared" si="4"/>
        <v>2.7704374030968593E-2</v>
      </c>
      <c r="X222" s="373">
        <f t="shared" si="4"/>
        <v>4.9131408912748809E-2</v>
      </c>
      <c r="Y222" s="373">
        <f t="shared" si="4"/>
        <v>7.740164206200939E-3</v>
      </c>
    </row>
    <row r="223" spans="1:25">
      <c r="A223" s="396">
        <v>45264</v>
      </c>
      <c r="B223">
        <v>11.417282104492189</v>
      </c>
      <c r="C223">
        <v>10.79732036590576</v>
      </c>
      <c r="D223">
        <v>4604.3701171875</v>
      </c>
      <c r="E223">
        <v>14.88000011444092</v>
      </c>
      <c r="F223">
        <v>14.010000228881839</v>
      </c>
      <c r="G223">
        <v>4604.3701171875</v>
      </c>
      <c r="H223">
        <v>15.11999988555908</v>
      </c>
      <c r="I223">
        <v>14.44999980926514</v>
      </c>
      <c r="J223">
        <v>4609.22998046875</v>
      </c>
      <c r="K223">
        <v>14.30000019073486</v>
      </c>
      <c r="L223">
        <v>13.47000026702881</v>
      </c>
      <c r="M223">
        <v>4546.5</v>
      </c>
      <c r="N223">
        <v>15.039999961853029</v>
      </c>
      <c r="O223">
        <v>14.420000076293951</v>
      </c>
      <c r="P223">
        <v>4564.3701171875</v>
      </c>
      <c r="Q223">
        <v>96546800</v>
      </c>
      <c r="R223">
        <v>45912600</v>
      </c>
      <c r="S223">
        <v>20051430000</v>
      </c>
      <c r="W223" s="373">
        <f t="shared" si="4"/>
        <v>-2.1696445877864901E-2</v>
      </c>
      <c r="X223" s="373">
        <f t="shared" si="4"/>
        <v>-3.578792226287264E-2</v>
      </c>
      <c r="Y223" s="373">
        <f t="shared" si="4"/>
        <v>2.1199170822086E-3</v>
      </c>
    </row>
    <row r="224" spans="1:25">
      <c r="A224" s="396">
        <v>45271</v>
      </c>
      <c r="B224">
        <v>11.4709939956665</v>
      </c>
      <c r="C224">
        <v>10.99769878387451</v>
      </c>
      <c r="D224">
        <v>4719.18994140625</v>
      </c>
      <c r="E224">
        <v>14.94999980926514</v>
      </c>
      <c r="F224">
        <v>14.27000045776367</v>
      </c>
      <c r="G224">
        <v>4719.18994140625</v>
      </c>
      <c r="H224">
        <v>15.340000152587891</v>
      </c>
      <c r="I224">
        <v>14.569999694824221</v>
      </c>
      <c r="J224">
        <v>4738.56982421875</v>
      </c>
      <c r="K224">
        <v>14.35999965667725</v>
      </c>
      <c r="L224">
        <v>13.579999923706049</v>
      </c>
      <c r="M224">
        <v>4593.39013671875</v>
      </c>
      <c r="N224">
        <v>14.80000019073486</v>
      </c>
      <c r="O224">
        <v>13.930000305175779</v>
      </c>
      <c r="P224">
        <v>4593.39013671875</v>
      </c>
      <c r="Q224">
        <v>75029900</v>
      </c>
      <c r="R224">
        <v>33736600</v>
      </c>
      <c r="S224">
        <v>27228260000</v>
      </c>
      <c r="W224" s="373">
        <f t="shared" si="4"/>
        <v>4.7044375958074092E-3</v>
      </c>
      <c r="X224" s="373">
        <f t="shared" si="4"/>
        <v>1.8558161764050007E-2</v>
      </c>
      <c r="Y224" s="373">
        <f t="shared" si="4"/>
        <v>2.4937140433203497E-2</v>
      </c>
    </row>
    <row r="225" spans="1:25">
      <c r="A225" s="396">
        <v>45278</v>
      </c>
      <c r="B225">
        <v>12.107845306396481</v>
      </c>
      <c r="C225">
        <v>11.606540679931641</v>
      </c>
      <c r="D225">
        <v>4754.6298828125</v>
      </c>
      <c r="E225">
        <v>15.77999973297119</v>
      </c>
      <c r="F225">
        <v>15.060000419616699</v>
      </c>
      <c r="G225">
        <v>4754.6298828125</v>
      </c>
      <c r="H225">
        <v>15.89999961853027</v>
      </c>
      <c r="I225">
        <v>15.14999961853027</v>
      </c>
      <c r="J225">
        <v>4778.009765625</v>
      </c>
      <c r="K225">
        <v>15.27000045776367</v>
      </c>
      <c r="L225">
        <v>14.5</v>
      </c>
      <c r="M225">
        <v>4697.81982421875</v>
      </c>
      <c r="N225">
        <v>15.289999961853029</v>
      </c>
      <c r="O225">
        <v>14.510000228881839</v>
      </c>
      <c r="P225">
        <v>4725.580078125</v>
      </c>
      <c r="Q225">
        <v>73317700</v>
      </c>
      <c r="R225">
        <v>33107900</v>
      </c>
      <c r="S225">
        <v>18766580000</v>
      </c>
      <c r="W225" s="373">
        <f t="shared" si="4"/>
        <v>5.5518406771947637E-2</v>
      </c>
      <c r="X225" s="373">
        <f t="shared" si="4"/>
        <v>5.5360844847819557E-2</v>
      </c>
      <c r="Y225" s="373">
        <f t="shared" si="4"/>
        <v>7.509751005209564E-3</v>
      </c>
    </row>
    <row r="226" spans="1:25">
      <c r="A226" s="396">
        <v>45285</v>
      </c>
      <c r="B226">
        <v>12.25363159179688</v>
      </c>
      <c r="C226">
        <v>11.77609252929688</v>
      </c>
      <c r="D226">
        <v>4769.830078125</v>
      </c>
      <c r="E226">
        <v>15.97000026702881</v>
      </c>
      <c r="F226">
        <v>15.27999973297119</v>
      </c>
      <c r="G226">
        <v>4769.830078125</v>
      </c>
      <c r="H226">
        <v>16.260000228881839</v>
      </c>
      <c r="I226">
        <v>15.510000228881839</v>
      </c>
      <c r="J226">
        <v>4793.2998046875</v>
      </c>
      <c r="K226">
        <v>15.909999847412109</v>
      </c>
      <c r="L226">
        <v>15.189999580383301</v>
      </c>
      <c r="M226">
        <v>4751.990234375</v>
      </c>
      <c r="N226">
        <v>16.069999694824219</v>
      </c>
      <c r="O226">
        <v>15.30000019073486</v>
      </c>
      <c r="P226">
        <v>4758.85986328125</v>
      </c>
      <c r="Q226">
        <v>33844400</v>
      </c>
      <c r="R226">
        <v>14033900</v>
      </c>
      <c r="S226">
        <v>11087280000</v>
      </c>
      <c r="W226" s="373">
        <f t="shared" si="4"/>
        <v>1.2040646515642406E-2</v>
      </c>
      <c r="X226" s="373">
        <f t="shared" si="4"/>
        <v>1.4608301822299552E-2</v>
      </c>
      <c r="Y226" s="373">
        <f t="shared" si="4"/>
        <v>3.1969250366779001E-3</v>
      </c>
    </row>
    <row r="227" spans="1:25">
      <c r="A227" s="396">
        <v>45292</v>
      </c>
      <c r="B227">
        <v>12.69098567962646</v>
      </c>
      <c r="C227">
        <v>12.23079776763916</v>
      </c>
      <c r="D227">
        <v>4697.240234375</v>
      </c>
      <c r="E227">
        <v>16.54000091552734</v>
      </c>
      <c r="F227">
        <v>15.86999988555908</v>
      </c>
      <c r="G227">
        <v>4697.240234375</v>
      </c>
      <c r="H227">
        <v>16.79000091552734</v>
      </c>
      <c r="I227">
        <v>16.010000228881839</v>
      </c>
      <c r="J227">
        <v>4754.330078125</v>
      </c>
      <c r="K227">
        <v>15.920000076293951</v>
      </c>
      <c r="L227">
        <v>15.25</v>
      </c>
      <c r="M227">
        <v>4682.10986328125</v>
      </c>
      <c r="N227">
        <v>16.090000152587891</v>
      </c>
      <c r="O227">
        <v>15.36999988555908</v>
      </c>
      <c r="P227">
        <v>4745.2001953125</v>
      </c>
      <c r="Q227">
        <v>52294600</v>
      </c>
      <c r="R227">
        <v>20892300</v>
      </c>
      <c r="S227">
        <v>15253660000</v>
      </c>
      <c r="W227" s="373">
        <f t="shared" si="4"/>
        <v>3.5691793453490384E-2</v>
      </c>
      <c r="X227" s="373">
        <f t="shared" si="4"/>
        <v>3.8612573501019209E-2</v>
      </c>
      <c r="Y227" s="373">
        <f t="shared" si="4"/>
        <v>-1.5218538723822839E-2</v>
      </c>
    </row>
    <row r="228" spans="1:25">
      <c r="A228" s="396">
        <v>45299</v>
      </c>
      <c r="B228">
        <v>12.537528038024901</v>
      </c>
      <c r="C228">
        <v>12.130607604980471</v>
      </c>
      <c r="D228">
        <v>4783.830078125</v>
      </c>
      <c r="E228">
        <v>16.340000152587891</v>
      </c>
      <c r="F228">
        <v>15.739999771118161</v>
      </c>
      <c r="G228">
        <v>4783.830078125</v>
      </c>
      <c r="H228">
        <v>16.54000091552734</v>
      </c>
      <c r="I228">
        <v>15.930000305175779</v>
      </c>
      <c r="J228">
        <v>4802.39990234375</v>
      </c>
      <c r="K228">
        <v>15.85000038146973</v>
      </c>
      <c r="L228">
        <v>15.310000419616699</v>
      </c>
      <c r="M228">
        <v>4699.81982421875</v>
      </c>
      <c r="N228">
        <v>16.229999542236332</v>
      </c>
      <c r="O228">
        <v>15.60000038146973</v>
      </c>
      <c r="P228">
        <v>4703.7001953125</v>
      </c>
      <c r="Q228">
        <v>65547000</v>
      </c>
      <c r="R228">
        <v>21424200</v>
      </c>
      <c r="S228">
        <v>18017190000</v>
      </c>
      <c r="W228" s="373">
        <f t="shared" si="4"/>
        <v>-1.2091861536642767E-2</v>
      </c>
      <c r="X228" s="373">
        <f t="shared" si="4"/>
        <v>-8.191629406527956E-3</v>
      </c>
      <c r="Y228" s="373">
        <f t="shared" si="4"/>
        <v>1.8434195278394405E-2</v>
      </c>
    </row>
    <row r="229" spans="1:25">
      <c r="A229" s="396">
        <v>45306</v>
      </c>
      <c r="B229">
        <v>12.07715511322021</v>
      </c>
      <c r="C229">
        <v>11.69131660461426</v>
      </c>
      <c r="D229">
        <v>4839.81005859375</v>
      </c>
      <c r="E229">
        <v>15.739999771118161</v>
      </c>
      <c r="F229">
        <v>15.170000076293951</v>
      </c>
      <c r="G229">
        <v>4839.81005859375</v>
      </c>
      <c r="H229">
        <v>16.340000152587891</v>
      </c>
      <c r="I229">
        <v>15.739999771118161</v>
      </c>
      <c r="J229">
        <v>4842.06982421875</v>
      </c>
      <c r="K229">
        <v>15.64000034332275</v>
      </c>
      <c r="L229">
        <v>15.090000152587891</v>
      </c>
      <c r="M229">
        <v>4714.81982421875</v>
      </c>
      <c r="N229">
        <v>16.29999923706055</v>
      </c>
      <c r="O229">
        <v>15.689999580383301</v>
      </c>
      <c r="P229">
        <v>4772.35009765625</v>
      </c>
      <c r="Q229">
        <v>43509600</v>
      </c>
      <c r="R229">
        <v>16878500</v>
      </c>
      <c r="S229">
        <v>16495350000</v>
      </c>
      <c r="W229" s="373">
        <f t="shared" si="4"/>
        <v>-3.6719592842259785E-2</v>
      </c>
      <c r="X229" s="373">
        <f t="shared" si="4"/>
        <v>-3.6213437502161994E-2</v>
      </c>
      <c r="Y229" s="373">
        <f t="shared" si="4"/>
        <v>1.1701916571980497E-2</v>
      </c>
    </row>
    <row r="230" spans="1:25">
      <c r="A230" s="396">
        <v>45313</v>
      </c>
      <c r="B230">
        <v>13.082303047180179</v>
      </c>
      <c r="C230">
        <v>12.554487228393549</v>
      </c>
      <c r="D230">
        <v>4890.97021484375</v>
      </c>
      <c r="E230">
        <v>17.04999923706055</v>
      </c>
      <c r="F230">
        <v>16.29000091552734</v>
      </c>
      <c r="G230">
        <v>4890.97021484375</v>
      </c>
      <c r="H230">
        <v>17.20999908447266</v>
      </c>
      <c r="I230">
        <v>16.329999923706051</v>
      </c>
      <c r="J230">
        <v>4906.68994140625</v>
      </c>
      <c r="K230">
        <v>15.579999923706049</v>
      </c>
      <c r="L230">
        <v>15.039999961853029</v>
      </c>
      <c r="M230">
        <v>4844.0498046875</v>
      </c>
      <c r="N230">
        <v>15.75</v>
      </c>
      <c r="O230">
        <v>15.180000305175779</v>
      </c>
      <c r="P230">
        <v>4853.419921875</v>
      </c>
      <c r="Q230">
        <v>77578800</v>
      </c>
      <c r="R230">
        <v>32630200</v>
      </c>
      <c r="S230">
        <v>19914270000</v>
      </c>
      <c r="W230" s="373">
        <f t="shared" si="4"/>
        <v>8.3227210757580439E-2</v>
      </c>
      <c r="X230" s="373">
        <f t="shared" si="4"/>
        <v>7.3830061486712228E-2</v>
      </c>
      <c r="Y230" s="373">
        <f t="shared" si="4"/>
        <v>1.0570695054273438E-2</v>
      </c>
    </row>
    <row r="231" spans="1:25">
      <c r="A231" s="396">
        <v>45320</v>
      </c>
      <c r="B231">
        <v>13.05161190032959</v>
      </c>
      <c r="C231">
        <v>12.7009162902832</v>
      </c>
      <c r="D231">
        <v>4958.60986328125</v>
      </c>
      <c r="E231">
        <v>17.010000228881839</v>
      </c>
      <c r="F231">
        <v>16.479999542236332</v>
      </c>
      <c r="G231">
        <v>4958.60986328125</v>
      </c>
      <c r="H231">
        <v>17.760000228881839</v>
      </c>
      <c r="I231">
        <v>16.979999542236332</v>
      </c>
      <c r="J231">
        <v>4975.2900390625</v>
      </c>
      <c r="K231">
        <v>16.860000610351559</v>
      </c>
      <c r="L231">
        <v>16.159999847412109</v>
      </c>
      <c r="M231">
        <v>4845.14990234375</v>
      </c>
      <c r="N231">
        <v>17</v>
      </c>
      <c r="O231">
        <v>16.29999923706055</v>
      </c>
      <c r="P231">
        <v>4892.9501953125</v>
      </c>
      <c r="Q231">
        <v>86431300</v>
      </c>
      <c r="R231">
        <v>38843700</v>
      </c>
      <c r="S231">
        <v>20417850000</v>
      </c>
      <c r="W231" s="373">
        <f t="shared" si="4"/>
        <v>-2.3460048846066783E-3</v>
      </c>
      <c r="X231" s="373">
        <f t="shared" si="4"/>
        <v>1.1663484077508279E-2</v>
      </c>
      <c r="Y231" s="373">
        <f t="shared" si="4"/>
        <v>1.3829495062599007E-2</v>
      </c>
    </row>
    <row r="232" spans="1:25">
      <c r="A232" s="396">
        <v>45327</v>
      </c>
      <c r="B232">
        <v>13.18972587585449</v>
      </c>
      <c r="C232">
        <v>12.839639663696291</v>
      </c>
      <c r="D232">
        <v>5026.60986328125</v>
      </c>
      <c r="E232">
        <v>17.190000534057621</v>
      </c>
      <c r="F232">
        <v>16.659999847412109</v>
      </c>
      <c r="G232">
        <v>5026.60986328125</v>
      </c>
      <c r="H232">
        <v>17.489999771118161</v>
      </c>
      <c r="I232">
        <v>17.10000038146973</v>
      </c>
      <c r="J232">
        <v>5030.06005859375</v>
      </c>
      <c r="K232">
        <v>16.739999771118161</v>
      </c>
      <c r="L232">
        <v>16.319999694824219</v>
      </c>
      <c r="M232">
        <v>4918.08984375</v>
      </c>
      <c r="N232">
        <v>17.010000228881839</v>
      </c>
      <c r="O232">
        <v>16.489999771118161</v>
      </c>
      <c r="P232">
        <v>4957.18994140625</v>
      </c>
      <c r="Q232">
        <v>72409200</v>
      </c>
      <c r="R232">
        <v>32773900</v>
      </c>
      <c r="S232">
        <v>21614960000</v>
      </c>
      <c r="W232" s="373">
        <f t="shared" si="4"/>
        <v>1.058213932345109E-2</v>
      </c>
      <c r="X232" s="373">
        <f t="shared" si="4"/>
        <v>1.0922312236576248E-2</v>
      </c>
      <c r="Y232" s="373">
        <f t="shared" si="4"/>
        <v>1.3713520900997533E-2</v>
      </c>
    </row>
    <row r="233" spans="1:25">
      <c r="A233" s="396">
        <v>45334</v>
      </c>
      <c r="B233">
        <v>13.58104419708252</v>
      </c>
      <c r="C233">
        <v>13.240396499633791</v>
      </c>
      <c r="D233">
        <v>5005.56982421875</v>
      </c>
      <c r="E233">
        <v>17.70000076293945</v>
      </c>
      <c r="F233">
        <v>17.180000305175781</v>
      </c>
      <c r="G233">
        <v>5005.56982421875</v>
      </c>
      <c r="H233">
        <v>17.79999923706055</v>
      </c>
      <c r="I233">
        <v>17.239999771118161</v>
      </c>
      <c r="J233">
        <v>5048.39013671875</v>
      </c>
      <c r="K233">
        <v>16.85000038146973</v>
      </c>
      <c r="L233">
        <v>16.29000091552734</v>
      </c>
      <c r="M233">
        <v>4920.31005859375</v>
      </c>
      <c r="N233">
        <v>17.20999908447266</v>
      </c>
      <c r="O233">
        <v>16.760000228881839</v>
      </c>
      <c r="P233">
        <v>5026.830078125</v>
      </c>
      <c r="Q233">
        <v>68058100</v>
      </c>
      <c r="R233">
        <v>24347000</v>
      </c>
      <c r="S233">
        <v>19924770000</v>
      </c>
      <c r="W233" s="373">
        <f t="shared" si="4"/>
        <v>2.9668419564684578E-2</v>
      </c>
      <c r="X233" s="373">
        <f t="shared" si="4"/>
        <v>3.1212467517342191E-2</v>
      </c>
      <c r="Y233" s="373">
        <f t="shared" si="4"/>
        <v>-4.1857314641016163E-3</v>
      </c>
    </row>
    <row r="234" spans="1:25">
      <c r="A234" s="396">
        <v>45341</v>
      </c>
      <c r="B234">
        <v>13.32016563415527</v>
      </c>
      <c r="C234">
        <v>12.939828872680661</v>
      </c>
      <c r="D234">
        <v>5088.7998046875</v>
      </c>
      <c r="E234">
        <v>17.360000610351559</v>
      </c>
      <c r="F234">
        <v>16.79000091552734</v>
      </c>
      <c r="G234">
        <v>5088.7998046875</v>
      </c>
      <c r="H234">
        <v>17.909999847412109</v>
      </c>
      <c r="I234">
        <v>17.309999465942379</v>
      </c>
      <c r="J234">
        <v>5111.06005859375</v>
      </c>
      <c r="K234">
        <v>17.20000076293945</v>
      </c>
      <c r="L234">
        <v>16.670000076293949</v>
      </c>
      <c r="M234">
        <v>4946</v>
      </c>
      <c r="N234">
        <v>17.840000152587891</v>
      </c>
      <c r="O234">
        <v>17.260000228881839</v>
      </c>
      <c r="P234">
        <v>4989.31982421875</v>
      </c>
      <c r="Q234">
        <v>75377600</v>
      </c>
      <c r="R234">
        <v>21910400</v>
      </c>
      <c r="S234">
        <v>15547770000</v>
      </c>
      <c r="W234" s="373">
        <f t="shared" si="4"/>
        <v>-1.9209020981118097E-2</v>
      </c>
      <c r="X234" s="373">
        <f t="shared" si="4"/>
        <v>-2.2700802575016832E-2</v>
      </c>
      <c r="Y234" s="373">
        <f t="shared" si="4"/>
        <v>1.6627473672638393E-2</v>
      </c>
    </row>
    <row r="235" spans="1:25">
      <c r="A235" s="396">
        <v>45348</v>
      </c>
      <c r="B235">
        <v>12.798408508300779</v>
      </c>
      <c r="C235">
        <v>12.515950202941889</v>
      </c>
      <c r="D235">
        <v>5137.080078125</v>
      </c>
      <c r="E235">
        <v>16.680000305175781</v>
      </c>
      <c r="F235">
        <v>16.239999771118161</v>
      </c>
      <c r="G235">
        <v>5137.080078125</v>
      </c>
      <c r="H235">
        <v>17.909999847412109</v>
      </c>
      <c r="I235">
        <v>17.319999694824219</v>
      </c>
      <c r="J235">
        <v>5140.330078125</v>
      </c>
      <c r="K235">
        <v>16.340000152587891</v>
      </c>
      <c r="L235">
        <v>15.989999771118161</v>
      </c>
      <c r="M235">
        <v>5057.2900390625</v>
      </c>
      <c r="N235">
        <v>17.569999694824219</v>
      </c>
      <c r="O235">
        <v>17.020000457763668</v>
      </c>
      <c r="P235">
        <v>5093</v>
      </c>
      <c r="Q235">
        <v>116729900</v>
      </c>
      <c r="R235">
        <v>47312100</v>
      </c>
      <c r="S235">
        <v>21367100000</v>
      </c>
      <c r="W235" s="373">
        <f t="shared" si="4"/>
        <v>-3.917046830983939E-2</v>
      </c>
      <c r="X235" s="373">
        <f t="shared" si="4"/>
        <v>-3.2757671983876802E-2</v>
      </c>
      <c r="Y235" s="373">
        <f t="shared" si="4"/>
        <v>9.4875560624387845E-3</v>
      </c>
    </row>
    <row r="236" spans="1:25">
      <c r="A236" s="396">
        <v>45355</v>
      </c>
      <c r="B236">
        <v>11.340554237365721</v>
      </c>
      <c r="C236">
        <v>11.159543037414551</v>
      </c>
      <c r="D236">
        <v>5123.68994140625</v>
      </c>
      <c r="E236">
        <v>14.77999973297119</v>
      </c>
      <c r="F236">
        <v>14.47999954223633</v>
      </c>
      <c r="G236">
        <v>5123.68994140625</v>
      </c>
      <c r="H236">
        <v>16.889999389648441</v>
      </c>
      <c r="I236">
        <v>16.479999542236332</v>
      </c>
      <c r="J236">
        <v>5189.259765625</v>
      </c>
      <c r="K236">
        <v>14.319999694824221</v>
      </c>
      <c r="L236">
        <v>14.319999694824221</v>
      </c>
      <c r="M236">
        <v>5056.81982421875</v>
      </c>
      <c r="N236">
        <v>16.739999771118161</v>
      </c>
      <c r="O236">
        <v>16.329999923706051</v>
      </c>
      <c r="P236">
        <v>5130.990234375</v>
      </c>
      <c r="Q236">
        <v>167684700</v>
      </c>
      <c r="R236">
        <v>62228800</v>
      </c>
      <c r="S236">
        <v>22082750000</v>
      </c>
      <c r="W236" s="373">
        <f t="shared" si="4"/>
        <v>-0.11390902782869639</v>
      </c>
      <c r="X236" s="373">
        <f t="shared" si="4"/>
        <v>-0.10837428589389186</v>
      </c>
      <c r="Y236" s="373">
        <f t="shared" si="4"/>
        <v>-2.6065656978501162E-3</v>
      </c>
    </row>
    <row r="237" spans="1:25">
      <c r="A237" s="396">
        <v>45362</v>
      </c>
      <c r="B237">
        <v>11.15640449523926</v>
      </c>
      <c r="C237">
        <v>11.12871646881104</v>
      </c>
      <c r="D237">
        <v>5117.08984375</v>
      </c>
      <c r="E237">
        <v>14.539999961853029</v>
      </c>
      <c r="F237">
        <v>14.439999580383301</v>
      </c>
      <c r="G237">
        <v>5117.08984375</v>
      </c>
      <c r="H237">
        <v>15.27000045776367</v>
      </c>
      <c r="I237">
        <v>15.060000419616699</v>
      </c>
      <c r="J237">
        <v>5179.8701171875</v>
      </c>
      <c r="K237">
        <v>14.489999771118161</v>
      </c>
      <c r="L237">
        <v>14.210000038146971</v>
      </c>
      <c r="M237">
        <v>5091.14013671875</v>
      </c>
      <c r="N237">
        <v>14.60000038146973</v>
      </c>
      <c r="O237">
        <v>14.27000045776367</v>
      </c>
      <c r="P237">
        <v>5111.9599609375</v>
      </c>
      <c r="Q237">
        <v>141235600</v>
      </c>
      <c r="R237">
        <v>43044300</v>
      </c>
      <c r="S237">
        <v>24701470000</v>
      </c>
      <c r="W237" s="373">
        <f t="shared" si="4"/>
        <v>-1.6238160699387216E-2</v>
      </c>
      <c r="X237" s="373">
        <f t="shared" si="4"/>
        <v>-2.7623504385581032E-3</v>
      </c>
      <c r="Y237" s="373">
        <f t="shared" si="4"/>
        <v>-1.2881532121825634E-3</v>
      </c>
    </row>
    <row r="238" spans="1:25">
      <c r="A238" s="396">
        <v>45369</v>
      </c>
      <c r="B238">
        <v>11.27149772644043</v>
      </c>
      <c r="C238">
        <v>11.12100887298584</v>
      </c>
      <c r="D238">
        <v>5234.18017578125</v>
      </c>
      <c r="E238">
        <v>14.689999580383301</v>
      </c>
      <c r="F238">
        <v>14.430000305175779</v>
      </c>
      <c r="G238">
        <v>5234.18017578125</v>
      </c>
      <c r="H238">
        <v>15.02999973297119</v>
      </c>
      <c r="I238">
        <v>14.80000019073486</v>
      </c>
      <c r="J238">
        <v>5261.10009765625</v>
      </c>
      <c r="K238">
        <v>14.210000038146971</v>
      </c>
      <c r="L238">
        <v>14.079999923706049</v>
      </c>
      <c r="M238">
        <v>5131.58984375</v>
      </c>
      <c r="N238">
        <v>14.75</v>
      </c>
      <c r="O238">
        <v>14.60999965667725</v>
      </c>
      <c r="P238">
        <v>5154.77001953125</v>
      </c>
      <c r="Q238">
        <v>107877700</v>
      </c>
      <c r="R238">
        <v>36482400</v>
      </c>
      <c r="S238">
        <v>19715260000</v>
      </c>
      <c r="W238" s="373">
        <f t="shared" si="4"/>
        <v>1.0316337243803098E-2</v>
      </c>
      <c r="X238" s="373">
        <f t="shared" si="4"/>
        <v>-6.9258623371359906E-4</v>
      </c>
      <c r="Y238" s="373">
        <f t="shared" si="4"/>
        <v>2.2882211492585736E-2</v>
      </c>
    </row>
    <row r="239" spans="1:25">
      <c r="A239" s="396">
        <v>45376</v>
      </c>
      <c r="B239">
        <v>11.67049026489258</v>
      </c>
      <c r="C239">
        <v>11.483232498168951</v>
      </c>
      <c r="D239">
        <v>5254.35009765625</v>
      </c>
      <c r="E239">
        <v>15.210000038146971</v>
      </c>
      <c r="F239">
        <v>14.89999961853027</v>
      </c>
      <c r="G239">
        <v>5254.35009765625</v>
      </c>
      <c r="H239">
        <v>15.25</v>
      </c>
      <c r="I239">
        <v>14.94999980926514</v>
      </c>
      <c r="J239">
        <v>5264.85009765625</v>
      </c>
      <c r="K239">
        <v>14.64999961853027</v>
      </c>
      <c r="L239">
        <v>14.44999980926514</v>
      </c>
      <c r="M239">
        <v>5203.419921875</v>
      </c>
      <c r="N239">
        <v>14.85999965667725</v>
      </c>
      <c r="O239">
        <v>14.55000019073486</v>
      </c>
      <c r="P239">
        <v>5219.52001953125</v>
      </c>
      <c r="Q239">
        <v>70127700</v>
      </c>
      <c r="R239">
        <v>16886500</v>
      </c>
      <c r="S239">
        <v>15051920000</v>
      </c>
      <c r="W239" s="373">
        <f t="shared" si="4"/>
        <v>3.5398360371949655E-2</v>
      </c>
      <c r="X239" s="373">
        <f t="shared" si="4"/>
        <v>3.2571111966558375E-2</v>
      </c>
      <c r="Y239" s="373">
        <f t="shared" si="4"/>
        <v>3.8535016368612673E-3</v>
      </c>
    </row>
    <row r="240" spans="1:25">
      <c r="A240" s="396">
        <v>45383</v>
      </c>
      <c r="B240">
        <v>11.885331153869631</v>
      </c>
      <c r="C240">
        <v>11.6219539642334</v>
      </c>
      <c r="D240">
        <v>5204.33984375</v>
      </c>
      <c r="E240">
        <v>15.489999771118161</v>
      </c>
      <c r="F240">
        <v>15.079999923706049</v>
      </c>
      <c r="G240">
        <v>5204.33984375</v>
      </c>
      <c r="H240">
        <v>16.270000457763668</v>
      </c>
      <c r="I240">
        <v>15.72000026702881</v>
      </c>
      <c r="J240">
        <v>5263.9501953125</v>
      </c>
      <c r="K240">
        <v>15.05000019073486</v>
      </c>
      <c r="L240">
        <v>14.72999954223633</v>
      </c>
      <c r="M240">
        <v>5146.06005859375</v>
      </c>
      <c r="N240">
        <v>15.22000026702881</v>
      </c>
      <c r="O240">
        <v>14.86999988555908</v>
      </c>
      <c r="P240">
        <v>5257.97021484375</v>
      </c>
      <c r="Q240">
        <v>138090600</v>
      </c>
      <c r="R240">
        <v>40321000</v>
      </c>
      <c r="S240">
        <v>18378230000</v>
      </c>
      <c r="W240" s="373">
        <f t="shared" si="4"/>
        <v>1.8408900063379585E-2</v>
      </c>
      <c r="X240" s="373">
        <f t="shared" si="4"/>
        <v>1.2080349856764538E-2</v>
      </c>
      <c r="Y240" s="373">
        <f t="shared" si="4"/>
        <v>-9.5178762314596099E-3</v>
      </c>
    </row>
    <row r="241" spans="1:25">
      <c r="A241" s="396">
        <v>45390</v>
      </c>
      <c r="B241">
        <v>12.06180953979492</v>
      </c>
      <c r="C241">
        <v>11.69131660461426</v>
      </c>
      <c r="D241">
        <v>5123.41015625</v>
      </c>
      <c r="E241">
        <v>15.72000026702881</v>
      </c>
      <c r="F241">
        <v>15.170000076293951</v>
      </c>
      <c r="G241">
        <v>5123.41015625</v>
      </c>
      <c r="H241">
        <v>16.170000076293949</v>
      </c>
      <c r="I241">
        <v>15.659999847412109</v>
      </c>
      <c r="J241">
        <v>5224.81005859375</v>
      </c>
      <c r="K241">
        <v>15.260000228881839</v>
      </c>
      <c r="L241">
        <v>14.939999580383301</v>
      </c>
      <c r="M241">
        <v>5107.93994140625</v>
      </c>
      <c r="N241">
        <v>15.409999847412109</v>
      </c>
      <c r="O241">
        <v>15.05000019073486</v>
      </c>
      <c r="P241">
        <v>5211.3701171875</v>
      </c>
      <c r="Q241">
        <v>95196800</v>
      </c>
      <c r="R241">
        <v>30916900</v>
      </c>
      <c r="S241">
        <v>17997390000</v>
      </c>
      <c r="W241" s="373">
        <f t="shared" si="4"/>
        <v>1.4848419757141684E-2</v>
      </c>
      <c r="X241" s="373">
        <f t="shared" si="4"/>
        <v>5.9682425687042073E-3</v>
      </c>
      <c r="Y241" s="373">
        <f t="shared" si="4"/>
        <v>-1.5550423287055359E-2</v>
      </c>
    </row>
    <row r="242" spans="1:25">
      <c r="A242" s="396">
        <v>45397</v>
      </c>
      <c r="B242">
        <v>12.63727474212646</v>
      </c>
      <c r="C242">
        <v>12.015005111694339</v>
      </c>
      <c r="D242">
        <v>4967.22998046875</v>
      </c>
      <c r="E242">
        <v>16.469999313354489</v>
      </c>
      <c r="F242">
        <v>15.590000152587891</v>
      </c>
      <c r="G242">
        <v>4967.22998046875</v>
      </c>
      <c r="H242">
        <v>16.520000457763668</v>
      </c>
      <c r="I242">
        <v>15.75</v>
      </c>
      <c r="J242">
        <v>5168.43017578125</v>
      </c>
      <c r="K242">
        <v>15.340000152587891</v>
      </c>
      <c r="L242">
        <v>14.80000019073486</v>
      </c>
      <c r="M242">
        <v>4953.56005859375</v>
      </c>
      <c r="N242">
        <v>15.60999965667725</v>
      </c>
      <c r="O242">
        <v>15.02999973297119</v>
      </c>
      <c r="P242">
        <v>5149.669921875</v>
      </c>
      <c r="Q242">
        <v>101696100</v>
      </c>
      <c r="R242">
        <v>37987800</v>
      </c>
      <c r="S242">
        <v>19051050000</v>
      </c>
      <c r="W242" s="373">
        <f t="shared" si="4"/>
        <v>4.7709690692174789E-2</v>
      </c>
      <c r="X242" s="373">
        <f t="shared" si="4"/>
        <v>2.7686232271934896E-2</v>
      </c>
      <c r="Y242" s="373">
        <f t="shared" si="4"/>
        <v>-3.0483637073390857E-2</v>
      </c>
    </row>
    <row r="243" spans="1:25">
      <c r="A243" s="396">
        <v>45404</v>
      </c>
      <c r="B243">
        <v>13.082303047180179</v>
      </c>
      <c r="C243">
        <v>12.45429515838623</v>
      </c>
      <c r="D243">
        <v>5099.9599609375</v>
      </c>
      <c r="E243">
        <v>17.04999923706055</v>
      </c>
      <c r="F243">
        <v>16.159999847412109</v>
      </c>
      <c r="G243">
        <v>5099.9599609375</v>
      </c>
      <c r="H243">
        <v>17.170000076293949</v>
      </c>
      <c r="I243">
        <v>16.409999847412109</v>
      </c>
      <c r="J243">
        <v>5114.6201171875</v>
      </c>
      <c r="K243">
        <v>16.420000076293949</v>
      </c>
      <c r="L243">
        <v>15.560000419616699</v>
      </c>
      <c r="M243">
        <v>4969.39990234375</v>
      </c>
      <c r="N243">
        <v>16.479999542236332</v>
      </c>
      <c r="O243">
        <v>15.60999965667725</v>
      </c>
      <c r="P243">
        <v>4987.330078125</v>
      </c>
      <c r="Q243">
        <v>107083200</v>
      </c>
      <c r="R243">
        <v>36360600</v>
      </c>
      <c r="S243">
        <v>18790580000</v>
      </c>
      <c r="W243" s="373">
        <f t="shared" si="4"/>
        <v>3.5215528200096324E-2</v>
      </c>
      <c r="X243" s="373">
        <f t="shared" si="4"/>
        <v>3.6561786083996406E-2</v>
      </c>
      <c r="Y243" s="373">
        <f t="shared" si="4"/>
        <v>2.6721126460954592E-2</v>
      </c>
    </row>
    <row r="244" spans="1:25">
      <c r="A244" s="396">
        <v>45411</v>
      </c>
      <c r="B244">
        <v>12.937418937683111</v>
      </c>
      <c r="C244">
        <v>12.40170097351074</v>
      </c>
      <c r="D244">
        <v>5127.7900390625</v>
      </c>
      <c r="E244">
        <v>16.430000305175781</v>
      </c>
      <c r="F244">
        <v>15.659999847412109</v>
      </c>
      <c r="G244">
        <v>5127.7900390625</v>
      </c>
      <c r="H244">
        <v>17.440000534057621</v>
      </c>
      <c r="I244">
        <v>16.54000091552734</v>
      </c>
      <c r="J244">
        <v>5139.1201171875</v>
      </c>
      <c r="K244">
        <v>16.29999923706055</v>
      </c>
      <c r="L244">
        <v>15.52000045776367</v>
      </c>
      <c r="M244">
        <v>5011.0498046875</v>
      </c>
      <c r="N244">
        <v>17.030000686645511</v>
      </c>
      <c r="O244">
        <v>16.20000076293945</v>
      </c>
      <c r="P244">
        <v>5114.1298828125</v>
      </c>
      <c r="Q244">
        <v>100690100</v>
      </c>
      <c r="R244">
        <v>27141500</v>
      </c>
      <c r="S244">
        <v>20380740000</v>
      </c>
      <c r="W244" s="373">
        <f t="shared" si="4"/>
        <v>-1.1074816794455544E-2</v>
      </c>
      <c r="X244" s="373">
        <f t="shared" si="4"/>
        <v>-4.2229756246041639E-3</v>
      </c>
      <c r="Y244" s="373">
        <f t="shared" si="4"/>
        <v>5.4569209049013523E-3</v>
      </c>
    </row>
    <row r="245" spans="1:25">
      <c r="A245" s="396">
        <v>45418</v>
      </c>
      <c r="B245">
        <v>13.993155479431151</v>
      </c>
      <c r="C245">
        <v>13.271140098571779</v>
      </c>
      <c r="D245">
        <v>5222.68017578125</v>
      </c>
      <c r="E245">
        <v>17.079999923706051</v>
      </c>
      <c r="F245">
        <v>16.069999694824219</v>
      </c>
      <c r="G245">
        <v>5222.68017578125</v>
      </c>
      <c r="H245">
        <v>17.409999847412109</v>
      </c>
      <c r="I245">
        <v>16.370000839233398</v>
      </c>
      <c r="J245">
        <v>5239.66015625</v>
      </c>
      <c r="K245">
        <v>16.479999542236332</v>
      </c>
      <c r="L245">
        <v>15.680000305175779</v>
      </c>
      <c r="M245">
        <v>5142.419921875</v>
      </c>
      <c r="N245">
        <v>16.5</v>
      </c>
      <c r="O245">
        <v>15.69999980926514</v>
      </c>
      <c r="P245">
        <v>5142.419921875</v>
      </c>
      <c r="Q245">
        <v>71177600</v>
      </c>
      <c r="R245">
        <v>21512900</v>
      </c>
      <c r="S245">
        <v>18858510000</v>
      </c>
      <c r="W245" s="373">
        <f t="shared" si="4"/>
        <v>8.160333578384571E-2</v>
      </c>
      <c r="X245" s="373">
        <f t="shared" si="4"/>
        <v>7.0106441601688774E-2</v>
      </c>
      <c r="Y245" s="373">
        <f t="shared" si="4"/>
        <v>1.8505074504980845E-2</v>
      </c>
    </row>
    <row r="246" spans="1:25">
      <c r="A246" s="396">
        <v>45425</v>
      </c>
      <c r="B246">
        <v>12.30545616149902</v>
      </c>
      <c r="C246">
        <v>11.80941581726074</v>
      </c>
      <c r="D246">
        <v>5303.27001953125</v>
      </c>
      <c r="E246">
        <v>15.02000045776367</v>
      </c>
      <c r="F246">
        <v>14.30000019073486</v>
      </c>
      <c r="G246">
        <v>5303.27001953125</v>
      </c>
      <c r="H246">
        <v>17.370000839233398</v>
      </c>
      <c r="I246">
        <v>16.340000152587891</v>
      </c>
      <c r="J246">
        <v>5325.490234375</v>
      </c>
      <c r="K246">
        <v>14.97999954223633</v>
      </c>
      <c r="L246">
        <v>14.239999771118161</v>
      </c>
      <c r="M246">
        <v>5211.16015625</v>
      </c>
      <c r="N246">
        <v>17.270000457763668</v>
      </c>
      <c r="O246">
        <v>16.25</v>
      </c>
      <c r="P246">
        <v>5233.080078125</v>
      </c>
      <c r="Q246">
        <v>159887900</v>
      </c>
      <c r="R246">
        <v>54555200</v>
      </c>
      <c r="S246">
        <v>20775690000</v>
      </c>
      <c r="W246" s="373">
        <f t="shared" si="4"/>
        <v>-0.12060891629575021</v>
      </c>
      <c r="X246" s="373">
        <f t="shared" si="4"/>
        <v>-0.11014308269327566</v>
      </c>
      <c r="Y246" s="373">
        <f t="shared" si="4"/>
        <v>1.5430744567456633E-2</v>
      </c>
    </row>
    <row r="247" spans="1:25">
      <c r="A247" s="396">
        <v>45432</v>
      </c>
      <c r="B247">
        <v>12.14160060882568</v>
      </c>
      <c r="C247">
        <v>11.66902446746826</v>
      </c>
      <c r="D247">
        <v>5304.72021484375</v>
      </c>
      <c r="E247">
        <v>14.819999694824221</v>
      </c>
      <c r="F247">
        <v>14.13000011444092</v>
      </c>
      <c r="G247">
        <v>5304.72021484375</v>
      </c>
      <c r="H247">
        <v>15.27999973297119</v>
      </c>
      <c r="I247">
        <v>14.670000076293951</v>
      </c>
      <c r="J247">
        <v>5341.8798828125</v>
      </c>
      <c r="K247">
        <v>14.75</v>
      </c>
      <c r="L247">
        <v>14.10000038146973</v>
      </c>
      <c r="M247">
        <v>5256.93017578125</v>
      </c>
      <c r="N247">
        <v>15.14000034332275</v>
      </c>
      <c r="O247">
        <v>14.420000076293951</v>
      </c>
      <c r="P247">
        <v>5305.35009765625</v>
      </c>
      <c r="Q247">
        <v>86888100</v>
      </c>
      <c r="R247">
        <v>28664000</v>
      </c>
      <c r="S247">
        <v>17804500000</v>
      </c>
      <c r="W247" s="373">
        <f t="shared" si="4"/>
        <v>-1.3315682939573303E-2</v>
      </c>
      <c r="X247" s="373">
        <f t="shared" si="4"/>
        <v>-1.1888085910844448E-2</v>
      </c>
      <c r="Y247" s="373">
        <f t="shared" si="4"/>
        <v>2.7345304070114373E-4</v>
      </c>
    </row>
    <row r="248" spans="1:25">
      <c r="A248" s="396">
        <v>45439</v>
      </c>
      <c r="B248">
        <v>12.739668846130369</v>
      </c>
      <c r="C248">
        <v>12.23059177398682</v>
      </c>
      <c r="D248">
        <v>5277.509765625</v>
      </c>
      <c r="E248">
        <v>15.55000019073486</v>
      </c>
      <c r="F248">
        <v>14.810000419616699</v>
      </c>
      <c r="G248">
        <v>5277.509765625</v>
      </c>
      <c r="H248">
        <v>15.569999694824221</v>
      </c>
      <c r="I248">
        <v>14.819999694824221</v>
      </c>
      <c r="J248">
        <v>5315.91015625</v>
      </c>
      <c r="K248">
        <v>14.939999580383301</v>
      </c>
      <c r="L248">
        <v>14.38000011444092</v>
      </c>
      <c r="M248">
        <v>5191.68017578125</v>
      </c>
      <c r="N248">
        <v>15.170000076293951</v>
      </c>
      <c r="O248">
        <v>14.55000019073486</v>
      </c>
      <c r="P248">
        <v>5315.91015625</v>
      </c>
      <c r="Q248">
        <v>69684800</v>
      </c>
      <c r="R248">
        <v>22271900</v>
      </c>
      <c r="S248">
        <v>16560200000</v>
      </c>
      <c r="W248" s="373">
        <f t="shared" si="4"/>
        <v>4.9257775525078262E-2</v>
      </c>
      <c r="X248" s="373">
        <f t="shared" si="4"/>
        <v>4.8124614708293434E-2</v>
      </c>
      <c r="Y248" s="373">
        <f t="shared" si="4"/>
        <v>-5.129478674975041E-3</v>
      </c>
    </row>
    <row r="249" spans="1:25">
      <c r="A249" s="396">
        <v>45446</v>
      </c>
      <c r="B249">
        <v>11.912204742431641</v>
      </c>
      <c r="C249">
        <v>11.4377908706665</v>
      </c>
      <c r="D249">
        <v>5346.990234375</v>
      </c>
      <c r="E249">
        <v>14.539999961853029</v>
      </c>
      <c r="F249">
        <v>13.85000038146973</v>
      </c>
      <c r="G249">
        <v>5346.990234375</v>
      </c>
      <c r="H249">
        <v>15.539999961853029</v>
      </c>
      <c r="I249">
        <v>14.840000152587891</v>
      </c>
      <c r="J249">
        <v>5375.080078125</v>
      </c>
      <c r="K249">
        <v>14.460000038146971</v>
      </c>
      <c r="L249">
        <v>13.819999694824221</v>
      </c>
      <c r="M249">
        <v>5234.31982421875</v>
      </c>
      <c r="N249">
        <v>15.44999980926514</v>
      </c>
      <c r="O249">
        <v>14.689999580383301</v>
      </c>
      <c r="P249">
        <v>5297.14990234375</v>
      </c>
      <c r="Q249">
        <v>84891500</v>
      </c>
      <c r="R249">
        <v>29838400</v>
      </c>
      <c r="S249">
        <v>18649030000</v>
      </c>
      <c r="W249" s="373">
        <f t="shared" si="4"/>
        <v>-6.4951774939587037E-2</v>
      </c>
      <c r="X249" s="373">
        <f t="shared" si="4"/>
        <v>-6.4821140135387645E-2</v>
      </c>
      <c r="Y249" s="373">
        <f t="shared" si="4"/>
        <v>1.3165388949644363E-2</v>
      </c>
    </row>
    <row r="250" spans="1:25">
      <c r="A250" s="396">
        <v>45453</v>
      </c>
      <c r="B250">
        <v>11.13389778137207</v>
      </c>
      <c r="C250">
        <v>10.661506652832029</v>
      </c>
      <c r="D250">
        <v>5431.60009765625</v>
      </c>
      <c r="E250">
        <v>13.590000152587891</v>
      </c>
      <c r="F250">
        <v>12.909999847412109</v>
      </c>
      <c r="G250">
        <v>5431.60009765625</v>
      </c>
      <c r="H250">
        <v>14.75</v>
      </c>
      <c r="I250">
        <v>14.159999847412109</v>
      </c>
      <c r="J250">
        <v>5447.25</v>
      </c>
      <c r="K250">
        <v>13.47999954223633</v>
      </c>
      <c r="L250">
        <v>12.77999973297119</v>
      </c>
      <c r="M250">
        <v>5327.25</v>
      </c>
      <c r="N250">
        <v>14.489999771118161</v>
      </c>
      <c r="O250">
        <v>13.88000011444092</v>
      </c>
      <c r="P250">
        <v>5341.22021484375</v>
      </c>
      <c r="Q250">
        <v>102034500</v>
      </c>
      <c r="R250">
        <v>32088900</v>
      </c>
      <c r="S250">
        <v>18122180000</v>
      </c>
      <c r="W250" s="373">
        <f t="shared" si="4"/>
        <v>-6.5336936183376437E-2</v>
      </c>
      <c r="X250" s="373">
        <f t="shared" si="4"/>
        <v>-6.7870118155887837E-2</v>
      </c>
      <c r="Y250" s="373">
        <f t="shared" si="4"/>
        <v>1.5823829775731824E-2</v>
      </c>
    </row>
    <row r="251" spans="1:25">
      <c r="A251" s="396">
        <v>45460</v>
      </c>
      <c r="B251">
        <v>11.86248874664307</v>
      </c>
      <c r="C251">
        <v>11.428083419799799</v>
      </c>
      <c r="D251">
        <v>5464.6201171875</v>
      </c>
      <c r="E251">
        <v>14.090000152587891</v>
      </c>
      <c r="F251">
        <v>13.44999980926514</v>
      </c>
      <c r="G251">
        <v>5464.6201171875</v>
      </c>
      <c r="H251">
        <v>14.27000045776367</v>
      </c>
      <c r="I251">
        <v>13.61999988555908</v>
      </c>
      <c r="J251">
        <v>5505.52978515625</v>
      </c>
      <c r="K251">
        <v>13.35999965667725</v>
      </c>
      <c r="L251">
        <v>12.659999847412109</v>
      </c>
      <c r="M251">
        <v>5420.39990234375</v>
      </c>
      <c r="N251">
        <v>13.39999961853027</v>
      </c>
      <c r="O251">
        <v>12.659999847412109</v>
      </c>
      <c r="P251">
        <v>5431.10986328125</v>
      </c>
      <c r="Q251">
        <v>66514900</v>
      </c>
      <c r="R251">
        <v>21734000</v>
      </c>
      <c r="S251">
        <v>17613030000</v>
      </c>
      <c r="W251" s="373">
        <f t="shared" si="4"/>
        <v>6.5438984583637172E-2</v>
      </c>
      <c r="X251" s="373">
        <f t="shared" si="4"/>
        <v>7.1901354276615592E-2</v>
      </c>
      <c r="Y251" s="373">
        <f t="shared" si="4"/>
        <v>6.0792434895009517E-3</v>
      </c>
    </row>
    <row r="252" spans="1:25">
      <c r="A252" s="396">
        <v>45467</v>
      </c>
      <c r="B252">
        <v>12.199252128601071</v>
      </c>
      <c r="C252">
        <v>11.589521408081049</v>
      </c>
      <c r="D252">
        <v>5460.47998046875</v>
      </c>
      <c r="E252">
        <v>14.489999771118161</v>
      </c>
      <c r="F252">
        <v>13.64000034332275</v>
      </c>
      <c r="G252">
        <v>5460.47998046875</v>
      </c>
      <c r="H252">
        <v>14.55000019073486</v>
      </c>
      <c r="I252">
        <v>13.77999973297119</v>
      </c>
      <c r="J252">
        <v>5523.64013671875</v>
      </c>
      <c r="K252">
        <v>14.010000228881839</v>
      </c>
      <c r="L252">
        <v>13.289999961853029</v>
      </c>
      <c r="M252">
        <v>5446.56005859375</v>
      </c>
      <c r="N252">
        <v>14.239999771118161</v>
      </c>
      <c r="O252">
        <v>13.590000152587891</v>
      </c>
      <c r="P252">
        <v>5459.580078125</v>
      </c>
      <c r="Q252">
        <v>73819400</v>
      </c>
      <c r="R252">
        <v>22489600</v>
      </c>
      <c r="S252">
        <v>21641380000</v>
      </c>
      <c r="W252" s="373">
        <f t="shared" si="4"/>
        <v>2.83889316272945E-2</v>
      </c>
      <c r="X252" s="373">
        <f t="shared" si="4"/>
        <v>1.4126427183892343E-2</v>
      </c>
      <c r="Y252" s="373">
        <f t="shared" si="4"/>
        <v>-7.5762571413307001E-4</v>
      </c>
    </row>
    <row r="253" spans="1:25">
      <c r="A253" s="396">
        <v>45474</v>
      </c>
      <c r="B253">
        <v>12.40131092071533</v>
      </c>
      <c r="C253">
        <v>11.708474159240721</v>
      </c>
      <c r="D253">
        <v>5567.18994140625</v>
      </c>
      <c r="E253">
        <v>14.72999954223633</v>
      </c>
      <c r="F253">
        <v>13.77999973297119</v>
      </c>
      <c r="G253">
        <v>5567.18994140625</v>
      </c>
      <c r="H253">
        <v>14.85999965667725</v>
      </c>
      <c r="I253">
        <v>13.86999988555908</v>
      </c>
      <c r="J253">
        <v>5570.330078125</v>
      </c>
      <c r="K253">
        <v>14.36999988555908</v>
      </c>
      <c r="L253">
        <v>13.47999954223633</v>
      </c>
      <c r="M253">
        <v>5446.52978515625</v>
      </c>
      <c r="N253">
        <v>14.60999965667725</v>
      </c>
      <c r="O253">
        <v>13.760000228881839</v>
      </c>
      <c r="P253">
        <v>5471.080078125</v>
      </c>
      <c r="Q253">
        <v>72156000</v>
      </c>
      <c r="R253">
        <v>17776600</v>
      </c>
      <c r="S253">
        <v>12251260000</v>
      </c>
      <c r="W253" s="373">
        <f t="shared" si="4"/>
        <v>1.6563211415274726E-2</v>
      </c>
      <c r="X253" s="373">
        <f t="shared" si="4"/>
        <v>1.0263819097545257E-2</v>
      </c>
      <c r="Y253" s="373">
        <f t="shared" si="4"/>
        <v>1.95422309612312E-2</v>
      </c>
    </row>
    <row r="254" spans="1:25">
      <c r="A254" s="396">
        <v>45481</v>
      </c>
      <c r="B254">
        <v>12.704397201538089</v>
      </c>
      <c r="C254">
        <v>11.929390907287599</v>
      </c>
      <c r="D254">
        <v>5615.35009765625</v>
      </c>
      <c r="E254">
        <v>15.090000152587891</v>
      </c>
      <c r="F254">
        <v>14.039999961853029</v>
      </c>
      <c r="G254">
        <v>5615.35009765625</v>
      </c>
      <c r="H254">
        <v>15.239999771118161</v>
      </c>
      <c r="I254">
        <v>14.30000019073486</v>
      </c>
      <c r="J254">
        <v>5655.56005859375</v>
      </c>
      <c r="K254">
        <v>14.539999961853029</v>
      </c>
      <c r="L254">
        <v>13.569999694824221</v>
      </c>
      <c r="M254">
        <v>5562.509765625</v>
      </c>
      <c r="N254">
        <v>14.579999923706049</v>
      </c>
      <c r="O254">
        <v>13.579999923706049</v>
      </c>
      <c r="P254">
        <v>5572.75</v>
      </c>
      <c r="Q254">
        <v>78138600</v>
      </c>
      <c r="R254">
        <v>16855600</v>
      </c>
      <c r="S254">
        <v>17475920000</v>
      </c>
      <c r="W254" s="373">
        <f t="shared" si="4"/>
        <v>2.4439858234380551E-2</v>
      </c>
      <c r="X254" s="373">
        <f t="shared" si="4"/>
        <v>1.8868107410266122E-2</v>
      </c>
      <c r="Y254" s="373">
        <f t="shared" si="4"/>
        <v>8.6507118953866868E-3</v>
      </c>
    </row>
    <row r="255" spans="1:25">
      <c r="A255" s="396">
        <v>45488</v>
      </c>
      <c r="B255">
        <v>12.57811069488525</v>
      </c>
      <c r="C255">
        <v>11.691481590271</v>
      </c>
      <c r="D255">
        <v>5505</v>
      </c>
      <c r="E255">
        <v>14.939999580383301</v>
      </c>
      <c r="F255">
        <v>13.760000228881839</v>
      </c>
      <c r="G255">
        <v>5505</v>
      </c>
      <c r="H255">
        <v>15.35000038146973</v>
      </c>
      <c r="I255">
        <v>14.239999771118161</v>
      </c>
      <c r="J255">
        <v>5669.669921875</v>
      </c>
      <c r="K255">
        <v>14.85000038146973</v>
      </c>
      <c r="L255">
        <v>13.710000038146971</v>
      </c>
      <c r="M255">
        <v>5497.0400390625</v>
      </c>
      <c r="N255">
        <v>15.10000038146973</v>
      </c>
      <c r="O255">
        <v>14.05000019073486</v>
      </c>
      <c r="P255">
        <v>5638.16015625</v>
      </c>
      <c r="Q255">
        <v>62534400</v>
      </c>
      <c r="R255">
        <v>16296500</v>
      </c>
      <c r="S255">
        <v>19676760000</v>
      </c>
      <c r="W255" s="373">
        <f t="shared" si="4"/>
        <v>-9.9403777014740458E-3</v>
      </c>
      <c r="X255" s="373">
        <f t="shared" si="4"/>
        <v>-1.9943123573162636E-2</v>
      </c>
      <c r="Y255" s="373">
        <f t="shared" si="4"/>
        <v>-1.9651508051529709E-2</v>
      </c>
    </row>
    <row r="256" spans="1:25">
      <c r="A256" s="396">
        <v>45495</v>
      </c>
      <c r="B256">
        <v>12.182414054870611</v>
      </c>
      <c r="C256">
        <v>11.30913066864014</v>
      </c>
      <c r="D256">
        <v>5459.10009765625</v>
      </c>
      <c r="E256">
        <v>14.47000026702881</v>
      </c>
      <c r="F256">
        <v>13.310000419616699</v>
      </c>
      <c r="G256">
        <v>5459.10009765625</v>
      </c>
      <c r="H256">
        <v>15.060000419616699</v>
      </c>
      <c r="I256">
        <v>13.829999923706049</v>
      </c>
      <c r="J256">
        <v>5585.33984375</v>
      </c>
      <c r="K256">
        <v>14.27999973297119</v>
      </c>
      <c r="L256">
        <v>13.170000076293951</v>
      </c>
      <c r="M256">
        <v>5390.9501953125</v>
      </c>
      <c r="N256">
        <v>15.010000228881839</v>
      </c>
      <c r="O256">
        <v>13.810000419616699</v>
      </c>
      <c r="P256">
        <v>5544.5400390625</v>
      </c>
      <c r="Q256">
        <v>55883000</v>
      </c>
      <c r="R256">
        <v>17437200</v>
      </c>
      <c r="S256">
        <v>19051830000</v>
      </c>
      <c r="W256" s="373">
        <f t="shared" si="4"/>
        <v>-3.145914753123813E-2</v>
      </c>
      <c r="X256" s="373">
        <f t="shared" si="4"/>
        <v>-3.2703376272604334E-2</v>
      </c>
      <c r="Y256" s="373">
        <f t="shared" si="4"/>
        <v>-8.3378569198455654E-3</v>
      </c>
    </row>
    <row r="257" spans="1:25">
      <c r="A257" s="396">
        <v>45502</v>
      </c>
      <c r="B257">
        <v>11.44153499603271</v>
      </c>
      <c r="C257">
        <v>10.603901863098139</v>
      </c>
      <c r="D257">
        <v>5346.56005859375</v>
      </c>
      <c r="E257">
        <v>13.590000152587891</v>
      </c>
      <c r="F257">
        <v>12.47999954223633</v>
      </c>
      <c r="G257">
        <v>5346.56005859375</v>
      </c>
      <c r="H257">
        <v>14.47000026702881</v>
      </c>
      <c r="I257">
        <v>13.329999923706049</v>
      </c>
      <c r="J257">
        <v>5566.16015625</v>
      </c>
      <c r="K257">
        <v>13.510000228881839</v>
      </c>
      <c r="L257">
        <v>12.439999580383301</v>
      </c>
      <c r="M257">
        <v>5302.02978515625</v>
      </c>
      <c r="N257">
        <v>14.39999961853027</v>
      </c>
      <c r="O257">
        <v>13.19999980926514</v>
      </c>
      <c r="P257">
        <v>5476.5498046875</v>
      </c>
      <c r="Q257">
        <v>70013400</v>
      </c>
      <c r="R257">
        <v>23005200</v>
      </c>
      <c r="S257">
        <v>21564690000</v>
      </c>
      <c r="W257" s="373">
        <f t="shared" si="4"/>
        <v>-6.0815455418024689E-2</v>
      </c>
      <c r="X257" s="373">
        <f t="shared" si="4"/>
        <v>-6.235924105975521E-2</v>
      </c>
      <c r="Y257" s="373">
        <f t="shared" si="4"/>
        <v>-2.0615126495082348E-2</v>
      </c>
    </row>
    <row r="258" spans="1:25">
      <c r="A258" s="396">
        <v>45509</v>
      </c>
      <c r="B258">
        <v>11.963518142700201</v>
      </c>
      <c r="C258">
        <v>11.207169532775881</v>
      </c>
      <c r="D258">
        <v>5344.16015625</v>
      </c>
      <c r="E258">
        <v>14.210000038146971</v>
      </c>
      <c r="F258">
        <v>13.189999580383301</v>
      </c>
      <c r="G258">
        <v>5344.16015625</v>
      </c>
      <c r="H258">
        <v>14.439999580383301</v>
      </c>
      <c r="I258">
        <v>13.409999847412109</v>
      </c>
      <c r="J258">
        <v>5358.669921875</v>
      </c>
      <c r="K258">
        <v>12.89999961853027</v>
      </c>
      <c r="L258">
        <v>11.930000305175779</v>
      </c>
      <c r="M258">
        <v>5119.259765625</v>
      </c>
      <c r="N258">
        <v>13.02999973297119</v>
      </c>
      <c r="O258">
        <v>12.010000228881839</v>
      </c>
      <c r="P258">
        <v>5151.14013671875</v>
      </c>
      <c r="Q258">
        <v>88012100</v>
      </c>
      <c r="R258">
        <v>38733600</v>
      </c>
      <c r="S258">
        <v>22114930000</v>
      </c>
      <c r="W258" s="373">
        <f t="shared" si="4"/>
        <v>4.5621775998455183E-2</v>
      </c>
      <c r="X258" s="373">
        <f t="shared" si="4"/>
        <v>5.6891102677697258E-2</v>
      </c>
      <c r="Y258" s="373">
        <f t="shared" si="4"/>
        <v>-4.4886849066483325E-4</v>
      </c>
    </row>
    <row r="259" spans="1:25">
      <c r="A259" s="396">
        <v>45516</v>
      </c>
      <c r="B259">
        <v>12.763331413269039</v>
      </c>
      <c r="C259">
        <v>11.9548807144165</v>
      </c>
      <c r="D259">
        <v>5554.25</v>
      </c>
      <c r="E259">
        <v>15.159999847412109</v>
      </c>
      <c r="F259">
        <v>14.069999694824221</v>
      </c>
      <c r="G259">
        <v>5554.25</v>
      </c>
      <c r="H259">
        <v>15.189999580383301</v>
      </c>
      <c r="I259">
        <v>14.14000034332275</v>
      </c>
      <c r="J259">
        <v>5561.97998046875</v>
      </c>
      <c r="K259">
        <v>14.52000045776367</v>
      </c>
      <c r="L259">
        <v>13.460000038146971</v>
      </c>
      <c r="M259">
        <v>5324.3701171875</v>
      </c>
      <c r="N259">
        <v>14.539999961853029</v>
      </c>
      <c r="O259">
        <v>13.510000228881839</v>
      </c>
      <c r="P259">
        <v>5351.8798828125</v>
      </c>
      <c r="Q259">
        <v>77905800</v>
      </c>
      <c r="R259">
        <v>21872700</v>
      </c>
      <c r="S259">
        <v>17470190000</v>
      </c>
      <c r="W259" s="373">
        <f t="shared" si="4"/>
        <v>6.6854353462644456E-2</v>
      </c>
      <c r="X259" s="373">
        <f t="shared" si="4"/>
        <v>6.6717218781593646E-2</v>
      </c>
      <c r="Y259" s="373">
        <f t="shared" si="4"/>
        <v>3.9312041107955942E-2</v>
      </c>
    </row>
    <row r="260" spans="1:25">
      <c r="A260" s="396">
        <v>45523</v>
      </c>
      <c r="B260">
        <v>12.123481750488279</v>
      </c>
      <c r="C260">
        <v>11.436580657958981</v>
      </c>
      <c r="D260">
        <v>5634.60986328125</v>
      </c>
      <c r="E260">
        <v>14.39999961853027</v>
      </c>
      <c r="F260">
        <v>13.460000038146971</v>
      </c>
      <c r="G260">
        <v>5634.60986328125</v>
      </c>
      <c r="H260">
        <v>15.36999988555908</v>
      </c>
      <c r="I260">
        <v>14.340000152587891</v>
      </c>
      <c r="J260">
        <v>5643.22021484375</v>
      </c>
      <c r="K260">
        <v>14.39000034332275</v>
      </c>
      <c r="L260">
        <v>13.409999847412109</v>
      </c>
      <c r="M260">
        <v>5550.740234375</v>
      </c>
      <c r="N260">
        <v>15.25</v>
      </c>
      <c r="O260">
        <v>14.19999980926514</v>
      </c>
      <c r="P260">
        <v>5557.22998046875</v>
      </c>
      <c r="Q260">
        <v>76201800</v>
      </c>
      <c r="R260">
        <v>24023900</v>
      </c>
      <c r="S260">
        <v>15609610000</v>
      </c>
      <c r="W260" s="373">
        <f t="shared" si="4"/>
        <v>-5.0131869342165514E-2</v>
      </c>
      <c r="X260" s="373">
        <f t="shared" si="4"/>
        <v>-4.3354682396161137E-2</v>
      </c>
      <c r="Y260" s="373">
        <f t="shared" si="4"/>
        <v>1.4468175411846751E-2</v>
      </c>
    </row>
    <row r="261" spans="1:25">
      <c r="A261" s="396">
        <v>45530</v>
      </c>
      <c r="B261">
        <v>13.169734954833981</v>
      </c>
      <c r="C261">
        <v>12.190939903259279</v>
      </c>
      <c r="D261">
        <v>5648.39990234375</v>
      </c>
      <c r="E261">
        <v>15.22999954223633</v>
      </c>
      <c r="F261">
        <v>13.939999580383301</v>
      </c>
      <c r="G261">
        <v>5648.39990234375</v>
      </c>
      <c r="H261">
        <v>15.72999954223633</v>
      </c>
      <c r="I261">
        <v>14.439999580383301</v>
      </c>
      <c r="J261">
        <v>5651.6201171875</v>
      </c>
      <c r="K261">
        <v>14.739999771118161</v>
      </c>
      <c r="L261">
        <v>13.72000026702881</v>
      </c>
      <c r="M261">
        <v>5560.9501953125</v>
      </c>
      <c r="N261">
        <v>14.77000045776367</v>
      </c>
      <c r="O261">
        <v>13.75</v>
      </c>
      <c r="P261">
        <v>5639.66015625</v>
      </c>
      <c r="Q261">
        <v>123998300</v>
      </c>
      <c r="R261">
        <v>29438200</v>
      </c>
      <c r="S261">
        <v>16042500000</v>
      </c>
      <c r="W261" s="373">
        <f t="shared" si="4"/>
        <v>8.6299730215996906E-2</v>
      </c>
      <c r="X261" s="373">
        <f t="shared" si="4"/>
        <v>6.5960208550212229E-2</v>
      </c>
      <c r="Y261" s="373">
        <f t="shared" si="4"/>
        <v>2.4473813444236825E-3</v>
      </c>
    </row>
    <row r="262" spans="1:25">
      <c r="A262" s="396">
        <v>45537</v>
      </c>
      <c r="B262">
        <v>12.75466918945312</v>
      </c>
      <c r="C262">
        <v>11.744931221008301</v>
      </c>
      <c r="D262">
        <v>5408.419921875</v>
      </c>
      <c r="E262">
        <v>14.75</v>
      </c>
      <c r="F262">
        <v>13.430000305175779</v>
      </c>
      <c r="G262">
        <v>5408.419921875</v>
      </c>
      <c r="H262">
        <v>15.19999980926514</v>
      </c>
      <c r="I262">
        <v>13.85000038146973</v>
      </c>
      <c r="J262">
        <v>5623.89013671875</v>
      </c>
      <c r="K262">
        <v>14.689999580383301</v>
      </c>
      <c r="L262">
        <v>13.38000011444092</v>
      </c>
      <c r="M262">
        <v>5402.6201171875</v>
      </c>
      <c r="N262">
        <v>15.170000076293951</v>
      </c>
      <c r="O262">
        <v>13.829999923706049</v>
      </c>
      <c r="P262">
        <v>5623.89013671875</v>
      </c>
      <c r="Q262">
        <v>85061200</v>
      </c>
      <c r="R262">
        <v>17766800</v>
      </c>
      <c r="S262">
        <v>14688940000</v>
      </c>
      <c r="W262" s="373">
        <f t="shared" si="4"/>
        <v>-3.1516637715515272E-2</v>
      </c>
      <c r="X262" s="373">
        <f t="shared" si="4"/>
        <v>-3.6585258051492597E-2</v>
      </c>
      <c r="Y262" s="373">
        <f t="shared" si="4"/>
        <v>-4.2486365097692991E-2</v>
      </c>
    </row>
    <row r="263" spans="1:25">
      <c r="A263" s="396">
        <v>45544</v>
      </c>
      <c r="B263">
        <v>12.56442928314209</v>
      </c>
      <c r="C263">
        <v>11.54378700256348</v>
      </c>
      <c r="D263">
        <v>5626.02001953125</v>
      </c>
      <c r="E263">
        <v>14.52999973297119</v>
      </c>
      <c r="F263">
        <v>13.19999980926514</v>
      </c>
      <c r="G263">
        <v>5626.02001953125</v>
      </c>
      <c r="H263">
        <v>15.060000419616699</v>
      </c>
      <c r="I263">
        <v>13.689999580383301</v>
      </c>
      <c r="J263">
        <v>5636.27001953125</v>
      </c>
      <c r="K263">
        <v>14.22999954223633</v>
      </c>
      <c r="L263">
        <v>12.960000038146971</v>
      </c>
      <c r="M263">
        <v>5406.9599609375</v>
      </c>
      <c r="N263">
        <v>14.689999580383301</v>
      </c>
      <c r="O263">
        <v>13.39999961853027</v>
      </c>
      <c r="P263">
        <v>5442.06982421875</v>
      </c>
      <c r="Q263">
        <v>95097100</v>
      </c>
      <c r="R263">
        <v>25914400</v>
      </c>
      <c r="S263">
        <v>18669430000</v>
      </c>
      <c r="W263" s="373">
        <f t="shared" si="4"/>
        <v>-1.491531481414976E-2</v>
      </c>
      <c r="X263" s="373">
        <f t="shared" si="4"/>
        <v>-1.7126044815403585E-2</v>
      </c>
      <c r="Y263" s="373">
        <f t="shared" si="4"/>
        <v>4.0233580380129252E-2</v>
      </c>
    </row>
    <row r="264" spans="1:25">
      <c r="A264" s="396">
        <v>45551</v>
      </c>
      <c r="B264">
        <v>12.45201587677002</v>
      </c>
      <c r="C264">
        <v>11.430099487304689</v>
      </c>
      <c r="D264">
        <v>5702.5498046875</v>
      </c>
      <c r="E264">
        <v>14.39999961853027</v>
      </c>
      <c r="F264">
        <v>13.069999694824221</v>
      </c>
      <c r="G264">
        <v>5702.5498046875</v>
      </c>
      <c r="H264">
        <v>15</v>
      </c>
      <c r="I264">
        <v>13.689999580383301</v>
      </c>
      <c r="J264">
        <v>5733.56982421875</v>
      </c>
      <c r="K264">
        <v>14.39000034332275</v>
      </c>
      <c r="L264">
        <v>13.060000419616699</v>
      </c>
      <c r="M264">
        <v>5604.52978515625</v>
      </c>
      <c r="N264">
        <v>14.89000034332275</v>
      </c>
      <c r="O264">
        <v>13.569999694824221</v>
      </c>
      <c r="P264">
        <v>5615.2099609375</v>
      </c>
      <c r="Q264">
        <v>70668100</v>
      </c>
      <c r="R264">
        <v>26658400</v>
      </c>
      <c r="S264">
        <v>22463850000</v>
      </c>
      <c r="W264" s="373">
        <f t="shared" ref="W264:Y317" si="5">B264/B263-1</f>
        <v>-8.9469568285841516E-3</v>
      </c>
      <c r="X264" s="373">
        <f t="shared" si="5"/>
        <v>-9.8483725690317048E-3</v>
      </c>
      <c r="Y264" s="373">
        <f t="shared" si="5"/>
        <v>1.3602828445432147E-2</v>
      </c>
    </row>
    <row r="265" spans="1:25">
      <c r="A265" s="396">
        <v>45558</v>
      </c>
      <c r="B265">
        <v>12.607666015625</v>
      </c>
      <c r="C265">
        <v>11.60500526428223</v>
      </c>
      <c r="D265">
        <v>5738.169921875</v>
      </c>
      <c r="E265">
        <v>14.579999923706049</v>
      </c>
      <c r="F265">
        <v>13.27000045776367</v>
      </c>
      <c r="G265">
        <v>5738.169921875</v>
      </c>
      <c r="H265">
        <v>15.039999961853029</v>
      </c>
      <c r="I265">
        <v>13.64999961853027</v>
      </c>
      <c r="J265">
        <v>5767.3701171875</v>
      </c>
      <c r="K265">
        <v>14.439999580383301</v>
      </c>
      <c r="L265">
        <v>13.14000034332275</v>
      </c>
      <c r="M265">
        <v>5698.990234375</v>
      </c>
      <c r="N265">
        <v>14.47000026702881</v>
      </c>
      <c r="O265">
        <v>13.189999580383301</v>
      </c>
      <c r="P265">
        <v>5711.89990234375</v>
      </c>
      <c r="Q265">
        <v>74280500</v>
      </c>
      <c r="R265">
        <v>53188700</v>
      </c>
      <c r="S265">
        <v>19316880000</v>
      </c>
      <c r="W265" s="373">
        <f t="shared" si="5"/>
        <v>1.2499995213253401E-2</v>
      </c>
      <c r="X265" s="373">
        <f t="shared" si="5"/>
        <v>1.5302209501483865E-2</v>
      </c>
      <c r="Y265" s="373">
        <f t="shared" si="5"/>
        <v>6.2463491608999444E-3</v>
      </c>
    </row>
    <row r="266" spans="1:25">
      <c r="A266" s="396">
        <v>45565</v>
      </c>
      <c r="B266">
        <v>13.135148048400881</v>
      </c>
      <c r="C266">
        <v>12.15595722198486</v>
      </c>
      <c r="D266">
        <v>5751.06982421875</v>
      </c>
      <c r="E266">
        <v>15.189999580383301</v>
      </c>
      <c r="F266">
        <v>13.89999961853027</v>
      </c>
      <c r="G266">
        <v>5751.06982421875</v>
      </c>
      <c r="H266">
        <v>15.25</v>
      </c>
      <c r="I266">
        <v>13.97999954223633</v>
      </c>
      <c r="J266">
        <v>5765.14013671875</v>
      </c>
      <c r="K266">
        <v>14.310000419616699</v>
      </c>
      <c r="L266">
        <v>13.10999965667725</v>
      </c>
      <c r="M266">
        <v>5674</v>
      </c>
      <c r="N266">
        <v>14.52999973297119</v>
      </c>
      <c r="O266">
        <v>13.27999973297119</v>
      </c>
      <c r="P266">
        <v>5726.52001953125</v>
      </c>
      <c r="Q266">
        <v>68535200</v>
      </c>
      <c r="R266">
        <v>31542300</v>
      </c>
      <c r="S266">
        <v>19356810000</v>
      </c>
      <c r="W266" s="373">
        <f t="shared" si="5"/>
        <v>4.1838198451811692E-2</v>
      </c>
      <c r="X266" s="373">
        <f t="shared" si="5"/>
        <v>4.7475373354490813E-2</v>
      </c>
      <c r="Y266" s="373">
        <f t="shared" si="5"/>
        <v>2.2480865013378981E-3</v>
      </c>
    </row>
    <row r="267" spans="1:25">
      <c r="A267" s="396">
        <v>45572</v>
      </c>
      <c r="B267">
        <v>12.74602222442627</v>
      </c>
      <c r="C267">
        <v>11.66622161865234</v>
      </c>
      <c r="D267">
        <v>5815.02978515625</v>
      </c>
      <c r="E267">
        <v>14.739999771118161</v>
      </c>
      <c r="F267">
        <v>13.340000152587891</v>
      </c>
      <c r="G267">
        <v>5815.02978515625</v>
      </c>
      <c r="H267">
        <v>15.340000152587891</v>
      </c>
      <c r="I267">
        <v>14.010000228881839</v>
      </c>
      <c r="J267">
        <v>5822.1298828125</v>
      </c>
      <c r="K267">
        <v>14.569999694824221</v>
      </c>
      <c r="L267">
        <v>13.239999771118161</v>
      </c>
      <c r="M267">
        <v>5686.85009765625</v>
      </c>
      <c r="N267">
        <v>15.19999980926514</v>
      </c>
      <c r="O267">
        <v>13.930000305175779</v>
      </c>
      <c r="P267">
        <v>5737.7998046875</v>
      </c>
      <c r="Q267">
        <v>59093700</v>
      </c>
      <c r="R267">
        <v>30548900</v>
      </c>
      <c r="S267">
        <v>17099040000</v>
      </c>
      <c r="W267" s="373">
        <f t="shared" si="5"/>
        <v>-2.9624776404555631E-2</v>
      </c>
      <c r="X267" s="373">
        <f t="shared" si="5"/>
        <v>-4.0287703747986181E-2</v>
      </c>
      <c r="Y267" s="373">
        <f t="shared" si="5"/>
        <v>1.1121402259480995E-2</v>
      </c>
    </row>
    <row r="268" spans="1:25">
      <c r="A268" s="396">
        <v>45579</v>
      </c>
      <c r="B268">
        <v>12.24448204040527</v>
      </c>
      <c r="C268">
        <v>11.25519371032715</v>
      </c>
      <c r="D268">
        <v>5864.669921875</v>
      </c>
      <c r="E268">
        <v>14.159999847412109</v>
      </c>
      <c r="F268">
        <v>12.86999988555908</v>
      </c>
      <c r="G268">
        <v>5864.669921875</v>
      </c>
      <c r="H268">
        <v>14.930000305175779</v>
      </c>
      <c r="I268">
        <v>13.590000152587891</v>
      </c>
      <c r="J268">
        <v>5878.4599609375</v>
      </c>
      <c r="K268">
        <v>14.11999988555908</v>
      </c>
      <c r="L268">
        <v>12.840000152587891</v>
      </c>
      <c r="M268">
        <v>5804.47998046875</v>
      </c>
      <c r="N268">
        <v>14.69999980926514</v>
      </c>
      <c r="O268">
        <v>13.329999923706049</v>
      </c>
      <c r="P268">
        <v>5829.81005859375</v>
      </c>
      <c r="Q268">
        <v>58128100</v>
      </c>
      <c r="R268">
        <v>23828400</v>
      </c>
      <c r="S268">
        <v>17209100000</v>
      </c>
      <c r="W268" s="373">
        <f t="shared" si="5"/>
        <v>-3.9348761142111943E-2</v>
      </c>
      <c r="X268" s="373">
        <f t="shared" si="5"/>
        <v>-3.5232307576604338E-2</v>
      </c>
      <c r="Y268" s="373">
        <f t="shared" si="5"/>
        <v>8.5365232084388953E-3</v>
      </c>
    </row>
    <row r="269" spans="1:25">
      <c r="A269" s="396">
        <v>45586</v>
      </c>
      <c r="B269">
        <v>11.924534797668461</v>
      </c>
      <c r="C269">
        <v>11.03656101226807</v>
      </c>
      <c r="D269">
        <v>5808.1201171875</v>
      </c>
      <c r="E269">
        <v>13.789999961853029</v>
      </c>
      <c r="F269">
        <v>12.61999988555908</v>
      </c>
      <c r="G269">
        <v>5808.1201171875</v>
      </c>
      <c r="H269">
        <v>14.159999847412109</v>
      </c>
      <c r="I269">
        <v>12.89999961853027</v>
      </c>
      <c r="J269">
        <v>5866.919921875</v>
      </c>
      <c r="K269">
        <v>13.569999694824221</v>
      </c>
      <c r="L269">
        <v>12.420000076293951</v>
      </c>
      <c r="M269">
        <v>5762.41015625</v>
      </c>
      <c r="N269">
        <v>14.14999961853027</v>
      </c>
      <c r="O269">
        <v>12.89999961853027</v>
      </c>
      <c r="P269">
        <v>5857.81982421875</v>
      </c>
      <c r="Q269">
        <v>62536700</v>
      </c>
      <c r="R269">
        <v>23640900</v>
      </c>
      <c r="S269">
        <v>17326050000</v>
      </c>
      <c r="W269" s="373">
        <f t="shared" si="5"/>
        <v>-2.6129912370406738E-2</v>
      </c>
      <c r="X269" s="373">
        <f t="shared" si="5"/>
        <v>-1.9425049775773751E-2</v>
      </c>
      <c r="Y269" s="373">
        <f t="shared" si="5"/>
        <v>-9.6424531032124339E-3</v>
      </c>
    </row>
    <row r="270" spans="1:25">
      <c r="A270" s="396">
        <v>45593</v>
      </c>
      <c r="B270">
        <v>11.336522102355961</v>
      </c>
      <c r="C270">
        <v>10.511844635009769</v>
      </c>
      <c r="D270">
        <v>5728.7998046875</v>
      </c>
      <c r="E270">
        <v>13.10999965667725</v>
      </c>
      <c r="F270">
        <v>12.02000045776367</v>
      </c>
      <c r="G270">
        <v>5728.7998046875</v>
      </c>
      <c r="H270">
        <v>13.85999965667725</v>
      </c>
      <c r="I270">
        <v>12.680000305175779</v>
      </c>
      <c r="J270">
        <v>5850.93994140625</v>
      </c>
      <c r="K270">
        <v>13.039999961853029</v>
      </c>
      <c r="L270">
        <v>12.010000228881839</v>
      </c>
      <c r="M270">
        <v>5702.85986328125</v>
      </c>
      <c r="N270">
        <v>13.60000038146973</v>
      </c>
      <c r="O270">
        <v>12.5</v>
      </c>
      <c r="P270">
        <v>5833.93017578125</v>
      </c>
      <c r="Q270">
        <v>71791100</v>
      </c>
      <c r="R270">
        <v>44968700</v>
      </c>
      <c r="S270">
        <v>19643610000</v>
      </c>
      <c r="W270" s="373">
        <f t="shared" si="5"/>
        <v>-4.9311164359004622E-2</v>
      </c>
      <c r="X270" s="373">
        <f t="shared" si="5"/>
        <v>-4.7543467269834716E-2</v>
      </c>
      <c r="Y270" s="373">
        <f t="shared" si="5"/>
        <v>-1.3656796157722972E-2</v>
      </c>
    </row>
    <row r="271" spans="1:25">
      <c r="A271" s="396">
        <v>45600</v>
      </c>
      <c r="B271">
        <v>11.829416275024411</v>
      </c>
      <c r="C271">
        <v>11.080286979675289</v>
      </c>
      <c r="D271">
        <v>5995.5400390625</v>
      </c>
      <c r="E271">
        <v>13.680000305175779</v>
      </c>
      <c r="F271">
        <v>12.670000076293951</v>
      </c>
      <c r="G271">
        <v>5995.5400390625</v>
      </c>
      <c r="H271">
        <v>13.72000026702881</v>
      </c>
      <c r="I271">
        <v>12.680000305175779</v>
      </c>
      <c r="J271">
        <v>6012.4501953125</v>
      </c>
      <c r="K271">
        <v>13.010000228881839</v>
      </c>
      <c r="L271">
        <v>12.090000152587891</v>
      </c>
      <c r="M271">
        <v>5696.509765625</v>
      </c>
      <c r="N271">
        <v>13.340000152587891</v>
      </c>
      <c r="O271">
        <v>12.329999923706049</v>
      </c>
      <c r="P271">
        <v>5725.14990234375</v>
      </c>
      <c r="Q271">
        <v>82999900</v>
      </c>
      <c r="R271">
        <v>26797000</v>
      </c>
      <c r="S271">
        <v>23292380000</v>
      </c>
      <c r="W271" s="373">
        <f t="shared" si="5"/>
        <v>4.3478429117693507E-2</v>
      </c>
      <c r="X271" s="373">
        <f t="shared" si="5"/>
        <v>5.4076364748801398E-2</v>
      </c>
      <c r="Y271" s="373">
        <f t="shared" si="5"/>
        <v>4.6561276963587472E-2</v>
      </c>
    </row>
    <row r="272" spans="1:25">
      <c r="A272" s="396">
        <v>45607</v>
      </c>
      <c r="B272">
        <v>12.20124626159668</v>
      </c>
      <c r="C272">
        <v>11.34264659881592</v>
      </c>
      <c r="D272">
        <v>5870.6201171875</v>
      </c>
      <c r="E272">
        <v>14.10999965667725</v>
      </c>
      <c r="F272">
        <v>12.97000026702881</v>
      </c>
      <c r="G272">
        <v>5870.6201171875</v>
      </c>
      <c r="H272">
        <v>14.260000228881839</v>
      </c>
      <c r="I272">
        <v>13.14000034332275</v>
      </c>
      <c r="J272">
        <v>6017.31005859375</v>
      </c>
      <c r="K272">
        <v>13.35000038146973</v>
      </c>
      <c r="L272">
        <v>12.39000034332275</v>
      </c>
      <c r="M272">
        <v>5853.009765625</v>
      </c>
      <c r="N272">
        <v>13.539999961853029</v>
      </c>
      <c r="O272">
        <v>12.55000019073486</v>
      </c>
      <c r="P272">
        <v>6008.85986328125</v>
      </c>
      <c r="Q272">
        <v>85424600</v>
      </c>
      <c r="R272">
        <v>24848200</v>
      </c>
      <c r="S272">
        <v>21572110000</v>
      </c>
      <c r="W272" s="373">
        <f t="shared" si="5"/>
        <v>3.1432657193518398E-2</v>
      </c>
      <c r="X272" s="373">
        <f t="shared" si="5"/>
        <v>2.3678052709454223E-2</v>
      </c>
      <c r="Y272" s="373">
        <f t="shared" si="5"/>
        <v>-2.0835474546265109E-2</v>
      </c>
    </row>
    <row r="273" spans="1:25">
      <c r="A273" s="396">
        <v>45614</v>
      </c>
      <c r="B273">
        <v>12.884377479553221</v>
      </c>
      <c r="C273">
        <v>11.884854316711429</v>
      </c>
      <c r="D273">
        <v>5969.33984375</v>
      </c>
      <c r="E273">
        <v>14.89999961853027</v>
      </c>
      <c r="F273">
        <v>13.590000152587891</v>
      </c>
      <c r="G273">
        <v>5969.33984375</v>
      </c>
      <c r="H273">
        <v>15.10000038146973</v>
      </c>
      <c r="I273">
        <v>13.72000026702881</v>
      </c>
      <c r="J273">
        <v>5972.89990234375</v>
      </c>
      <c r="K273">
        <v>14.039999961853029</v>
      </c>
      <c r="L273">
        <v>12.909999847412109</v>
      </c>
      <c r="M273">
        <v>5855.2900390625</v>
      </c>
      <c r="N273">
        <v>14.27000045776367</v>
      </c>
      <c r="O273">
        <v>13.069999694824221</v>
      </c>
      <c r="P273">
        <v>5874.169921875</v>
      </c>
      <c r="Q273">
        <v>96648100</v>
      </c>
      <c r="R273">
        <v>31744100</v>
      </c>
      <c r="S273">
        <v>20164960000</v>
      </c>
      <c r="W273" s="373">
        <f t="shared" si="5"/>
        <v>5.5988642742724748E-2</v>
      </c>
      <c r="X273" s="373">
        <f t="shared" si="5"/>
        <v>4.780257527834042E-2</v>
      </c>
      <c r="Y273" s="373">
        <f t="shared" si="5"/>
        <v>1.6815894163118683E-2</v>
      </c>
    </row>
    <row r="274" spans="1:25">
      <c r="A274" s="396">
        <v>45621</v>
      </c>
      <c r="B274">
        <v>12.348249435424799</v>
      </c>
      <c r="C274">
        <v>11.40386390686035</v>
      </c>
      <c r="D274">
        <v>6032.3798828125</v>
      </c>
      <c r="E274">
        <v>14.27999973297119</v>
      </c>
      <c r="F274">
        <v>13.039999961853029</v>
      </c>
      <c r="G274">
        <v>6032.3798828125</v>
      </c>
      <c r="H274">
        <v>15.079999923706049</v>
      </c>
      <c r="I274">
        <v>13.739999771118161</v>
      </c>
      <c r="J274">
        <v>6044.169921875</v>
      </c>
      <c r="K274">
        <v>13.86999988555908</v>
      </c>
      <c r="L274">
        <v>12.72999954223633</v>
      </c>
      <c r="M274">
        <v>5963.91015625</v>
      </c>
      <c r="N274">
        <v>14.97000026702881</v>
      </c>
      <c r="O274">
        <v>13.64999961853027</v>
      </c>
      <c r="P274">
        <v>5992.27978515625</v>
      </c>
      <c r="Q274">
        <v>58699600</v>
      </c>
      <c r="R274">
        <v>24679800</v>
      </c>
      <c r="S274">
        <v>15276080000</v>
      </c>
      <c r="W274" s="373">
        <f t="shared" si="5"/>
        <v>-4.1610706064707181E-2</v>
      </c>
      <c r="X274" s="373">
        <f t="shared" si="5"/>
        <v>-4.0470871331990455E-2</v>
      </c>
      <c r="Y274" s="373">
        <f t="shared" si="5"/>
        <v>1.0560638313883874E-2</v>
      </c>
    </row>
    <row r="275" spans="1:25">
      <c r="A275" s="396">
        <v>45628</v>
      </c>
      <c r="B275">
        <v>11.98506450653076</v>
      </c>
      <c r="C275">
        <v>11.2289571762085</v>
      </c>
      <c r="D275">
        <v>6090.27001953125</v>
      </c>
      <c r="E275">
        <v>13.85999965667725</v>
      </c>
      <c r="F275">
        <v>12.840000152587891</v>
      </c>
      <c r="G275">
        <v>6090.27001953125</v>
      </c>
      <c r="H275">
        <v>14.47000026702881</v>
      </c>
      <c r="I275">
        <v>13.310000419616699</v>
      </c>
      <c r="J275">
        <v>6099.97021484375</v>
      </c>
      <c r="K275">
        <v>13.80000019073486</v>
      </c>
      <c r="L275">
        <v>12.80000019073486</v>
      </c>
      <c r="M275">
        <v>6033.39013671875</v>
      </c>
      <c r="N275">
        <v>14.069999694824221</v>
      </c>
      <c r="O275">
        <v>12.85000038146973</v>
      </c>
      <c r="P275">
        <v>6040.10986328125</v>
      </c>
      <c r="Q275">
        <v>74414700</v>
      </c>
      <c r="R275">
        <v>34107700</v>
      </c>
      <c r="S275">
        <v>20647710000</v>
      </c>
      <c r="W275" s="373">
        <f t="shared" si="5"/>
        <v>-2.9411855566517042E-2</v>
      </c>
      <c r="X275" s="373">
        <f t="shared" si="5"/>
        <v>-1.5337497192213001E-2</v>
      </c>
      <c r="Y275" s="373">
        <f t="shared" si="5"/>
        <v>9.596566834872311E-3</v>
      </c>
    </row>
    <row r="276" spans="1:25">
      <c r="A276" s="396">
        <v>45635</v>
      </c>
      <c r="B276">
        <v>11.76888370513916</v>
      </c>
      <c r="C276">
        <v>11.019070625305179</v>
      </c>
      <c r="D276">
        <v>6051.08984375</v>
      </c>
      <c r="E276">
        <v>13.60999965667725</v>
      </c>
      <c r="F276">
        <v>12.60000038146973</v>
      </c>
      <c r="G276">
        <v>6051.08984375</v>
      </c>
      <c r="H276">
        <v>14.72999954223633</v>
      </c>
      <c r="I276">
        <v>13.680000305175779</v>
      </c>
      <c r="J276">
        <v>6092.58984375</v>
      </c>
      <c r="K276">
        <v>13.44999980926514</v>
      </c>
      <c r="L276">
        <v>12.55000019073486</v>
      </c>
      <c r="M276">
        <v>6029.89013671875</v>
      </c>
      <c r="N276">
        <v>14.090000152587891</v>
      </c>
      <c r="O276">
        <v>13.05000019073486</v>
      </c>
      <c r="P276">
        <v>6083.009765625</v>
      </c>
      <c r="Q276">
        <v>77747900</v>
      </c>
      <c r="R276">
        <v>27686700</v>
      </c>
      <c r="S276">
        <v>20137790000</v>
      </c>
      <c r="W276" s="373">
        <f t="shared" si="5"/>
        <v>-1.8037516717060775E-2</v>
      </c>
      <c r="X276" s="373">
        <f t="shared" si="5"/>
        <v>-1.8691544335748267E-2</v>
      </c>
      <c r="Y276" s="373">
        <f t="shared" si="5"/>
        <v>-6.4332411626415453E-3</v>
      </c>
    </row>
    <row r="277" spans="1:25">
      <c r="A277" s="396">
        <v>45642</v>
      </c>
      <c r="B277">
        <v>11.714675903320311</v>
      </c>
      <c r="C277">
        <v>11.01754665374756</v>
      </c>
      <c r="D277">
        <v>5930.85009765625</v>
      </c>
      <c r="E277">
        <v>13.039999961853029</v>
      </c>
      <c r="F277">
        <v>12.11999988555908</v>
      </c>
      <c r="G277">
        <v>5930.85009765625</v>
      </c>
      <c r="H277">
        <v>13.670000076293951</v>
      </c>
      <c r="I277">
        <v>12.680000305175779</v>
      </c>
      <c r="J277">
        <v>6085.18994140625</v>
      </c>
      <c r="K277">
        <v>12.77000045776367</v>
      </c>
      <c r="L277">
        <v>11.840000152587891</v>
      </c>
      <c r="M277">
        <v>5832.2998046875</v>
      </c>
      <c r="N277">
        <v>13.489999771118161</v>
      </c>
      <c r="O277">
        <v>12.539999961853029</v>
      </c>
      <c r="P277">
        <v>6063.7900390625</v>
      </c>
      <c r="Q277">
        <v>86093000</v>
      </c>
      <c r="R277">
        <v>32621000</v>
      </c>
      <c r="S277">
        <v>27302660000</v>
      </c>
      <c r="W277" s="373">
        <f t="shared" si="5"/>
        <v>-4.6060274854426986E-3</v>
      </c>
      <c r="X277" s="373">
        <f t="shared" si="5"/>
        <v>-1.3830309373996652E-4</v>
      </c>
      <c r="Y277" s="373">
        <f t="shared" si="5"/>
        <v>-1.9870758689518042E-2</v>
      </c>
    </row>
    <row r="278" spans="1:25">
      <c r="A278" s="396">
        <v>45649</v>
      </c>
      <c r="B278">
        <v>11.32837963104248</v>
      </c>
      <c r="C278">
        <v>10.4993953704834</v>
      </c>
      <c r="D278">
        <v>5970.83984375</v>
      </c>
      <c r="E278">
        <v>12.60999965667725</v>
      </c>
      <c r="F278">
        <v>11.55000019073486</v>
      </c>
      <c r="G278">
        <v>5970.83984375</v>
      </c>
      <c r="H278">
        <v>13.159999847412109</v>
      </c>
      <c r="I278">
        <v>12.14000034332275</v>
      </c>
      <c r="J278">
        <v>6049.75</v>
      </c>
      <c r="K278">
        <v>12.55000019073486</v>
      </c>
      <c r="L278">
        <v>11.52000045776367</v>
      </c>
      <c r="M278">
        <v>5902.56982421875</v>
      </c>
      <c r="N278">
        <v>12.97999954223633</v>
      </c>
      <c r="O278">
        <v>11.989999771118161</v>
      </c>
      <c r="P278">
        <v>5940.25</v>
      </c>
      <c r="Q278">
        <v>45763100</v>
      </c>
      <c r="R278">
        <v>16824100</v>
      </c>
      <c r="S278">
        <v>11415140000</v>
      </c>
      <c r="W278" s="373">
        <f t="shared" si="5"/>
        <v>-3.2975412676021332E-2</v>
      </c>
      <c r="X278" s="373">
        <f t="shared" si="5"/>
        <v>-4.7029642764245816E-2</v>
      </c>
      <c r="Y278" s="373">
        <f t="shared" si="5"/>
        <v>6.7426668075041274E-3</v>
      </c>
    </row>
    <row r="279" spans="1:25">
      <c r="A279" s="396">
        <v>45656</v>
      </c>
      <c r="B279">
        <v>12.12559795379639</v>
      </c>
      <c r="C279">
        <v>11.17513370513916</v>
      </c>
      <c r="D279">
        <v>5942.47021484375</v>
      </c>
      <c r="E279">
        <v>13.02000045776367</v>
      </c>
      <c r="F279">
        <v>11.810000419616699</v>
      </c>
      <c r="G279">
        <v>5942.47021484375</v>
      </c>
      <c r="H279">
        <v>13.25</v>
      </c>
      <c r="I279">
        <v>12.090000152587891</v>
      </c>
      <c r="J279">
        <v>5949.33984375</v>
      </c>
      <c r="K279">
        <v>12.61999988555908</v>
      </c>
      <c r="L279">
        <v>11.60999965667725</v>
      </c>
      <c r="M279">
        <v>5829.52978515625</v>
      </c>
      <c r="N279">
        <v>12.69999980926514</v>
      </c>
      <c r="O279">
        <v>11.670000076293951</v>
      </c>
      <c r="P279">
        <v>5920.669921875</v>
      </c>
      <c r="Q279">
        <v>47709500</v>
      </c>
      <c r="R279">
        <v>18490000</v>
      </c>
      <c r="S279">
        <v>13850620000</v>
      </c>
      <c r="W279" s="373">
        <f t="shared" si="5"/>
        <v>7.037355285740432E-2</v>
      </c>
      <c r="X279" s="373">
        <f t="shared" si="5"/>
        <v>6.435973794790506E-2</v>
      </c>
      <c r="Y279" s="373">
        <f t="shared" si="5"/>
        <v>-4.7513632334228451E-3</v>
      </c>
    </row>
    <row r="280" spans="1:25">
      <c r="A280" s="396">
        <v>45663</v>
      </c>
      <c r="B280">
        <v>12.55399799346924</v>
      </c>
      <c r="C280">
        <v>11.449543952941889</v>
      </c>
      <c r="D280">
        <v>5827.0400390625</v>
      </c>
      <c r="E280">
        <v>13.47999954223633</v>
      </c>
      <c r="F280">
        <v>12.10000038146973</v>
      </c>
      <c r="G280">
        <v>5827.0400390625</v>
      </c>
      <c r="H280">
        <v>13.739999771118161</v>
      </c>
      <c r="I280">
        <v>12.340000152587891</v>
      </c>
      <c r="J280">
        <v>6021.0400390625</v>
      </c>
      <c r="K280">
        <v>13.079999923706049</v>
      </c>
      <c r="L280">
        <v>11.810000419616699</v>
      </c>
      <c r="M280">
        <v>5807.77978515625</v>
      </c>
      <c r="N280">
        <v>13.159999847412109</v>
      </c>
      <c r="O280">
        <v>11.840000152587891</v>
      </c>
      <c r="P280">
        <v>5982.81005859375</v>
      </c>
      <c r="Q280">
        <v>52684800</v>
      </c>
      <c r="R280">
        <v>20375600</v>
      </c>
      <c r="S280">
        <v>18651120000</v>
      </c>
      <c r="W280" s="373">
        <f t="shared" si="5"/>
        <v>3.5330219697637499E-2</v>
      </c>
      <c r="X280" s="373">
        <f t="shared" si="5"/>
        <v>2.45554330751796E-2</v>
      </c>
      <c r="Y280" s="373">
        <f t="shared" si="5"/>
        <v>-1.9424611585417084E-2</v>
      </c>
    </row>
    <row r="281" spans="1:25">
      <c r="A281" s="396">
        <v>45670</v>
      </c>
      <c r="B281">
        <v>12.777512550354</v>
      </c>
      <c r="C281">
        <v>11.59148025512695</v>
      </c>
      <c r="D281">
        <v>5996.66015625</v>
      </c>
      <c r="E281">
        <v>13.72000026702881</v>
      </c>
      <c r="F281">
        <v>12.25</v>
      </c>
      <c r="G281">
        <v>5996.66015625</v>
      </c>
      <c r="H281">
        <v>13.920000076293951</v>
      </c>
      <c r="I281">
        <v>12.420000076293951</v>
      </c>
      <c r="J281">
        <v>6014.9599609375</v>
      </c>
      <c r="K281">
        <v>13.38000011444092</v>
      </c>
      <c r="L281">
        <v>12.069999694824221</v>
      </c>
      <c r="M281">
        <v>5773.31005859375</v>
      </c>
      <c r="N281">
        <v>13.489999771118161</v>
      </c>
      <c r="O281">
        <v>12.19999980926514</v>
      </c>
      <c r="P281">
        <v>5782.02001953125</v>
      </c>
      <c r="Q281">
        <v>47965900</v>
      </c>
      <c r="R281">
        <v>17423100</v>
      </c>
      <c r="S281">
        <v>21760690000</v>
      </c>
      <c r="W281" s="373">
        <f t="shared" si="5"/>
        <v>1.7804253035649253E-2</v>
      </c>
      <c r="X281" s="373">
        <f t="shared" si="5"/>
        <v>1.2396677349632901E-2</v>
      </c>
      <c r="Y281" s="373">
        <f t="shared" si="5"/>
        <v>2.9109138782370536E-2</v>
      </c>
    </row>
    <row r="282" spans="1:25">
      <c r="A282" s="396">
        <v>45677</v>
      </c>
      <c r="B282">
        <v>12.786824226379389</v>
      </c>
      <c r="C282">
        <v>11.70503044128418</v>
      </c>
      <c r="D282">
        <v>6101.240234375</v>
      </c>
      <c r="E282">
        <v>13.72999954223633</v>
      </c>
      <c r="F282">
        <v>12.36999988555908</v>
      </c>
      <c r="G282">
        <v>6101.240234375</v>
      </c>
      <c r="H282">
        <v>14.069999694824221</v>
      </c>
      <c r="I282">
        <v>12.64999961853027</v>
      </c>
      <c r="J282">
        <v>6128.18017578125</v>
      </c>
      <c r="K282">
        <v>13.569999694824221</v>
      </c>
      <c r="L282">
        <v>12.159999847412109</v>
      </c>
      <c r="M282">
        <v>6006.8798828125</v>
      </c>
      <c r="N282">
        <v>13.659999847412109</v>
      </c>
      <c r="O282">
        <v>12.22000026702881</v>
      </c>
      <c r="P282">
        <v>6014.1201171875</v>
      </c>
      <c r="Q282">
        <v>40781300</v>
      </c>
      <c r="R282">
        <v>15168400</v>
      </c>
      <c r="S282">
        <v>17672460000</v>
      </c>
      <c r="W282" s="373">
        <f t="shared" si="5"/>
        <v>7.2875498957203355E-4</v>
      </c>
      <c r="X282" s="373">
        <f t="shared" si="5"/>
        <v>9.7960039320263981E-3</v>
      </c>
      <c r="Y282" s="373">
        <f t="shared" si="5"/>
        <v>1.7439720677851378E-2</v>
      </c>
    </row>
    <row r="283" spans="1:25">
      <c r="A283" s="396">
        <v>45684</v>
      </c>
      <c r="B283">
        <v>13.233851432800289</v>
      </c>
      <c r="C283">
        <v>12.20653820037842</v>
      </c>
      <c r="D283">
        <v>6040.52978515625</v>
      </c>
      <c r="E283">
        <v>14.210000038146971</v>
      </c>
      <c r="F283">
        <v>12.89999961853027</v>
      </c>
      <c r="G283">
        <v>6040.52978515625</v>
      </c>
      <c r="H283">
        <v>14.560000419616699</v>
      </c>
      <c r="I283">
        <v>13.180000305175779</v>
      </c>
      <c r="J283">
        <v>6120.91015625</v>
      </c>
      <c r="K283">
        <v>13.689999580383301</v>
      </c>
      <c r="L283">
        <v>12.39999961853027</v>
      </c>
      <c r="M283">
        <v>5962.919921875</v>
      </c>
      <c r="N283">
        <v>13.80000019073486</v>
      </c>
      <c r="O283">
        <v>12.52000045776367</v>
      </c>
      <c r="P283">
        <v>5969.0400390625</v>
      </c>
      <c r="Q283">
        <v>64941500</v>
      </c>
      <c r="R283">
        <v>23369100</v>
      </c>
      <c r="S283">
        <v>23266090000</v>
      </c>
      <c r="W283" s="373">
        <f t="shared" si="5"/>
        <v>3.4959986819766975E-2</v>
      </c>
      <c r="X283" s="373">
        <f t="shared" si="5"/>
        <v>4.2845489519224067E-2</v>
      </c>
      <c r="Y283" s="373">
        <f t="shared" si="5"/>
        <v>-9.9505095499602403E-3</v>
      </c>
    </row>
    <row r="284" spans="1:25">
      <c r="A284" s="396">
        <v>45691</v>
      </c>
      <c r="B284">
        <v>12.777512550354</v>
      </c>
      <c r="C284">
        <v>11.90374088287354</v>
      </c>
      <c r="D284">
        <v>6025.990234375</v>
      </c>
      <c r="E284">
        <v>13.72000026702881</v>
      </c>
      <c r="F284">
        <v>12.579999923706049</v>
      </c>
      <c r="G284">
        <v>6025.990234375</v>
      </c>
      <c r="H284">
        <v>14.25</v>
      </c>
      <c r="I284">
        <v>12.97000026702881</v>
      </c>
      <c r="J284">
        <v>6101.27978515625</v>
      </c>
      <c r="K284">
        <v>13.61999988555908</v>
      </c>
      <c r="L284">
        <v>12.569999694824221</v>
      </c>
      <c r="M284">
        <v>5923.93017578125</v>
      </c>
      <c r="N284">
        <v>14.010000228881839</v>
      </c>
      <c r="O284">
        <v>12.77000045776367</v>
      </c>
      <c r="P284">
        <v>5969.64990234375</v>
      </c>
      <c r="Q284">
        <v>68557900</v>
      </c>
      <c r="R284">
        <v>19724500</v>
      </c>
      <c r="S284">
        <v>23577640000</v>
      </c>
      <c r="W284" s="373">
        <f t="shared" si="5"/>
        <v>-3.4482696497200149E-2</v>
      </c>
      <c r="X284" s="373">
        <f t="shared" si="5"/>
        <v>-2.4806158186232663E-2</v>
      </c>
      <c r="Y284" s="373">
        <f t="shared" si="5"/>
        <v>-2.4069992696632569E-3</v>
      </c>
    </row>
    <row r="285" spans="1:25">
      <c r="A285" s="396">
        <v>45698</v>
      </c>
      <c r="B285">
        <v>13.336294174194339</v>
      </c>
      <c r="C285">
        <v>12.443099021911619</v>
      </c>
      <c r="D285">
        <v>6114.6298828125</v>
      </c>
      <c r="E285">
        <v>14.319999694824221</v>
      </c>
      <c r="F285">
        <v>13.14999961853027</v>
      </c>
      <c r="G285">
        <v>6114.6298828125</v>
      </c>
      <c r="H285">
        <v>14.44999980926514</v>
      </c>
      <c r="I285">
        <v>13.22000026702881</v>
      </c>
      <c r="J285">
        <v>6127.47021484375</v>
      </c>
      <c r="K285">
        <v>13.489999771118161</v>
      </c>
      <c r="L285">
        <v>12.439999580383301</v>
      </c>
      <c r="M285">
        <v>6003</v>
      </c>
      <c r="N285">
        <v>13.819999694824221</v>
      </c>
      <c r="O285">
        <v>12.72999954223633</v>
      </c>
      <c r="P285">
        <v>6046.39990234375</v>
      </c>
      <c r="Q285">
        <v>71434200</v>
      </c>
      <c r="R285">
        <v>19812300</v>
      </c>
      <c r="S285">
        <v>22510590000</v>
      </c>
      <c r="W285" s="373">
        <f t="shared" si="5"/>
        <v>4.3731643513420515E-2</v>
      </c>
      <c r="X285" s="373">
        <f t="shared" si="5"/>
        <v>4.5309969726750277E-2</v>
      </c>
      <c r="Y285" s="373">
        <f t="shared" si="5"/>
        <v>1.4709557266100237E-2</v>
      </c>
    </row>
    <row r="286" spans="1:25">
      <c r="A286" s="396">
        <v>45705</v>
      </c>
      <c r="B286">
        <v>13.74606990814209</v>
      </c>
      <c r="C286">
        <v>12.708047866821291</v>
      </c>
      <c r="D286">
        <v>6013.1298828125</v>
      </c>
      <c r="E286">
        <v>14.760000228881839</v>
      </c>
      <c r="F286">
        <v>13.430000305175779</v>
      </c>
      <c r="G286">
        <v>6013.1298828125</v>
      </c>
      <c r="H286">
        <v>14.97999954223633</v>
      </c>
      <c r="I286">
        <v>13.60000038146973</v>
      </c>
      <c r="J286">
        <v>6147.43017578125</v>
      </c>
      <c r="K286">
        <v>14.560000419616699</v>
      </c>
      <c r="L286">
        <v>13.27999973297119</v>
      </c>
      <c r="M286">
        <v>6008.56005859375</v>
      </c>
      <c r="N286">
        <v>14.579999923706049</v>
      </c>
      <c r="O286">
        <v>13.310000419616699</v>
      </c>
      <c r="P286">
        <v>6121.60009765625</v>
      </c>
      <c r="Q286">
        <v>59994200</v>
      </c>
      <c r="R286">
        <v>16126900</v>
      </c>
      <c r="S286">
        <v>19495560000</v>
      </c>
      <c r="W286" s="373">
        <f t="shared" si="5"/>
        <v>3.0726356857114334E-2</v>
      </c>
      <c r="X286" s="373">
        <f t="shared" si="5"/>
        <v>2.1292834240337566E-2</v>
      </c>
      <c r="Y286" s="373">
        <f t="shared" si="5"/>
        <v>-1.6599532914543969E-2</v>
      </c>
    </row>
    <row r="287" spans="1:25">
      <c r="A287" s="396">
        <v>45712</v>
      </c>
      <c r="B287">
        <v>12.43292903900146</v>
      </c>
      <c r="C287">
        <v>11.55363082885742</v>
      </c>
      <c r="D287">
        <v>5954.5</v>
      </c>
      <c r="E287">
        <v>13.35000038146973</v>
      </c>
      <c r="F287">
        <v>12.210000038146971</v>
      </c>
      <c r="G287">
        <v>5954.5</v>
      </c>
      <c r="H287">
        <v>14.77999973297119</v>
      </c>
      <c r="I287">
        <v>13.420000076293951</v>
      </c>
      <c r="J287">
        <v>6043.64990234375</v>
      </c>
      <c r="K287">
        <v>12.909999847412109</v>
      </c>
      <c r="L287">
        <v>12.159999847412109</v>
      </c>
      <c r="M287">
        <v>5837.66015625</v>
      </c>
      <c r="N287">
        <v>14.760000228881839</v>
      </c>
      <c r="O287">
        <v>13.409999847412109</v>
      </c>
      <c r="P287">
        <v>6026.68994140625</v>
      </c>
      <c r="Q287">
        <v>137104400</v>
      </c>
      <c r="R287">
        <v>31932400</v>
      </c>
      <c r="S287">
        <v>26733210000</v>
      </c>
      <c r="W287" s="373">
        <f t="shared" si="5"/>
        <v>-9.5528458527831983E-2</v>
      </c>
      <c r="X287" s="373">
        <f t="shared" si="5"/>
        <v>-9.0841414044235069E-2</v>
      </c>
      <c r="Y287" s="373">
        <f t="shared" si="5"/>
        <v>-9.7503103966012361E-3</v>
      </c>
    </row>
    <row r="288" spans="1:25">
      <c r="A288" s="396">
        <v>45719</v>
      </c>
      <c r="B288">
        <v>12.079032897949221</v>
      </c>
      <c r="C288">
        <v>11.364381790161129</v>
      </c>
      <c r="D288">
        <v>5770.2001953125</v>
      </c>
      <c r="E288">
        <v>12.97000026702881</v>
      </c>
      <c r="F288">
        <v>12.010000228881839</v>
      </c>
      <c r="G288">
        <v>5770.2001953125</v>
      </c>
      <c r="H288">
        <v>13.72999954223633</v>
      </c>
      <c r="I288">
        <v>12.569999694824221</v>
      </c>
      <c r="J288">
        <v>5986.08984375</v>
      </c>
      <c r="K288">
        <v>12.689999580383301</v>
      </c>
      <c r="L288">
        <v>11.60000038146973</v>
      </c>
      <c r="M288">
        <v>5666.2900390625</v>
      </c>
      <c r="N288">
        <v>13.439999580383301</v>
      </c>
      <c r="O288">
        <v>12.329999923706049</v>
      </c>
      <c r="P288">
        <v>5968.330078125</v>
      </c>
      <c r="Q288">
        <v>85590300</v>
      </c>
      <c r="R288">
        <v>32337600</v>
      </c>
      <c r="S288">
        <v>27908150000</v>
      </c>
      <c r="W288" s="373">
        <f t="shared" si="5"/>
        <v>-2.8464422176148862E-2</v>
      </c>
      <c r="X288" s="373">
        <f t="shared" si="5"/>
        <v>-1.6380048964660054E-2</v>
      </c>
      <c r="Y288" s="373">
        <f t="shared" si="5"/>
        <v>-3.0951348507431309E-2</v>
      </c>
    </row>
    <row r="289" spans="1:25">
      <c r="A289" s="396">
        <v>45726</v>
      </c>
      <c r="B289">
        <v>12.50743389129639</v>
      </c>
      <c r="C289">
        <v>11.780728340148929</v>
      </c>
      <c r="D289">
        <v>5638.93994140625</v>
      </c>
      <c r="E289">
        <v>13.430000305175779</v>
      </c>
      <c r="F289">
        <v>12.44999980926514</v>
      </c>
      <c r="G289">
        <v>5638.93994140625</v>
      </c>
      <c r="H289">
        <v>13.5</v>
      </c>
      <c r="I289">
        <v>12.47000026702881</v>
      </c>
      <c r="J289">
        <v>5705.3701171875</v>
      </c>
      <c r="K289">
        <v>12.44999980926514</v>
      </c>
      <c r="L289">
        <v>11.61999988555908</v>
      </c>
      <c r="M289">
        <v>5504.64990234375</v>
      </c>
      <c r="N289">
        <v>12.86999988555908</v>
      </c>
      <c r="O289">
        <v>11.89000034332275</v>
      </c>
      <c r="P289">
        <v>5705.3701171875</v>
      </c>
      <c r="Q289">
        <v>88800000</v>
      </c>
      <c r="R289">
        <v>24845000</v>
      </c>
      <c r="S289">
        <v>27732600000</v>
      </c>
      <c r="W289" s="373">
        <f t="shared" si="5"/>
        <v>3.5466497770686889E-2</v>
      </c>
      <c r="X289" s="373">
        <f t="shared" si="5"/>
        <v>3.6636093161553029E-2</v>
      </c>
      <c r="Y289" s="373">
        <f t="shared" si="5"/>
        <v>-2.2747954917210822E-2</v>
      </c>
    </row>
    <row r="290" spans="1:25">
      <c r="A290" s="396">
        <v>45733</v>
      </c>
      <c r="B290">
        <v>13.18728542327881</v>
      </c>
      <c r="C290">
        <v>12.25385093688965</v>
      </c>
      <c r="D290">
        <v>5667.56005859375</v>
      </c>
      <c r="E290">
        <v>14.159999847412109</v>
      </c>
      <c r="F290">
        <v>12.94999980926514</v>
      </c>
      <c r="G290">
        <v>5667.56005859375</v>
      </c>
      <c r="H290">
        <v>14.30000019073486</v>
      </c>
      <c r="I290">
        <v>12.97999954223633</v>
      </c>
      <c r="J290">
        <v>5715.330078125</v>
      </c>
      <c r="K290">
        <v>13.52000045776367</v>
      </c>
      <c r="L290">
        <v>12.510000228881839</v>
      </c>
      <c r="M290">
        <v>5597.759765625</v>
      </c>
      <c r="N290">
        <v>13.569999694824221</v>
      </c>
      <c r="O290">
        <v>12.539999961853029</v>
      </c>
      <c r="P290">
        <v>5635.60009765625</v>
      </c>
      <c r="Q290">
        <v>123609100</v>
      </c>
      <c r="R290">
        <v>26880100</v>
      </c>
      <c r="S290">
        <v>28404010000</v>
      </c>
      <c r="W290" s="373">
        <f t="shared" si="5"/>
        <v>5.4355796551961877E-2</v>
      </c>
      <c r="X290" s="373">
        <f t="shared" si="5"/>
        <v>4.0160725473000758E-2</v>
      </c>
      <c r="Y290" s="373">
        <f t="shared" si="5"/>
        <v>5.0754428110406646E-3</v>
      </c>
    </row>
    <row r="291" spans="1:25">
      <c r="A291" s="396">
        <v>45740</v>
      </c>
      <c r="B291">
        <v>13.392172813415529</v>
      </c>
      <c r="C291">
        <v>12.348475456237789</v>
      </c>
      <c r="D291">
        <v>5580.93994140625</v>
      </c>
      <c r="E291">
        <v>14.38000011444092</v>
      </c>
      <c r="F291">
        <v>13.05000019073486</v>
      </c>
      <c r="G291">
        <v>5580.93994140625</v>
      </c>
      <c r="H291">
        <v>14.60000038146973</v>
      </c>
      <c r="I291">
        <v>13.260000228881839</v>
      </c>
      <c r="J291">
        <v>5786.9501953125</v>
      </c>
      <c r="K291">
        <v>13.89999961853027</v>
      </c>
      <c r="L291">
        <v>12.69999980926514</v>
      </c>
      <c r="M291">
        <v>5572.419921875</v>
      </c>
      <c r="N291">
        <v>14.05000019073486</v>
      </c>
      <c r="O291">
        <v>12.80000019073486</v>
      </c>
      <c r="P291">
        <v>5718.080078125</v>
      </c>
      <c r="Q291">
        <v>67934300</v>
      </c>
      <c r="R291">
        <v>17486000</v>
      </c>
      <c r="S291">
        <v>22085260000</v>
      </c>
      <c r="W291" s="373">
        <f t="shared" si="5"/>
        <v>1.5536737361810715E-2</v>
      </c>
      <c r="X291" s="373">
        <f t="shared" si="5"/>
        <v>7.722023046916382E-3</v>
      </c>
      <c r="Y291" s="373">
        <f t="shared" si="5"/>
        <v>-1.5283493477260546E-2</v>
      </c>
    </row>
    <row r="292" spans="1:25">
      <c r="A292" s="396">
        <v>45747</v>
      </c>
      <c r="B292">
        <v>12.22804069519043</v>
      </c>
      <c r="C292">
        <v>11.231907844543461</v>
      </c>
      <c r="D292">
        <v>5074.080078125</v>
      </c>
      <c r="E292">
        <v>13.13000011444092</v>
      </c>
      <c r="F292">
        <v>11.86999988555908</v>
      </c>
      <c r="G292">
        <v>5074.080078125</v>
      </c>
      <c r="H292">
        <v>14.89000034332275</v>
      </c>
      <c r="I292">
        <v>13.39000034332275</v>
      </c>
      <c r="J292">
        <v>5695.31005859375</v>
      </c>
      <c r="K292">
        <v>12.539999961853029</v>
      </c>
      <c r="L292">
        <v>11.60999965667725</v>
      </c>
      <c r="M292">
        <v>5069.89990234375</v>
      </c>
      <c r="N292">
        <v>14.319999694824221</v>
      </c>
      <c r="O292">
        <v>13.02999973297119</v>
      </c>
      <c r="P292">
        <v>5527.91015625</v>
      </c>
      <c r="Q292">
        <v>127532400</v>
      </c>
      <c r="R292">
        <v>34752100</v>
      </c>
      <c r="S292">
        <v>29999550000</v>
      </c>
      <c r="W292" s="373">
        <f t="shared" si="5"/>
        <v>-8.6926306466037939E-2</v>
      </c>
      <c r="X292" s="373">
        <f t="shared" si="5"/>
        <v>-9.0421494997611096E-2</v>
      </c>
      <c r="Y292" s="373">
        <f t="shared" si="5"/>
        <v>-9.0819802506875713E-2</v>
      </c>
    </row>
    <row r="293" spans="1:25">
      <c r="A293" s="396">
        <v>45754</v>
      </c>
      <c r="B293">
        <v>10.76589298248291</v>
      </c>
      <c r="C293">
        <v>10.27620220184326</v>
      </c>
      <c r="D293">
        <v>5363.35986328125</v>
      </c>
      <c r="E293">
        <v>11.560000419616699</v>
      </c>
      <c r="F293">
        <v>10.85999965667725</v>
      </c>
      <c r="G293">
        <v>5363.35986328125</v>
      </c>
      <c r="H293">
        <v>12.89000034332275</v>
      </c>
      <c r="I293">
        <v>11.86999988555908</v>
      </c>
      <c r="J293">
        <v>5481.33984375</v>
      </c>
      <c r="K293">
        <v>11.02999973297119</v>
      </c>
      <c r="L293">
        <v>10.27999973297119</v>
      </c>
      <c r="M293">
        <v>4835.0400390625</v>
      </c>
      <c r="N293">
        <v>12.590000152587891</v>
      </c>
      <c r="O293">
        <v>11.5</v>
      </c>
      <c r="P293">
        <v>4953.7900390625</v>
      </c>
      <c r="Q293">
        <v>220882600</v>
      </c>
      <c r="R293">
        <v>58238500</v>
      </c>
      <c r="S293">
        <v>37869410000</v>
      </c>
      <c r="W293" s="373">
        <f t="shared" si="5"/>
        <v>-0.11957334369050765</v>
      </c>
      <c r="X293" s="373">
        <f t="shared" si="5"/>
        <v>-8.5088451216637218E-2</v>
      </c>
      <c r="Y293" s="373">
        <f t="shared" si="5"/>
        <v>5.7011277059534793E-2</v>
      </c>
    </row>
    <row r="294" spans="1:25">
      <c r="A294" s="396">
        <v>45761</v>
      </c>
      <c r="B294">
        <v>10.821769714355471</v>
      </c>
      <c r="C294">
        <v>10.24781513214111</v>
      </c>
      <c r="D294">
        <v>5282.7001953125</v>
      </c>
      <c r="E294">
        <v>11.61999988555908</v>
      </c>
      <c r="F294">
        <v>10.829999923706049</v>
      </c>
      <c r="G294">
        <v>5282.7001953125</v>
      </c>
      <c r="H294">
        <v>11.94999980926514</v>
      </c>
      <c r="I294">
        <v>11.239999771118161</v>
      </c>
      <c r="J294">
        <v>5459.4599609375</v>
      </c>
      <c r="K294">
        <v>11.189999580383301</v>
      </c>
      <c r="L294">
        <v>10.489999771118161</v>
      </c>
      <c r="M294">
        <v>5220.7900390625</v>
      </c>
      <c r="N294">
        <v>11.94999980926514</v>
      </c>
      <c r="O294">
        <v>11.19999980926514</v>
      </c>
      <c r="P294">
        <v>5441.9599609375</v>
      </c>
      <c r="Q294">
        <v>114591200</v>
      </c>
      <c r="R294">
        <v>29372200</v>
      </c>
      <c r="S294">
        <v>18671180000</v>
      </c>
      <c r="W294" s="373">
        <f t="shared" si="5"/>
        <v>5.1901622989822815E-3</v>
      </c>
      <c r="X294" s="373">
        <f t="shared" si="5"/>
        <v>-2.7624086354643973E-3</v>
      </c>
      <c r="Y294" s="373">
        <f t="shared" si="5"/>
        <v>-1.5039018455756392E-2</v>
      </c>
    </row>
    <row r="295" spans="1:25">
      <c r="A295" s="396">
        <v>45768</v>
      </c>
      <c r="B295">
        <v>10.69138717651367</v>
      </c>
      <c r="C295">
        <v>10.181577682495121</v>
      </c>
      <c r="D295">
        <v>5525.2099609375</v>
      </c>
      <c r="E295">
        <v>11.47999954223633</v>
      </c>
      <c r="F295">
        <v>10.760000228881839</v>
      </c>
      <c r="G295">
        <v>5525.2099609375</v>
      </c>
      <c r="H295">
        <v>11.829999923706049</v>
      </c>
      <c r="I295">
        <v>11.19999980926514</v>
      </c>
      <c r="J295">
        <v>5528.10986328125</v>
      </c>
      <c r="K295">
        <v>11.239999771118161</v>
      </c>
      <c r="L295">
        <v>10.52000045776367</v>
      </c>
      <c r="M295">
        <v>5101.6298828125</v>
      </c>
      <c r="N295">
        <v>11.560000419616699</v>
      </c>
      <c r="O295">
        <v>10.85000038146973</v>
      </c>
      <c r="P295">
        <v>5232.93994140625</v>
      </c>
      <c r="Q295">
        <v>142500700</v>
      </c>
      <c r="R295">
        <v>34388200</v>
      </c>
      <c r="S295">
        <v>23198970000</v>
      </c>
      <c r="W295" s="373">
        <f t="shared" si="5"/>
        <v>-1.2048171536014451E-2</v>
      </c>
      <c r="X295" s="373">
        <f t="shared" si="5"/>
        <v>-6.463567969551165E-3</v>
      </c>
      <c r="Y295" s="373">
        <f t="shared" si="5"/>
        <v>4.5906403289777131E-2</v>
      </c>
    </row>
    <row r="296" spans="1:25">
      <c r="A296" s="396">
        <v>45775</v>
      </c>
      <c r="B296">
        <v>11.063327789306641</v>
      </c>
      <c r="C296">
        <v>10.57876777648926</v>
      </c>
      <c r="D296">
        <v>5686.669921875</v>
      </c>
      <c r="E296">
        <v>11.60999965667725</v>
      </c>
      <c r="F296">
        <v>10.89999961853027</v>
      </c>
      <c r="G296">
        <v>5686.669921875</v>
      </c>
      <c r="H296">
        <v>11.64999961853027</v>
      </c>
      <c r="I296">
        <v>10.930000305175779</v>
      </c>
      <c r="J296">
        <v>5700.7001953125</v>
      </c>
      <c r="K296">
        <v>11.180000305175779</v>
      </c>
      <c r="L296">
        <v>10.5</v>
      </c>
      <c r="M296">
        <v>5433.240234375</v>
      </c>
      <c r="N296">
        <v>11.52000045776367</v>
      </c>
      <c r="O296">
        <v>10.739999771118161</v>
      </c>
      <c r="P296">
        <v>5529.22021484375</v>
      </c>
      <c r="Q296">
        <v>94097500</v>
      </c>
      <c r="R296">
        <v>27736000</v>
      </c>
      <c r="S296">
        <v>24244170000</v>
      </c>
      <c r="W296" s="373">
        <f t="shared" si="5"/>
        <v>3.4788807724598358E-2</v>
      </c>
      <c r="X296" s="373">
        <f t="shared" si="5"/>
        <v>3.9010662824585207E-2</v>
      </c>
      <c r="Y296" s="373">
        <f t="shared" si="5"/>
        <v>2.9222411832129591E-2</v>
      </c>
    </row>
    <row r="297" spans="1:25">
      <c r="A297" s="396">
        <v>45782</v>
      </c>
      <c r="B297">
        <v>11.244381904602051</v>
      </c>
      <c r="C297">
        <v>10.64670562744141</v>
      </c>
      <c r="D297">
        <v>5659.91015625</v>
      </c>
      <c r="E297">
        <v>11.80000019073486</v>
      </c>
      <c r="F297">
        <v>10.97000026702881</v>
      </c>
      <c r="G297">
        <v>5659.91015625</v>
      </c>
      <c r="H297">
        <v>11.829999923706049</v>
      </c>
      <c r="I297">
        <v>10.989999771118161</v>
      </c>
      <c r="J297">
        <v>5720.10009765625</v>
      </c>
      <c r="K297">
        <v>11.170000076293951</v>
      </c>
      <c r="L297">
        <v>10.409999847412109</v>
      </c>
      <c r="M297">
        <v>5578.64013671875</v>
      </c>
      <c r="N297">
        <v>11.52999973297119</v>
      </c>
      <c r="O297">
        <v>10.789999961853029</v>
      </c>
      <c r="P297">
        <v>5655.31982421875</v>
      </c>
      <c r="Q297">
        <v>128290000</v>
      </c>
      <c r="R297">
        <v>37397600</v>
      </c>
      <c r="S297">
        <v>24335450000</v>
      </c>
      <c r="W297" s="373">
        <f t="shared" si="5"/>
        <v>1.6365249113418523E-2</v>
      </c>
      <c r="X297" s="373">
        <f t="shared" si="5"/>
        <v>6.4220949346425193E-3</v>
      </c>
      <c r="Y297" s="373">
        <f t="shared" si="5"/>
        <v>-4.705700522912859E-3</v>
      </c>
    </row>
    <row r="298" spans="1:25">
      <c r="A298" s="396">
        <v>45789</v>
      </c>
      <c r="B298">
        <v>11.454023361206049</v>
      </c>
      <c r="C298">
        <v>10.95727443695068</v>
      </c>
      <c r="D298">
        <v>5958.3798828125</v>
      </c>
      <c r="E298">
        <v>12.02000045776367</v>
      </c>
      <c r="F298">
        <v>11.289999961853029</v>
      </c>
      <c r="G298">
        <v>5958.3798828125</v>
      </c>
      <c r="H298">
        <v>12.319999694824221</v>
      </c>
      <c r="I298">
        <v>11.489999771118161</v>
      </c>
      <c r="J298">
        <v>5958.6201171875</v>
      </c>
      <c r="K298">
        <v>11.829999923706049</v>
      </c>
      <c r="L298">
        <v>11.090000152587891</v>
      </c>
      <c r="M298">
        <v>5786.080078125</v>
      </c>
      <c r="N298">
        <v>12.159999847412109</v>
      </c>
      <c r="O298">
        <v>11.30000019073486</v>
      </c>
      <c r="P298">
        <v>5807.2001953125</v>
      </c>
      <c r="Q298">
        <v>114628800</v>
      </c>
      <c r="R298">
        <v>29112900</v>
      </c>
      <c r="S298">
        <v>26606460000</v>
      </c>
      <c r="W298" s="373">
        <f t="shared" si="5"/>
        <v>1.8644106753275436E-2</v>
      </c>
      <c r="X298" s="373">
        <f t="shared" si="5"/>
        <v>2.9170413870445833E-2</v>
      </c>
      <c r="Y298" s="373">
        <f t="shared" si="5"/>
        <v>5.2734004307985805E-2</v>
      </c>
    </row>
    <row r="299" spans="1:25">
      <c r="A299" s="396">
        <v>45796</v>
      </c>
      <c r="B299">
        <v>11.282498359680179</v>
      </c>
      <c r="C299">
        <v>10.753463745117189</v>
      </c>
      <c r="D299">
        <v>5802.81982421875</v>
      </c>
      <c r="E299">
        <v>11.840000152587891</v>
      </c>
      <c r="F299">
        <v>11.079999923706049</v>
      </c>
      <c r="G299">
        <v>5802.81982421875</v>
      </c>
      <c r="H299">
        <v>12.180000305175779</v>
      </c>
      <c r="I299">
        <v>11.39999961853027</v>
      </c>
      <c r="J299">
        <v>5968.60986328125</v>
      </c>
      <c r="K299">
        <v>11.560000419616699</v>
      </c>
      <c r="L299">
        <v>10.819999694824221</v>
      </c>
      <c r="M299">
        <v>5767.41015625</v>
      </c>
      <c r="N299">
        <v>11.920000076293951</v>
      </c>
      <c r="O299">
        <v>11.210000038146971</v>
      </c>
      <c r="P299">
        <v>5902.8798828125</v>
      </c>
      <c r="Q299">
        <v>88718600</v>
      </c>
      <c r="R299">
        <v>27393300</v>
      </c>
      <c r="S299">
        <v>23634980000</v>
      </c>
      <c r="W299" s="373">
        <f t="shared" si="5"/>
        <v>-1.497508745327103E-2</v>
      </c>
      <c r="X299" s="373">
        <f t="shared" si="5"/>
        <v>-1.8600491664805818E-2</v>
      </c>
      <c r="Y299" s="373">
        <f t="shared" si="5"/>
        <v>-2.6107777894873285E-2</v>
      </c>
    </row>
    <row r="300" spans="1:25">
      <c r="A300" s="396">
        <v>45803</v>
      </c>
      <c r="B300">
        <v>10.99662494659424</v>
      </c>
      <c r="C300">
        <v>10.501125335693359</v>
      </c>
      <c r="D300">
        <v>5911.68994140625</v>
      </c>
      <c r="E300">
        <v>11.539999961853029</v>
      </c>
      <c r="F300">
        <v>10.819999694824221</v>
      </c>
      <c r="G300">
        <v>5911.68994140625</v>
      </c>
      <c r="H300">
        <v>11.960000038146971</v>
      </c>
      <c r="I300">
        <v>11.170000076293951</v>
      </c>
      <c r="J300">
        <v>5943.1298828125</v>
      </c>
      <c r="K300">
        <v>11.510000228881839</v>
      </c>
      <c r="L300">
        <v>10.80000019073486</v>
      </c>
      <c r="M300">
        <v>5843.66015625</v>
      </c>
      <c r="N300">
        <v>11.939999580383301</v>
      </c>
      <c r="O300">
        <v>11.14999961853027</v>
      </c>
      <c r="P300">
        <v>5854.06982421875</v>
      </c>
      <c r="Q300">
        <v>62189000</v>
      </c>
      <c r="R300">
        <v>19047000</v>
      </c>
      <c r="S300">
        <v>20979720000</v>
      </c>
      <c r="W300" s="373">
        <f t="shared" si="5"/>
        <v>-2.5337775727719447E-2</v>
      </c>
      <c r="X300" s="373">
        <f t="shared" si="5"/>
        <v>-2.3465779529726727E-2</v>
      </c>
      <c r="Y300" s="373">
        <f t="shared" si="5"/>
        <v>1.8761588414845765E-2</v>
      </c>
    </row>
    <row r="301" spans="1:25">
      <c r="A301" s="396">
        <v>45810</v>
      </c>
      <c r="B301">
        <v>10.78698253631592</v>
      </c>
      <c r="C301">
        <v>10.316725730896</v>
      </c>
      <c r="D301">
        <v>6000.35986328125</v>
      </c>
      <c r="E301">
        <v>11.319999694824221</v>
      </c>
      <c r="F301">
        <v>10.63000011444092</v>
      </c>
      <c r="G301">
        <v>6000.35986328125</v>
      </c>
      <c r="H301">
        <v>11.77999973297119</v>
      </c>
      <c r="I301">
        <v>11.060000419616699</v>
      </c>
      <c r="J301">
        <v>6016.8701171875</v>
      </c>
      <c r="K301">
        <v>11.10999965667725</v>
      </c>
      <c r="L301">
        <v>10.35999965667725</v>
      </c>
      <c r="M301">
        <v>5861.43017578125</v>
      </c>
      <c r="N301">
        <v>11.75</v>
      </c>
      <c r="O301">
        <v>11.02999973297119</v>
      </c>
      <c r="P301">
        <v>5896.68017578125</v>
      </c>
      <c r="Q301">
        <v>109690800</v>
      </c>
      <c r="R301">
        <v>35728200</v>
      </c>
      <c r="S301">
        <v>24073530000</v>
      </c>
      <c r="W301" s="373">
        <f t="shared" si="5"/>
        <v>-1.9064250285561357E-2</v>
      </c>
      <c r="X301" s="373">
        <f t="shared" si="5"/>
        <v>-1.7559985135172651E-2</v>
      </c>
      <c r="Y301" s="373">
        <f t="shared" si="5"/>
        <v>1.4999081946761805E-2</v>
      </c>
    </row>
    <row r="302" spans="1:25">
      <c r="A302" s="396">
        <v>45817</v>
      </c>
      <c r="B302">
        <v>12.44558715820312</v>
      </c>
      <c r="C302">
        <v>11.789999961853029</v>
      </c>
      <c r="D302">
        <v>5976.97021484375</v>
      </c>
      <c r="E302">
        <v>12.69999980926514</v>
      </c>
      <c r="F302">
        <v>11.789999961853029</v>
      </c>
      <c r="G302">
        <v>5976.97021484375</v>
      </c>
      <c r="H302">
        <v>12.810000419616699</v>
      </c>
      <c r="I302">
        <v>11.810000419616699</v>
      </c>
      <c r="J302">
        <v>6059.39990234375</v>
      </c>
      <c r="K302">
        <v>11.039999961853029</v>
      </c>
      <c r="L302">
        <v>10.329999923706049</v>
      </c>
      <c r="M302">
        <v>5963.2099609375</v>
      </c>
      <c r="N302">
        <v>11.069999694824221</v>
      </c>
      <c r="O302">
        <v>10.39999961853027</v>
      </c>
      <c r="P302">
        <v>6004.6298828125</v>
      </c>
      <c r="Q302">
        <v>161979100</v>
      </c>
      <c r="R302">
        <v>38892500</v>
      </c>
      <c r="S302">
        <v>24565200000</v>
      </c>
      <c r="W302" s="373">
        <f t="shared" si="5"/>
        <v>0.15375983193662091</v>
      </c>
      <c r="X302" s="373">
        <f t="shared" si="5"/>
        <v>0.14280443906199269</v>
      </c>
      <c r="Y302" s="373">
        <f t="shared" si="5"/>
        <v>-3.8980409459491439E-3</v>
      </c>
    </row>
    <row r="303" spans="1:25">
      <c r="A303" s="396">
        <v>45824</v>
      </c>
      <c r="B303">
        <v>12.808175086975099</v>
      </c>
      <c r="C303">
        <v>11.97000026702881</v>
      </c>
      <c r="D303">
        <v>5967.83984375</v>
      </c>
      <c r="E303">
        <v>13.069999694824221</v>
      </c>
      <c r="F303">
        <v>11.97000026702881</v>
      </c>
      <c r="G303">
        <v>5967.83984375</v>
      </c>
      <c r="H303">
        <v>13.22999954223633</v>
      </c>
      <c r="I303">
        <v>12.10000038146973</v>
      </c>
      <c r="J303">
        <v>6050.830078125</v>
      </c>
      <c r="K303">
        <v>12.659999847412109</v>
      </c>
      <c r="L303">
        <v>11.659999847412109</v>
      </c>
      <c r="M303">
        <v>5952.56005859375</v>
      </c>
      <c r="N303">
        <v>12.69999980926514</v>
      </c>
      <c r="O303">
        <v>11.739999771118161</v>
      </c>
      <c r="P303">
        <v>6004</v>
      </c>
      <c r="Q303">
        <v>116233900</v>
      </c>
      <c r="R303">
        <v>30491300</v>
      </c>
      <c r="S303">
        <v>22625380000</v>
      </c>
      <c r="W303" s="373">
        <f t="shared" si="5"/>
        <v>2.913385476819319E-2</v>
      </c>
      <c r="X303" s="373">
        <f t="shared" si="5"/>
        <v>1.5267201506206751E-2</v>
      </c>
      <c r="Y303" s="373">
        <f t="shared" si="5"/>
        <v>-1.5275918677116751E-3</v>
      </c>
    </row>
    <row r="304" spans="1:25">
      <c r="A304" s="396">
        <v>45831</v>
      </c>
      <c r="B304">
        <v>12.131998062133791</v>
      </c>
      <c r="C304">
        <v>11.39000034332275</v>
      </c>
      <c r="D304">
        <v>6173.06982421875</v>
      </c>
      <c r="E304">
        <v>12.38000011444092</v>
      </c>
      <c r="F304">
        <v>11.39000034332275</v>
      </c>
      <c r="G304">
        <v>6173.06982421875</v>
      </c>
      <c r="H304">
        <v>13.14999961853027</v>
      </c>
      <c r="I304">
        <v>12.02000045776367</v>
      </c>
      <c r="J304">
        <v>6187.68017578125</v>
      </c>
      <c r="K304">
        <v>12.27000045776367</v>
      </c>
      <c r="L304">
        <v>11.25</v>
      </c>
      <c r="M304">
        <v>5943.22998046875</v>
      </c>
      <c r="N304">
        <v>13.14000034332275</v>
      </c>
      <c r="O304">
        <v>12.010000228881839</v>
      </c>
      <c r="P304">
        <v>5969.669921875</v>
      </c>
      <c r="Q304">
        <v>131758900</v>
      </c>
      <c r="R304">
        <v>29320900</v>
      </c>
      <c r="S304">
        <v>29409290000</v>
      </c>
      <c r="W304" s="373">
        <f t="shared" si="5"/>
        <v>-5.2792612550161544E-2</v>
      </c>
      <c r="X304" s="373">
        <f t="shared" si="5"/>
        <v>-4.8454462052407887E-2</v>
      </c>
      <c r="Y304" s="373">
        <f t="shared" si="5"/>
        <v>3.4389324419234146E-2</v>
      </c>
    </row>
    <row r="305" spans="1:25">
      <c r="A305" s="396">
        <v>45838</v>
      </c>
      <c r="B305">
        <v>12.79837608337402</v>
      </c>
      <c r="C305">
        <v>11.909999847412109</v>
      </c>
      <c r="D305">
        <v>6279.35009765625</v>
      </c>
      <c r="E305">
        <v>13.060000419616699</v>
      </c>
      <c r="F305">
        <v>11.909999847412109</v>
      </c>
      <c r="G305">
        <v>6279.35009765625</v>
      </c>
      <c r="H305">
        <v>13.069999694824221</v>
      </c>
      <c r="I305">
        <v>11.97999954223633</v>
      </c>
      <c r="J305">
        <v>6284.64990234375</v>
      </c>
      <c r="K305">
        <v>12.319999694824221</v>
      </c>
      <c r="L305">
        <v>11.340000152587891</v>
      </c>
      <c r="M305">
        <v>6174.97021484375</v>
      </c>
      <c r="N305">
        <v>12.35999965667725</v>
      </c>
      <c r="O305">
        <v>11.39999961853027</v>
      </c>
      <c r="P305">
        <v>6193.35986328125</v>
      </c>
      <c r="Q305">
        <v>79372500</v>
      </c>
      <c r="R305">
        <v>20556000</v>
      </c>
      <c r="S305">
        <v>21082030000</v>
      </c>
      <c r="W305" s="373">
        <f t="shared" si="5"/>
        <v>5.4927310227663062E-2</v>
      </c>
      <c r="X305" s="373">
        <f t="shared" si="5"/>
        <v>4.5654037613282572E-2</v>
      </c>
      <c r="Y305" s="373">
        <f t="shared" si="5"/>
        <v>1.7216761913259271E-2</v>
      </c>
    </row>
    <row r="306" spans="1:25">
      <c r="A306" s="396">
        <v>45845</v>
      </c>
      <c r="B306">
        <v>12.56318378448486</v>
      </c>
      <c r="C306">
        <v>11.739999771118161</v>
      </c>
      <c r="D306">
        <v>6259.75</v>
      </c>
      <c r="E306">
        <v>12.819999694824221</v>
      </c>
      <c r="F306">
        <v>11.739999771118161</v>
      </c>
      <c r="G306">
        <v>6259.75</v>
      </c>
      <c r="H306">
        <v>13.159999847412109</v>
      </c>
      <c r="I306">
        <v>11.97000026702881</v>
      </c>
      <c r="J306">
        <v>6290.22021484375</v>
      </c>
      <c r="K306">
        <v>12.590000152587891</v>
      </c>
      <c r="L306">
        <v>11.460000038146971</v>
      </c>
      <c r="M306">
        <v>6201</v>
      </c>
      <c r="N306">
        <v>12.85000038146973</v>
      </c>
      <c r="O306">
        <v>11.789999961853029</v>
      </c>
      <c r="P306">
        <v>6259.0400390625</v>
      </c>
      <c r="Q306">
        <v>88878100</v>
      </c>
      <c r="R306">
        <v>26226500</v>
      </c>
      <c r="S306">
        <v>25812670000</v>
      </c>
      <c r="W306" s="373">
        <f t="shared" si="5"/>
        <v>-1.8376729778607714E-2</v>
      </c>
      <c r="X306" s="373">
        <f t="shared" si="5"/>
        <v>-1.4273726152136623E-2</v>
      </c>
      <c r="Y306" s="373">
        <f t="shared" si="5"/>
        <v>-3.1213576805608767E-3</v>
      </c>
    </row>
    <row r="307" spans="1:25">
      <c r="A307" s="396">
        <v>45852</v>
      </c>
      <c r="B307">
        <v>11.76941013336182</v>
      </c>
      <c r="C307">
        <v>11.10999965667725</v>
      </c>
      <c r="D307">
        <v>6296.7900390625</v>
      </c>
      <c r="E307">
        <v>12.010000228881839</v>
      </c>
      <c r="F307">
        <v>11.10999965667725</v>
      </c>
      <c r="G307">
        <v>6296.7900390625</v>
      </c>
      <c r="H307">
        <v>12.77999973297119</v>
      </c>
      <c r="I307">
        <v>11.72999954223633</v>
      </c>
      <c r="J307">
        <v>6315.60986328125</v>
      </c>
      <c r="K307">
        <v>11.85999965667725</v>
      </c>
      <c r="L307">
        <v>10.94999980926514</v>
      </c>
      <c r="M307">
        <v>6201.58984375</v>
      </c>
      <c r="N307">
        <v>12.75</v>
      </c>
      <c r="O307">
        <v>11.72999954223633</v>
      </c>
      <c r="P307">
        <v>6255.14990234375</v>
      </c>
      <c r="Q307">
        <v>82413000</v>
      </c>
      <c r="R307">
        <v>26182100</v>
      </c>
      <c r="S307">
        <v>25730370000</v>
      </c>
      <c r="W307" s="373">
        <f t="shared" si="5"/>
        <v>-6.3182523215438824E-2</v>
      </c>
      <c r="X307" s="373">
        <f t="shared" si="5"/>
        <v>-5.3662702446620858E-2</v>
      </c>
      <c r="Y307" s="373">
        <f t="shared" si="5"/>
        <v>5.9171754562881151E-3</v>
      </c>
    </row>
    <row r="308" spans="1:25">
      <c r="A308" s="396">
        <v>45859</v>
      </c>
      <c r="B308">
        <v>12.347591400146481</v>
      </c>
      <c r="C308">
        <v>11.52999973297119</v>
      </c>
      <c r="D308">
        <v>6388.64013671875</v>
      </c>
      <c r="E308">
        <v>12.60000038146973</v>
      </c>
      <c r="F308">
        <v>11.52999973297119</v>
      </c>
      <c r="G308">
        <v>6388.64013671875</v>
      </c>
      <c r="H308">
        <v>12.69999980926514</v>
      </c>
      <c r="I308">
        <v>11.61999988555908</v>
      </c>
      <c r="J308">
        <v>6395.81982421875</v>
      </c>
      <c r="K308">
        <v>12.039999961853029</v>
      </c>
      <c r="L308">
        <v>11.10000038146973</v>
      </c>
      <c r="M308">
        <v>6281.7099609375</v>
      </c>
      <c r="N308">
        <v>12.039999961853029</v>
      </c>
      <c r="O308">
        <v>11.10999965667725</v>
      </c>
      <c r="P308">
        <v>6304.740234375</v>
      </c>
      <c r="Q308">
        <v>93555600</v>
      </c>
      <c r="R308">
        <v>29303200</v>
      </c>
      <c r="S308">
        <v>26068830000</v>
      </c>
      <c r="W308" s="373">
        <f t="shared" si="5"/>
        <v>4.9125764183010068E-2</v>
      </c>
      <c r="X308" s="373">
        <f t="shared" si="5"/>
        <v>3.7803788413397044E-2</v>
      </c>
      <c r="Y308" s="373">
        <f t="shared" si="5"/>
        <v>1.458681281834906E-2</v>
      </c>
    </row>
    <row r="309" spans="1:25">
      <c r="A309" s="396">
        <v>45866</v>
      </c>
      <c r="B309">
        <v>12.435787200927731</v>
      </c>
      <c r="C309">
        <v>11.60000038146973</v>
      </c>
      <c r="D309">
        <v>6238.009765625</v>
      </c>
      <c r="E309">
        <v>12.689999580383301</v>
      </c>
      <c r="F309">
        <v>11.60000038146973</v>
      </c>
      <c r="G309">
        <v>6238.009765625</v>
      </c>
      <c r="H309">
        <v>12.97000026702881</v>
      </c>
      <c r="I309">
        <v>11.819999694824221</v>
      </c>
      <c r="J309">
        <v>6427.02001953125</v>
      </c>
      <c r="K309">
        <v>12.30000019073486</v>
      </c>
      <c r="L309">
        <v>11.329999923706049</v>
      </c>
      <c r="M309">
        <v>6212.68994140625</v>
      </c>
      <c r="N309">
        <v>12.680000305175779</v>
      </c>
      <c r="O309">
        <v>11.55000019073486</v>
      </c>
      <c r="P309">
        <v>6397.68994140625</v>
      </c>
      <c r="Q309">
        <v>134345700</v>
      </c>
      <c r="R309">
        <v>34269000</v>
      </c>
      <c r="S309">
        <v>26921040000</v>
      </c>
      <c r="W309" s="373">
        <f t="shared" si="5"/>
        <v>7.1427534264054682E-3</v>
      </c>
      <c r="X309" s="373">
        <f t="shared" si="5"/>
        <v>6.0711752055264689E-3</v>
      </c>
      <c r="Y309" s="373">
        <f t="shared" si="5"/>
        <v>-2.3577845655760266E-2</v>
      </c>
    </row>
    <row r="310" spans="1:25">
      <c r="A310" s="396">
        <v>45873</v>
      </c>
      <c r="B310">
        <v>11.877206802368161</v>
      </c>
      <c r="C310">
        <v>11.22000026702881</v>
      </c>
      <c r="D310">
        <v>6389.4501953125</v>
      </c>
      <c r="E310">
        <v>12.11999988555908</v>
      </c>
      <c r="F310">
        <v>11.22000026702881</v>
      </c>
      <c r="G310">
        <v>6389.4501953125</v>
      </c>
      <c r="H310">
        <v>13.260000228881839</v>
      </c>
      <c r="I310">
        <v>12.060000419616699</v>
      </c>
      <c r="J310">
        <v>6395.16015625</v>
      </c>
      <c r="K310">
        <v>12.060000419616699</v>
      </c>
      <c r="L310">
        <v>11.22000026702881</v>
      </c>
      <c r="M310">
        <v>6271.7099609375</v>
      </c>
      <c r="N310">
        <v>12.72000026702881</v>
      </c>
      <c r="O310">
        <v>11.670000076293951</v>
      </c>
      <c r="P310">
        <v>6271.7099609375</v>
      </c>
      <c r="Q310">
        <v>168341900</v>
      </c>
      <c r="R310">
        <v>39717400</v>
      </c>
      <c r="S310">
        <v>25844550000</v>
      </c>
      <c r="W310" s="373">
        <f t="shared" si="5"/>
        <v>-4.4917172474445266E-2</v>
      </c>
      <c r="X310" s="373">
        <f t="shared" si="5"/>
        <v>-3.2758629477973589E-2</v>
      </c>
      <c r="Y310" s="373">
        <f t="shared" si="5"/>
        <v>2.4277042739179855E-2</v>
      </c>
    </row>
    <row r="311" spans="1:25">
      <c r="A311" s="396">
        <v>45880</v>
      </c>
      <c r="B311">
        <v>11.828207969665529</v>
      </c>
      <c r="C311">
        <v>11.13000011444092</v>
      </c>
      <c r="D311">
        <v>6449.7998046875</v>
      </c>
      <c r="E311">
        <v>12.069999694824221</v>
      </c>
      <c r="F311">
        <v>11.13000011444092</v>
      </c>
      <c r="G311">
        <v>6449.7998046875</v>
      </c>
      <c r="H311">
        <v>12.430000305175779</v>
      </c>
      <c r="I311">
        <v>11.590000152587891</v>
      </c>
      <c r="J311">
        <v>6481.33984375</v>
      </c>
      <c r="K311">
        <v>11.960000038146971</v>
      </c>
      <c r="L311">
        <v>11.039999961853029</v>
      </c>
      <c r="M311">
        <v>6364.06005859375</v>
      </c>
      <c r="N311">
        <v>12.14999961853027</v>
      </c>
      <c r="O311">
        <v>11.289999961853029</v>
      </c>
      <c r="P311">
        <v>6389.669921875</v>
      </c>
      <c r="Q311">
        <v>100204600</v>
      </c>
      <c r="R311">
        <v>28363600</v>
      </c>
      <c r="S311">
        <v>24020760000</v>
      </c>
      <c r="W311" s="373">
        <f t="shared" si="5"/>
        <v>-4.1254508335125673E-3</v>
      </c>
      <c r="X311" s="373">
        <f t="shared" si="5"/>
        <v>-8.021403783061043E-3</v>
      </c>
      <c r="Y311" s="373">
        <f t="shared" si="5"/>
        <v>9.4451959918671058E-3</v>
      </c>
    </row>
    <row r="312" spans="1:25">
      <c r="A312" s="396">
        <v>45887</v>
      </c>
      <c r="B312">
        <v>12.082999229431151</v>
      </c>
      <c r="C312">
        <v>11.420000076293951</v>
      </c>
      <c r="D312">
        <v>6466.91015625</v>
      </c>
      <c r="E312">
        <v>12.329999923706049</v>
      </c>
      <c r="F312">
        <v>11.420000076293951</v>
      </c>
      <c r="G312">
        <v>6466.91015625</v>
      </c>
      <c r="H312">
        <v>12.35999965667725</v>
      </c>
      <c r="I312">
        <v>11.439999580383301</v>
      </c>
      <c r="J312">
        <v>6478.89013671875</v>
      </c>
      <c r="K312">
        <v>11.77999973297119</v>
      </c>
      <c r="L312">
        <v>10.89000034332275</v>
      </c>
      <c r="M312">
        <v>6343.85986328125</v>
      </c>
      <c r="N312">
        <v>12.069999694824221</v>
      </c>
      <c r="O312">
        <v>11.170000076293951</v>
      </c>
      <c r="P312">
        <v>6445.02001953125</v>
      </c>
      <c r="Q312">
        <v>97806600</v>
      </c>
      <c r="R312">
        <v>28694200</v>
      </c>
      <c r="S312">
        <v>22070540000</v>
      </c>
      <c r="W312" s="373">
        <f t="shared" si="5"/>
        <v>2.1540985787454447E-2</v>
      </c>
      <c r="X312" s="373">
        <f t="shared" si="5"/>
        <v>2.6055701605677717E-2</v>
      </c>
      <c r="Y312" s="373">
        <f t="shared" si="5"/>
        <v>2.6528500233549135E-3</v>
      </c>
    </row>
    <row r="313" spans="1:25">
      <c r="A313" s="396">
        <v>45894</v>
      </c>
      <c r="B313">
        <v>12.15159702301025</v>
      </c>
      <c r="C313">
        <v>11.47000026702881</v>
      </c>
      <c r="D313">
        <v>6460.259765625</v>
      </c>
      <c r="E313">
        <v>12.39999961853027</v>
      </c>
      <c r="F313">
        <v>11.47000026702881</v>
      </c>
      <c r="G313">
        <v>6460.259765625</v>
      </c>
      <c r="H313">
        <v>12.489999771118161</v>
      </c>
      <c r="I313">
        <v>11.55000019073486</v>
      </c>
      <c r="J313">
        <v>6508.22998046875</v>
      </c>
      <c r="K313">
        <v>11.97000026702881</v>
      </c>
      <c r="L313">
        <v>11.11999988555908</v>
      </c>
      <c r="M313">
        <v>6429.2099609375</v>
      </c>
      <c r="N313">
        <v>12.19999980926514</v>
      </c>
      <c r="O313">
        <v>11.239999771118161</v>
      </c>
      <c r="P313">
        <v>6457.669921875</v>
      </c>
      <c r="Q313">
        <v>86878000</v>
      </c>
      <c r="R313">
        <v>28787300</v>
      </c>
      <c r="S313">
        <v>21589030000</v>
      </c>
      <c r="W313" s="373">
        <f t="shared" si="5"/>
        <v>5.6772157538513834E-3</v>
      </c>
      <c r="X313" s="373">
        <f t="shared" si="5"/>
        <v>4.3783003853610225E-3</v>
      </c>
      <c r="Y313" s="373">
        <f t="shared" si="5"/>
        <v>-1.0283722000641315E-3</v>
      </c>
    </row>
    <row r="314" spans="1:25">
      <c r="A314" s="396">
        <v>45901</v>
      </c>
      <c r="B314">
        <v>12.210000038146971</v>
      </c>
      <c r="C314">
        <v>11.30000019073486</v>
      </c>
      <c r="D314">
        <v>6481.5</v>
      </c>
      <c r="E314">
        <v>12.210000038146971</v>
      </c>
      <c r="F314">
        <v>11.30000019073486</v>
      </c>
      <c r="G314">
        <v>6481.5</v>
      </c>
      <c r="H314">
        <v>12.460000038146971</v>
      </c>
      <c r="I314">
        <v>11.510000228881839</v>
      </c>
      <c r="J314">
        <v>6532.64990234375</v>
      </c>
      <c r="K314">
        <v>12.02000045776367</v>
      </c>
      <c r="L314">
        <v>11.14999961853027</v>
      </c>
      <c r="M314">
        <v>6360.580078125</v>
      </c>
      <c r="N314">
        <v>12.289999961853029</v>
      </c>
      <c r="O314">
        <v>11.39999961853027</v>
      </c>
      <c r="P314">
        <v>6401.509765625</v>
      </c>
      <c r="Q314">
        <v>84901000</v>
      </c>
      <c r="R314">
        <v>24949900</v>
      </c>
      <c r="S314">
        <v>18986250000</v>
      </c>
      <c r="W314" s="373">
        <f t="shared" si="5"/>
        <v>4.8062007838252097E-3</v>
      </c>
      <c r="X314" s="373">
        <f t="shared" si="5"/>
        <v>-1.482127919234888E-2</v>
      </c>
      <c r="Y314" s="373">
        <f t="shared" si="5"/>
        <v>3.2878297693259562E-3</v>
      </c>
    </row>
    <row r="315" spans="1:25">
      <c r="A315" s="396">
        <v>45908</v>
      </c>
      <c r="B315">
        <v>12.63000011444092</v>
      </c>
      <c r="C315">
        <v>11.670000076293951</v>
      </c>
      <c r="D315">
        <v>6584.2900390625</v>
      </c>
      <c r="E315">
        <v>12.63000011444092</v>
      </c>
      <c r="F315">
        <v>11.670000076293951</v>
      </c>
      <c r="G315">
        <v>6584.2900390625</v>
      </c>
      <c r="H315">
        <v>12.85999965667725</v>
      </c>
      <c r="I315">
        <v>11.829999923706049</v>
      </c>
      <c r="J315">
        <v>6600.2099609375</v>
      </c>
      <c r="K315">
        <v>12.10000038146973</v>
      </c>
      <c r="L315">
        <v>11.22000026702881</v>
      </c>
      <c r="M315">
        <v>6483.080078125</v>
      </c>
      <c r="N315">
        <v>12.25</v>
      </c>
      <c r="O315">
        <v>11.340000152587891</v>
      </c>
      <c r="P315">
        <v>6498.08984375</v>
      </c>
      <c r="Q315">
        <v>95373700</v>
      </c>
      <c r="R315">
        <v>33082600</v>
      </c>
      <c r="S315">
        <v>25330960000</v>
      </c>
      <c r="W315" s="373">
        <f t="shared" si="5"/>
        <v>3.4398040539047381E-2</v>
      </c>
      <c r="X315" s="373">
        <f t="shared" si="5"/>
        <v>3.274335215166313E-2</v>
      </c>
      <c r="Y315" s="373">
        <f t="shared" si="5"/>
        <v>1.5858989286816394E-2</v>
      </c>
    </row>
    <row r="316" spans="1:25">
      <c r="A316" s="396">
        <v>45915</v>
      </c>
      <c r="B316">
        <v>12.61999988555908</v>
      </c>
      <c r="C316">
        <v>11.680000305175779</v>
      </c>
      <c r="D316">
        <v>6664.35986328125</v>
      </c>
      <c r="E316">
        <v>12.61999988555908</v>
      </c>
      <c r="F316">
        <v>11.680000305175779</v>
      </c>
      <c r="G316">
        <v>6664.35986328125</v>
      </c>
      <c r="H316">
        <v>13.05000019073486</v>
      </c>
      <c r="I316">
        <v>12.039999961853029</v>
      </c>
      <c r="J316">
        <v>6671.81982421875</v>
      </c>
      <c r="K316">
        <v>12.52999973297119</v>
      </c>
      <c r="L316">
        <v>11.60000038146973</v>
      </c>
      <c r="M316">
        <v>6551.14990234375</v>
      </c>
      <c r="N316">
        <v>12.689999580383301</v>
      </c>
      <c r="O316">
        <v>11.72999954223633</v>
      </c>
      <c r="P316">
        <v>6603.490234375</v>
      </c>
      <c r="Q316">
        <v>94293900</v>
      </c>
      <c r="R316">
        <v>32647800</v>
      </c>
      <c r="S316">
        <v>30628230000</v>
      </c>
      <c r="W316" s="373">
        <f t="shared" si="5"/>
        <v>-7.9178375227451081E-4</v>
      </c>
      <c r="X316" s="373">
        <f t="shared" si="5"/>
        <v>8.5691763637107954E-4</v>
      </c>
      <c r="Y316" s="373">
        <f t="shared" si="5"/>
        <v>1.2160737717160197E-2</v>
      </c>
    </row>
    <row r="317" spans="1:25">
      <c r="A317" s="396">
        <v>45922</v>
      </c>
      <c r="B317">
        <v>13.079999923706049</v>
      </c>
      <c r="C317">
        <v>12.079999923706049</v>
      </c>
      <c r="D317">
        <v>6643.7001953125</v>
      </c>
      <c r="E317">
        <v>13.079999923706049</v>
      </c>
      <c r="F317">
        <v>12.079999923706049</v>
      </c>
      <c r="G317">
        <v>6643.7001953125</v>
      </c>
      <c r="H317">
        <v>13.489999771118161</v>
      </c>
      <c r="I317">
        <v>12.289999961853029</v>
      </c>
      <c r="J317">
        <v>6699.52001953125</v>
      </c>
      <c r="K317">
        <v>12.5</v>
      </c>
      <c r="L317">
        <v>11.560000419616699</v>
      </c>
      <c r="M317">
        <v>6569.22021484375</v>
      </c>
      <c r="N317">
        <v>12.52000045776367</v>
      </c>
      <c r="O317">
        <v>11.590000152587891</v>
      </c>
      <c r="P317">
        <v>6654.27978515625</v>
      </c>
      <c r="Q317">
        <v>127103800</v>
      </c>
      <c r="R317">
        <v>39290600</v>
      </c>
      <c r="S317">
        <v>27713200000</v>
      </c>
      <c r="W317" s="373">
        <f t="shared" si="5"/>
        <v>3.6450082592579314E-2</v>
      </c>
      <c r="X317" s="373">
        <f t="shared" si="5"/>
        <v>3.4246541787590346E-2</v>
      </c>
      <c r="Y317" s="373">
        <f t="shared" si="5"/>
        <v>-3.1000228667991125E-3</v>
      </c>
    </row>
    <row r="318" spans="1:25">
      <c r="A318" s="396">
        <v>45929</v>
      </c>
      <c r="B318">
        <v>12.39999961853027</v>
      </c>
      <c r="C318">
        <v>11.60999965667725</v>
      </c>
      <c r="D318">
        <v>6715.7900390625</v>
      </c>
      <c r="E318">
        <v>12.39999961853027</v>
      </c>
      <c r="F318">
        <v>11.60999965667725</v>
      </c>
      <c r="G318">
        <v>6715.7900390625</v>
      </c>
      <c r="H318">
        <v>13.13000011444092</v>
      </c>
      <c r="I318">
        <v>12.10999965667725</v>
      </c>
      <c r="J318">
        <v>6750.8701171875</v>
      </c>
      <c r="K318">
        <v>12.36999988555908</v>
      </c>
      <c r="L318">
        <v>11.560000419616699</v>
      </c>
      <c r="M318">
        <v>6641</v>
      </c>
      <c r="N318">
        <v>13.11999988555908</v>
      </c>
      <c r="O318">
        <v>12.10000038146973</v>
      </c>
      <c r="P318">
        <v>6661.580078125</v>
      </c>
      <c r="Q318">
        <v>126213800</v>
      </c>
      <c r="R318">
        <v>32758200</v>
      </c>
      <c r="S318">
        <v>28583160000</v>
      </c>
      <c r="W318" s="373">
        <f>B318/B317-1</f>
        <v>-5.1987791218817581E-2</v>
      </c>
      <c r="X318" s="373">
        <f t="shared" ref="X318:Y319" si="6">C318/C317-1</f>
        <v>-3.8907307118972834E-2</v>
      </c>
      <c r="Y318" s="373">
        <f t="shared" si="6"/>
        <v>1.0850857448513995E-2</v>
      </c>
    </row>
    <row r="319" spans="1:25">
      <c r="A319" s="396">
        <v>45936</v>
      </c>
      <c r="B319">
        <v>11.60000038146973</v>
      </c>
      <c r="C319">
        <v>10.89000034332275</v>
      </c>
      <c r="D319">
        <v>6552.509765625</v>
      </c>
      <c r="E319">
        <v>11.60000038146973</v>
      </c>
      <c r="F319">
        <v>10.89000034332275</v>
      </c>
      <c r="G319">
        <v>6552.509765625</v>
      </c>
      <c r="H319">
        <v>12.52999973297119</v>
      </c>
      <c r="I319">
        <v>11.72999954223633</v>
      </c>
      <c r="J319">
        <v>6764.580078125</v>
      </c>
      <c r="K319">
        <v>11.560000419616699</v>
      </c>
      <c r="L319">
        <v>10.875</v>
      </c>
      <c r="M319">
        <v>6550.77978515625</v>
      </c>
      <c r="N319">
        <v>12.460000038146971</v>
      </c>
      <c r="O319">
        <v>11.689999580383301</v>
      </c>
      <c r="P319">
        <v>6733.85986328125</v>
      </c>
      <c r="Q319">
        <v>144761987</v>
      </c>
      <c r="R319">
        <v>47321408</v>
      </c>
      <c r="S319">
        <v>30834404000</v>
      </c>
      <c r="W319" s="373">
        <f>B319/B318-1</f>
        <v>-6.4516069489634509E-2</v>
      </c>
      <c r="X319" s="373">
        <f t="shared" si="6"/>
        <v>-6.2015446567253441E-2</v>
      </c>
      <c r="Y319" s="373">
        <f t="shared" si="6"/>
        <v>-2.4312891333376663E-2</v>
      </c>
    </row>
    <row r="320" spans="1:25">
      <c r="W320" s="452"/>
      <c r="X320" s="453"/>
      <c r="Y320" s="453"/>
    </row>
    <row r="321" spans="23:25">
      <c r="W321" s="452"/>
      <c r="X321" s="453"/>
      <c r="Y321" s="453"/>
    </row>
    <row r="322" spans="23:25">
      <c r="W322" s="452"/>
      <c r="X322" s="453"/>
      <c r="Y322" s="453"/>
    </row>
    <row r="323" spans="23:25">
      <c r="W323" s="452"/>
      <c r="X323" s="453"/>
      <c r="Y323" s="453"/>
    </row>
    <row r="324" spans="23:25">
      <c r="W324" s="452"/>
      <c r="X324" s="453"/>
      <c r="Y324" s="453"/>
    </row>
    <row r="325" spans="23:25">
      <c r="W325" s="452"/>
      <c r="X325" s="453"/>
      <c r="Y325" s="453"/>
    </row>
    <row r="326" spans="23:25">
      <c r="W326" s="452"/>
      <c r="X326" s="453"/>
      <c r="Y326" s="453"/>
    </row>
    <row r="327" spans="23:25">
      <c r="W327" s="452"/>
      <c r="X327" s="453"/>
      <c r="Y327" s="453"/>
    </row>
    <row r="328" spans="23:25">
      <c r="W328" s="452"/>
      <c r="X328" s="453"/>
      <c r="Y328" s="453"/>
    </row>
    <row r="329" spans="23:25">
      <c r="W329" s="452"/>
      <c r="X329" s="453"/>
      <c r="Y329" s="453"/>
    </row>
    <row r="330" spans="23:25">
      <c r="W330" s="452"/>
      <c r="X330" s="453"/>
      <c r="Y330" s="453"/>
    </row>
    <row r="331" spans="23:25">
      <c r="W331" s="452"/>
      <c r="X331" s="453"/>
      <c r="Y331" s="453"/>
    </row>
    <row r="332" spans="23:25">
      <c r="W332" s="452"/>
      <c r="X332" s="453"/>
      <c r="Y332" s="453"/>
    </row>
    <row r="333" spans="23:25">
      <c r="W333" s="452"/>
      <c r="X333" s="453"/>
      <c r="Y333" s="453"/>
    </row>
    <row r="334" spans="23:25">
      <c r="W334" s="452"/>
      <c r="X334" s="453"/>
      <c r="Y334" s="453"/>
    </row>
    <row r="335" spans="23:25">
      <c r="W335" s="452"/>
      <c r="X335" s="453"/>
      <c r="Y335" s="453"/>
    </row>
    <row r="336" spans="23:25">
      <c r="W336" s="452"/>
      <c r="X336" s="453"/>
      <c r="Y336" s="453"/>
    </row>
    <row r="337" spans="23:25">
      <c r="W337" s="452"/>
      <c r="X337" s="453"/>
      <c r="Y337" s="453"/>
    </row>
    <row r="338" spans="23:25">
      <c r="W338" s="452"/>
      <c r="X338" s="453"/>
      <c r="Y338" s="453"/>
    </row>
    <row r="339" spans="23:25">
      <c r="W339" s="452"/>
      <c r="X339" s="453"/>
      <c r="Y339" s="453"/>
    </row>
    <row r="340" spans="23:25">
      <c r="W340" s="452"/>
      <c r="X340" s="453"/>
      <c r="Y340" s="453"/>
    </row>
    <row r="341" spans="23:25">
      <c r="W341" s="452"/>
      <c r="X341" s="453"/>
      <c r="Y341" s="453"/>
    </row>
    <row r="342" spans="23:25">
      <c r="W342" s="452"/>
      <c r="X342" s="453"/>
      <c r="Y342" s="453"/>
    </row>
    <row r="343" spans="23:25">
      <c r="W343" s="452"/>
      <c r="X343" s="453"/>
      <c r="Y343" s="453"/>
    </row>
    <row r="344" spans="23:25">
      <c r="W344" s="452"/>
      <c r="X344" s="453"/>
      <c r="Y344" s="453"/>
    </row>
    <row r="345" spans="23:25">
      <c r="W345" s="452"/>
      <c r="X345" s="453"/>
      <c r="Y345" s="453"/>
    </row>
    <row r="346" spans="23:25">
      <c r="W346" s="452"/>
      <c r="X346" s="453"/>
      <c r="Y346" s="453"/>
    </row>
    <row r="347" spans="23:25">
      <c r="W347" s="452"/>
      <c r="X347" s="453"/>
      <c r="Y347" s="453"/>
    </row>
    <row r="348" spans="23:25">
      <c r="W348" s="452"/>
      <c r="X348" s="453"/>
      <c r="Y348" s="453"/>
    </row>
    <row r="349" spans="23:25">
      <c r="W349" s="452"/>
      <c r="X349" s="453"/>
      <c r="Y349" s="453"/>
    </row>
    <row r="350" spans="23:25">
      <c r="W350" s="452"/>
      <c r="X350" s="453"/>
      <c r="Y350" s="453"/>
    </row>
    <row r="351" spans="23:25">
      <c r="W351" s="452"/>
      <c r="X351" s="453"/>
      <c r="Y351" s="453"/>
    </row>
    <row r="352" spans="23:25">
      <c r="W352" s="452"/>
      <c r="X352" s="453"/>
      <c r="Y352" s="453"/>
    </row>
    <row r="353" spans="23:25">
      <c r="W353" s="452"/>
      <c r="X353" s="453"/>
      <c r="Y353" s="453"/>
    </row>
    <row r="354" spans="23:25">
      <c r="W354" s="452"/>
      <c r="X354" s="453"/>
      <c r="Y354" s="453"/>
    </row>
    <row r="355" spans="23:25">
      <c r="W355" s="452"/>
      <c r="X355" s="453"/>
      <c r="Y355" s="453"/>
    </row>
    <row r="356" spans="23:25">
      <c r="W356" s="452"/>
      <c r="X356" s="453"/>
      <c r="Y356" s="453"/>
    </row>
    <row r="357" spans="23:25">
      <c r="W357" s="452"/>
      <c r="X357" s="453"/>
      <c r="Y357" s="453"/>
    </row>
    <row r="358" spans="23:25">
      <c r="W358" s="452"/>
      <c r="X358" s="453"/>
      <c r="Y358" s="453"/>
    </row>
    <row r="359" spans="23:25">
      <c r="W359" s="452"/>
      <c r="X359" s="453"/>
      <c r="Y359" s="453"/>
    </row>
    <row r="360" spans="23:25">
      <c r="W360" s="452"/>
      <c r="X360" s="453"/>
      <c r="Y360" s="453"/>
    </row>
    <row r="361" spans="23:25">
      <c r="W361" s="452"/>
      <c r="X361" s="453"/>
      <c r="Y361" s="453"/>
    </row>
    <row r="362" spans="23:25">
      <c r="W362" s="452"/>
      <c r="X362" s="453"/>
      <c r="Y362" s="453"/>
    </row>
    <row r="363" spans="23:25">
      <c r="W363" s="452"/>
      <c r="X363" s="453"/>
      <c r="Y363" s="453"/>
    </row>
    <row r="364" spans="23:25">
      <c r="W364" s="452"/>
      <c r="X364" s="453"/>
      <c r="Y364" s="453"/>
    </row>
    <row r="365" spans="23:25">
      <c r="W365" s="452"/>
      <c r="X365" s="453"/>
      <c r="Y365" s="453"/>
    </row>
    <row r="366" spans="23:25">
      <c r="W366" s="452"/>
      <c r="X366" s="453"/>
      <c r="Y366" s="453"/>
    </row>
    <row r="367" spans="23:25">
      <c r="W367" s="452"/>
      <c r="X367" s="453"/>
      <c r="Y367" s="453"/>
    </row>
    <row r="368" spans="23:25">
      <c r="W368" s="452"/>
      <c r="X368" s="453"/>
      <c r="Y368" s="453"/>
    </row>
    <row r="369" spans="23:25">
      <c r="W369" s="452"/>
      <c r="X369" s="453"/>
      <c r="Y369" s="453"/>
    </row>
    <row r="370" spans="23:25">
      <c r="W370" s="452"/>
      <c r="X370" s="453"/>
      <c r="Y370" s="453"/>
    </row>
    <row r="371" spans="23:25">
      <c r="W371" s="452"/>
      <c r="X371" s="453"/>
      <c r="Y371" s="453"/>
    </row>
    <row r="372" spans="23:25">
      <c r="W372" s="452"/>
      <c r="X372" s="453"/>
      <c r="Y372" s="453"/>
    </row>
    <row r="373" spans="23:25">
      <c r="W373" s="452"/>
      <c r="X373" s="453"/>
      <c r="Y373" s="453"/>
    </row>
    <row r="374" spans="23:25">
      <c r="W374" s="452"/>
      <c r="X374" s="453"/>
      <c r="Y374" s="453"/>
    </row>
    <row r="375" spans="23:25">
      <c r="W375" s="452"/>
      <c r="X375" s="453"/>
      <c r="Y375" s="453"/>
    </row>
    <row r="376" spans="23:25">
      <c r="W376" s="452"/>
      <c r="X376" s="453"/>
      <c r="Y376" s="453"/>
    </row>
    <row r="377" spans="23:25">
      <c r="W377" s="452"/>
      <c r="X377" s="453"/>
      <c r="Y377" s="453"/>
    </row>
    <row r="378" spans="23:25">
      <c r="W378" s="452"/>
      <c r="X378" s="453"/>
      <c r="Y378" s="453"/>
    </row>
    <row r="379" spans="23:25">
      <c r="W379" s="452"/>
      <c r="X379" s="453"/>
      <c r="Y379" s="453"/>
    </row>
    <row r="380" spans="23:25">
      <c r="W380" s="452"/>
      <c r="X380" s="453"/>
      <c r="Y380" s="453"/>
    </row>
    <row r="381" spans="23:25">
      <c r="W381" s="452"/>
      <c r="X381" s="453"/>
      <c r="Y381" s="453"/>
    </row>
    <row r="382" spans="23:25">
      <c r="W382" s="452"/>
      <c r="X382" s="453"/>
      <c r="Y382" s="453"/>
    </row>
    <row r="383" spans="23:25">
      <c r="W383" s="452"/>
      <c r="X383" s="453"/>
      <c r="Y383" s="453"/>
    </row>
    <row r="384" spans="23:25">
      <c r="W384" s="452"/>
      <c r="X384" s="453"/>
      <c r="Y384" s="453"/>
    </row>
    <row r="385" spans="23:25">
      <c r="W385" s="452"/>
      <c r="X385" s="453"/>
      <c r="Y385" s="453"/>
    </row>
    <row r="386" spans="23:25">
      <c r="W386" s="452"/>
      <c r="X386" s="453"/>
      <c r="Y386" s="453"/>
    </row>
    <row r="387" spans="23:25">
      <c r="W387" s="452"/>
      <c r="X387" s="453"/>
      <c r="Y387" s="453"/>
    </row>
    <row r="388" spans="23:25">
      <c r="W388" s="452"/>
      <c r="X388" s="453"/>
      <c r="Y388" s="453"/>
    </row>
    <row r="389" spans="23:25">
      <c r="W389" s="452"/>
      <c r="X389" s="453"/>
      <c r="Y389" s="453"/>
    </row>
    <row r="390" spans="23:25">
      <c r="W390" s="452"/>
      <c r="X390" s="453"/>
      <c r="Y390" s="453"/>
    </row>
    <row r="391" spans="23:25">
      <c r="W391" s="452"/>
      <c r="X391" s="453"/>
      <c r="Y391" s="453"/>
    </row>
    <row r="392" spans="23:25">
      <c r="W392" s="452"/>
      <c r="X392" s="453"/>
      <c r="Y392" s="453"/>
    </row>
    <row r="393" spans="23:25">
      <c r="W393" s="452"/>
      <c r="X393" s="453"/>
      <c r="Y393" s="453"/>
    </row>
    <row r="394" spans="23:25">
      <c r="W394" s="452"/>
      <c r="X394" s="453"/>
      <c r="Y394" s="453"/>
    </row>
    <row r="395" spans="23:25">
      <c r="W395" s="452"/>
      <c r="X395" s="453"/>
      <c r="Y395" s="453"/>
    </row>
    <row r="396" spans="23:25">
      <c r="W396" s="452"/>
      <c r="X396" s="453"/>
      <c r="Y396" s="453"/>
    </row>
    <row r="397" spans="23:25">
      <c r="W397" s="452"/>
      <c r="X397" s="453"/>
      <c r="Y397" s="453"/>
    </row>
    <row r="398" spans="23:25">
      <c r="W398" s="452"/>
      <c r="X398" s="453"/>
      <c r="Y398" s="453"/>
    </row>
    <row r="399" spans="23:25">
      <c r="W399" s="452"/>
      <c r="X399" s="453"/>
      <c r="Y399" s="453"/>
    </row>
    <row r="400" spans="23:25">
      <c r="W400" s="452"/>
      <c r="X400" s="453"/>
      <c r="Y400" s="453"/>
    </row>
    <row r="401" spans="23:25">
      <c r="W401" s="452"/>
      <c r="X401" s="453"/>
      <c r="Y401" s="453"/>
    </row>
    <row r="402" spans="23:25">
      <c r="W402" s="452"/>
      <c r="X402" s="453"/>
      <c r="Y402" s="453"/>
    </row>
    <row r="403" spans="23:25">
      <c r="W403" s="452"/>
      <c r="X403" s="453"/>
      <c r="Y403" s="453"/>
    </row>
    <row r="404" spans="23:25">
      <c r="W404" s="452"/>
      <c r="X404" s="453"/>
      <c r="Y404" s="453"/>
    </row>
    <row r="405" spans="23:25">
      <c r="W405" s="452"/>
      <c r="X405" s="453"/>
      <c r="Y405" s="453"/>
    </row>
    <row r="406" spans="23:25">
      <c r="W406" s="452"/>
      <c r="X406" s="453"/>
      <c r="Y406" s="453"/>
    </row>
    <row r="407" spans="23:25">
      <c r="W407" s="452"/>
      <c r="X407" s="453"/>
      <c r="Y407" s="453"/>
    </row>
    <row r="408" spans="23:25">
      <c r="W408" s="452"/>
      <c r="X408" s="453"/>
      <c r="Y408" s="453"/>
    </row>
    <row r="409" spans="23:25">
      <c r="W409" s="452"/>
      <c r="X409" s="453"/>
      <c r="Y409" s="453"/>
    </row>
    <row r="410" spans="23:25">
      <c r="W410" s="452"/>
      <c r="X410" s="453"/>
      <c r="Y410" s="453"/>
    </row>
    <row r="411" spans="23:25">
      <c r="W411" s="452"/>
      <c r="X411" s="453"/>
      <c r="Y411" s="453"/>
    </row>
    <row r="412" spans="23:25">
      <c r="W412" s="452"/>
      <c r="X412" s="453"/>
      <c r="Y412" s="453"/>
    </row>
    <row r="413" spans="23:25">
      <c r="W413" s="452"/>
      <c r="X413" s="453"/>
      <c r="Y413" s="453"/>
    </row>
    <row r="414" spans="23:25">
      <c r="W414" s="452"/>
      <c r="X414" s="453"/>
      <c r="Y414" s="453"/>
    </row>
    <row r="415" spans="23:25">
      <c r="W415" s="452"/>
      <c r="X415" s="453"/>
      <c r="Y415" s="453"/>
    </row>
    <row r="416" spans="23:25">
      <c r="W416" s="452"/>
      <c r="X416" s="453"/>
      <c r="Y416" s="453"/>
    </row>
    <row r="417" spans="23:25">
      <c r="W417" s="452"/>
      <c r="X417" s="453"/>
      <c r="Y417" s="453"/>
    </row>
    <row r="418" spans="23:25">
      <c r="W418" s="452"/>
      <c r="X418" s="453"/>
      <c r="Y418" s="453"/>
    </row>
    <row r="419" spans="23:25">
      <c r="W419" s="452"/>
      <c r="X419" s="453"/>
      <c r="Y419" s="453"/>
    </row>
    <row r="420" spans="23:25">
      <c r="W420" s="452"/>
      <c r="X420" s="453"/>
      <c r="Y420" s="453"/>
    </row>
    <row r="421" spans="23:25">
      <c r="W421" s="452"/>
      <c r="X421" s="453"/>
      <c r="Y421" s="453"/>
    </row>
    <row r="422" spans="23:25">
      <c r="W422" s="452"/>
      <c r="X422" s="453"/>
      <c r="Y422" s="453"/>
    </row>
    <row r="423" spans="23:25">
      <c r="W423" s="452"/>
      <c r="X423" s="453"/>
      <c r="Y423" s="453"/>
    </row>
    <row r="424" spans="23:25">
      <c r="W424" s="452"/>
      <c r="X424" s="453"/>
      <c r="Y424" s="453"/>
    </row>
    <row r="425" spans="23:25">
      <c r="W425" s="452"/>
      <c r="X425" s="453"/>
      <c r="Y425" s="453"/>
    </row>
    <row r="426" spans="23:25">
      <c r="W426" s="452"/>
      <c r="X426" s="453"/>
      <c r="Y426" s="453"/>
    </row>
    <row r="427" spans="23:25">
      <c r="W427" s="452"/>
      <c r="X427" s="453"/>
      <c r="Y427" s="453"/>
    </row>
    <row r="428" spans="23:25">
      <c r="W428" s="452"/>
      <c r="X428" s="453"/>
      <c r="Y428" s="453"/>
    </row>
    <row r="429" spans="23:25">
      <c r="W429" s="452"/>
      <c r="X429" s="453"/>
      <c r="Y429" s="453"/>
    </row>
    <row r="430" spans="23:25">
      <c r="W430" s="452"/>
      <c r="X430" s="453"/>
      <c r="Y430" s="453"/>
    </row>
    <row r="431" spans="23:25">
      <c r="W431" s="452"/>
      <c r="X431" s="453"/>
      <c r="Y431" s="453"/>
    </row>
    <row r="432" spans="23:25">
      <c r="W432" s="452"/>
      <c r="X432" s="453"/>
      <c r="Y432" s="453"/>
    </row>
    <row r="433" spans="23:25">
      <c r="W433" s="452"/>
      <c r="X433" s="453"/>
      <c r="Y433" s="453"/>
    </row>
    <row r="434" spans="23:25">
      <c r="W434" s="452"/>
      <c r="X434" s="453"/>
      <c r="Y434" s="453"/>
    </row>
    <row r="435" spans="23:25">
      <c r="W435" s="452"/>
      <c r="X435" s="453"/>
      <c r="Y435" s="453"/>
    </row>
    <row r="436" spans="23:25">
      <c r="W436" s="452"/>
      <c r="X436" s="453"/>
      <c r="Y436" s="453"/>
    </row>
    <row r="437" spans="23:25">
      <c r="W437" s="452"/>
      <c r="X437" s="453"/>
      <c r="Y437" s="453"/>
    </row>
    <row r="438" spans="23:25">
      <c r="W438" s="452"/>
      <c r="X438" s="453"/>
      <c r="Y438" s="453"/>
    </row>
    <row r="439" spans="23:25">
      <c r="W439" s="452"/>
      <c r="X439" s="453"/>
      <c r="Y439" s="453"/>
    </row>
    <row r="440" spans="23:25">
      <c r="W440" s="452"/>
      <c r="X440" s="453"/>
      <c r="Y440" s="453"/>
    </row>
    <row r="441" spans="23:25">
      <c r="W441" s="452"/>
      <c r="X441" s="453"/>
      <c r="Y441" s="453"/>
    </row>
    <row r="442" spans="23:25">
      <c r="W442" s="452"/>
      <c r="X442" s="453"/>
      <c r="Y442" s="453"/>
    </row>
    <row r="443" spans="23:25">
      <c r="W443" s="452"/>
      <c r="X443" s="453"/>
      <c r="Y443" s="453"/>
    </row>
    <row r="444" spans="23:25">
      <c r="W444" s="452"/>
      <c r="X444" s="453"/>
      <c r="Y444" s="453"/>
    </row>
    <row r="445" spans="23:25">
      <c r="W445" s="452"/>
      <c r="X445" s="453"/>
      <c r="Y445" s="453"/>
    </row>
    <row r="446" spans="23:25">
      <c r="W446" s="452"/>
      <c r="X446" s="453"/>
      <c r="Y446" s="453"/>
    </row>
    <row r="447" spans="23:25">
      <c r="W447" s="452"/>
      <c r="X447" s="453"/>
      <c r="Y447" s="453"/>
    </row>
    <row r="448" spans="23:25">
      <c r="W448" s="452"/>
      <c r="X448" s="453"/>
      <c r="Y448" s="453"/>
    </row>
    <row r="449" spans="23:25">
      <c r="W449" s="452"/>
      <c r="X449" s="453"/>
      <c r="Y449" s="453"/>
    </row>
    <row r="450" spans="23:25">
      <c r="W450" s="452"/>
      <c r="X450" s="453"/>
      <c r="Y450" s="453"/>
    </row>
    <row r="451" spans="23:25">
      <c r="W451" s="452"/>
      <c r="X451" s="453"/>
      <c r="Y451" s="453"/>
    </row>
    <row r="452" spans="23:25">
      <c r="W452" s="452"/>
      <c r="X452" s="453"/>
      <c r="Y452" s="453"/>
    </row>
    <row r="453" spans="23:25">
      <c r="W453" s="452"/>
      <c r="X453" s="453"/>
      <c r="Y453" s="453"/>
    </row>
    <row r="454" spans="23:25">
      <c r="W454" s="452"/>
      <c r="X454" s="453"/>
      <c r="Y454" s="453"/>
    </row>
    <row r="455" spans="23:25">
      <c r="W455" s="452"/>
      <c r="X455" s="453"/>
      <c r="Y455" s="453"/>
    </row>
    <row r="456" spans="23:25">
      <c r="W456" s="452"/>
      <c r="X456" s="453"/>
      <c r="Y456" s="453"/>
    </row>
    <row r="457" spans="23:25">
      <c r="W457" s="452"/>
      <c r="X457" s="453"/>
      <c r="Y457" s="453"/>
    </row>
    <row r="458" spans="23:25">
      <c r="W458" s="452"/>
      <c r="X458" s="453"/>
      <c r="Y458" s="453"/>
    </row>
    <row r="459" spans="23:25">
      <c r="W459" s="452"/>
      <c r="X459" s="453"/>
      <c r="Y459" s="453"/>
    </row>
    <row r="460" spans="23:25">
      <c r="W460" s="452"/>
      <c r="X460" s="453"/>
      <c r="Y460" s="453"/>
    </row>
    <row r="461" spans="23:25">
      <c r="W461" s="452"/>
      <c r="X461" s="453"/>
      <c r="Y461" s="453"/>
    </row>
    <row r="462" spans="23:25">
      <c r="W462" s="452"/>
      <c r="X462" s="453"/>
      <c r="Y462" s="453"/>
    </row>
    <row r="463" spans="23:25">
      <c r="W463" s="452"/>
      <c r="X463" s="453"/>
      <c r="Y463" s="453"/>
    </row>
    <row r="464" spans="23:25">
      <c r="W464" s="452"/>
      <c r="X464" s="453"/>
      <c r="Y464" s="453"/>
    </row>
    <row r="465" spans="23:25">
      <c r="W465" s="452"/>
      <c r="X465" s="453"/>
      <c r="Y465" s="453"/>
    </row>
    <row r="466" spans="23:25">
      <c r="W466" s="452"/>
      <c r="X466" s="453"/>
      <c r="Y466" s="453"/>
    </row>
    <row r="467" spans="23:25">
      <c r="W467" s="452"/>
      <c r="X467" s="453"/>
      <c r="Y467" s="453"/>
    </row>
    <row r="468" spans="23:25">
      <c r="W468" s="452"/>
      <c r="X468" s="453"/>
      <c r="Y468" s="453"/>
    </row>
    <row r="469" spans="23:25">
      <c r="W469" s="452"/>
      <c r="X469" s="453"/>
      <c r="Y469" s="453"/>
    </row>
    <row r="470" spans="23:25">
      <c r="W470" s="452"/>
      <c r="X470" s="453"/>
      <c r="Y470" s="453"/>
    </row>
    <row r="471" spans="23:25">
      <c r="W471" s="452"/>
      <c r="X471" s="453"/>
      <c r="Y471" s="453"/>
    </row>
    <row r="472" spans="23:25">
      <c r="W472" s="452"/>
      <c r="X472" s="453"/>
      <c r="Y472" s="453"/>
    </row>
    <row r="473" spans="23:25">
      <c r="W473" s="452"/>
      <c r="X473" s="453"/>
      <c r="Y473" s="453"/>
    </row>
    <row r="474" spans="23:25">
      <c r="W474" s="452"/>
      <c r="X474" s="453"/>
      <c r="Y474" s="453"/>
    </row>
    <row r="475" spans="23:25">
      <c r="W475" s="452"/>
      <c r="X475" s="453"/>
      <c r="Y475" s="453"/>
    </row>
    <row r="476" spans="23:25">
      <c r="W476" s="452"/>
      <c r="X476" s="453"/>
      <c r="Y476" s="453"/>
    </row>
    <row r="477" spans="23:25">
      <c r="W477" s="452"/>
      <c r="X477" s="453"/>
      <c r="Y477" s="453"/>
    </row>
    <row r="478" spans="23:25">
      <c r="W478" s="452"/>
      <c r="X478" s="453"/>
      <c r="Y478" s="453"/>
    </row>
    <row r="479" spans="23:25">
      <c r="W479" s="452"/>
      <c r="X479" s="453"/>
      <c r="Y479" s="453"/>
    </row>
    <row r="480" spans="23:25">
      <c r="W480" s="452"/>
      <c r="X480" s="453"/>
      <c r="Y480" s="453"/>
    </row>
    <row r="481" spans="23:25">
      <c r="W481" s="452"/>
      <c r="X481" s="453"/>
      <c r="Y481" s="453"/>
    </row>
    <row r="482" spans="23:25">
      <c r="W482" s="452"/>
      <c r="X482" s="453"/>
      <c r="Y482" s="453"/>
    </row>
    <row r="483" spans="23:25">
      <c r="W483" s="452"/>
      <c r="X483" s="453"/>
      <c r="Y483" s="453"/>
    </row>
    <row r="484" spans="23:25">
      <c r="W484" s="452"/>
      <c r="X484" s="453"/>
      <c r="Y484" s="453"/>
    </row>
    <row r="485" spans="23:25">
      <c r="W485" s="452"/>
      <c r="X485" s="453"/>
      <c r="Y485" s="453"/>
    </row>
    <row r="486" spans="23:25">
      <c r="W486" s="452"/>
      <c r="X486" s="453"/>
      <c r="Y486" s="453"/>
    </row>
    <row r="487" spans="23:25">
      <c r="W487" s="452"/>
      <c r="X487" s="453"/>
      <c r="Y487" s="453"/>
    </row>
    <row r="488" spans="23:25">
      <c r="W488" s="452"/>
      <c r="X488" s="453"/>
      <c r="Y488" s="453"/>
    </row>
    <row r="489" spans="23:25">
      <c r="W489" s="452"/>
      <c r="X489" s="453"/>
      <c r="Y489" s="453"/>
    </row>
    <row r="490" spans="23:25">
      <c r="W490" s="452"/>
      <c r="X490" s="453"/>
      <c r="Y490" s="453"/>
    </row>
    <row r="491" spans="23:25">
      <c r="W491" s="452"/>
      <c r="X491" s="453"/>
      <c r="Y491" s="453"/>
    </row>
    <row r="492" spans="23:25">
      <c r="W492" s="452"/>
      <c r="X492" s="453"/>
      <c r="Y492" s="453"/>
    </row>
    <row r="493" spans="23:25">
      <c r="W493" s="452"/>
      <c r="X493" s="453"/>
      <c r="Y493" s="453"/>
    </row>
    <row r="494" spans="23:25">
      <c r="W494" s="452"/>
      <c r="X494" s="453"/>
      <c r="Y494" s="453"/>
    </row>
    <row r="495" spans="23:25">
      <c r="W495" s="452"/>
      <c r="X495" s="453"/>
      <c r="Y495" s="453"/>
    </row>
    <row r="496" spans="23:25">
      <c r="W496" s="452"/>
      <c r="X496" s="453"/>
      <c r="Y496" s="453"/>
    </row>
    <row r="497" spans="23:25">
      <c r="W497" s="452"/>
      <c r="X497" s="453"/>
      <c r="Y497" s="453"/>
    </row>
    <row r="498" spans="23:25">
      <c r="W498" s="452"/>
      <c r="X498" s="453"/>
      <c r="Y498" s="453"/>
    </row>
    <row r="499" spans="23:25">
      <c r="W499" s="452"/>
      <c r="X499" s="453"/>
      <c r="Y499" s="453"/>
    </row>
    <row r="500" spans="23:25">
      <c r="W500" s="452"/>
      <c r="X500" s="453"/>
      <c r="Y500" s="453"/>
    </row>
    <row r="501" spans="23:25">
      <c r="W501" s="452"/>
      <c r="X501" s="453"/>
      <c r="Y501" s="453"/>
    </row>
    <row r="502" spans="23:25">
      <c r="W502" s="452"/>
      <c r="X502" s="453"/>
      <c r="Y502" s="453"/>
    </row>
    <row r="503" spans="23:25">
      <c r="W503" s="452"/>
      <c r="X503" s="453"/>
      <c r="Y503" s="453"/>
    </row>
    <row r="504" spans="23:25">
      <c r="W504" s="452"/>
      <c r="X504" s="453"/>
      <c r="Y504" s="453"/>
    </row>
    <row r="505" spans="23:25">
      <c r="W505" s="452"/>
      <c r="X505" s="453"/>
      <c r="Y505" s="453"/>
    </row>
    <row r="506" spans="23:25">
      <c r="W506" s="452"/>
      <c r="X506" s="453"/>
      <c r="Y506" s="453"/>
    </row>
    <row r="507" spans="23:25">
      <c r="W507" s="452"/>
      <c r="X507" s="453"/>
      <c r="Y507" s="453"/>
    </row>
    <row r="508" spans="23:25">
      <c r="W508" s="452"/>
      <c r="X508" s="453"/>
      <c r="Y508" s="453"/>
    </row>
    <row r="509" spans="23:25">
      <c r="W509" s="452"/>
      <c r="X509" s="453"/>
      <c r="Y509" s="453"/>
    </row>
    <row r="510" spans="23:25">
      <c r="W510" s="452"/>
      <c r="X510" s="453"/>
      <c r="Y510" s="453"/>
    </row>
    <row r="511" spans="23:25">
      <c r="W511" s="452"/>
      <c r="X511" s="453"/>
      <c r="Y511" s="453"/>
    </row>
    <row r="512" spans="23:25">
      <c r="W512" s="452"/>
      <c r="X512" s="453"/>
      <c r="Y512" s="453"/>
    </row>
    <row r="513" spans="23:25">
      <c r="W513" s="452"/>
      <c r="X513" s="453"/>
      <c r="Y513" s="453"/>
    </row>
    <row r="514" spans="23:25">
      <c r="W514" s="452"/>
      <c r="X514" s="453"/>
      <c r="Y514" s="453"/>
    </row>
    <row r="515" spans="23:25">
      <c r="W515" s="452"/>
      <c r="X515" s="453"/>
      <c r="Y515" s="453"/>
    </row>
    <row r="516" spans="23:25">
      <c r="W516" s="452"/>
      <c r="X516" s="453"/>
      <c r="Y516" s="453"/>
    </row>
    <row r="517" spans="23:25">
      <c r="W517" s="452"/>
      <c r="X517" s="453"/>
      <c r="Y517" s="453"/>
    </row>
    <row r="518" spans="23:25">
      <c r="W518" s="452"/>
      <c r="X518" s="453"/>
      <c r="Y518" s="453"/>
    </row>
    <row r="519" spans="23:25">
      <c r="W519" s="452"/>
      <c r="X519" s="453"/>
      <c r="Y519" s="453"/>
    </row>
    <row r="520" spans="23:25">
      <c r="W520" s="452"/>
      <c r="X520" s="453"/>
      <c r="Y520" s="453"/>
    </row>
    <row r="521" spans="23:25">
      <c r="W521" s="452"/>
      <c r="X521" s="453"/>
      <c r="Y521" s="453"/>
    </row>
    <row r="522" spans="23:25">
      <c r="W522" s="452"/>
      <c r="X522" s="453"/>
      <c r="Y522" s="453"/>
    </row>
    <row r="523" spans="23:25">
      <c r="W523" s="452"/>
      <c r="X523" s="453"/>
      <c r="Y523" s="453"/>
    </row>
    <row r="524" spans="23:25">
      <c r="W524" s="452"/>
      <c r="X524" s="453"/>
      <c r="Y524" s="453"/>
    </row>
    <row r="525" spans="23:25">
      <c r="W525" s="452"/>
      <c r="X525" s="453"/>
      <c r="Y525" s="453"/>
    </row>
    <row r="526" spans="23:25">
      <c r="W526" s="452"/>
      <c r="X526" s="453"/>
      <c r="Y526" s="453"/>
    </row>
    <row r="527" spans="23:25">
      <c r="W527" s="452"/>
      <c r="X527" s="453"/>
      <c r="Y527" s="453"/>
    </row>
    <row r="528" spans="23:25">
      <c r="W528" s="452"/>
      <c r="X528" s="453"/>
      <c r="Y528" s="453"/>
    </row>
    <row r="529" spans="23:25">
      <c r="W529" s="452"/>
      <c r="X529" s="453"/>
      <c r="Y529" s="453"/>
    </row>
    <row r="530" spans="23:25">
      <c r="W530" s="452"/>
      <c r="X530" s="453"/>
      <c r="Y530" s="453"/>
    </row>
    <row r="531" spans="23:25">
      <c r="W531" s="452"/>
      <c r="X531" s="453"/>
      <c r="Y531" s="453"/>
    </row>
    <row r="532" spans="23:25">
      <c r="W532" s="452"/>
      <c r="X532" s="453"/>
      <c r="Y532" s="453"/>
    </row>
    <row r="533" spans="23:25">
      <c r="W533" s="452"/>
      <c r="X533" s="453"/>
      <c r="Y533" s="453"/>
    </row>
    <row r="534" spans="23:25">
      <c r="W534" s="452"/>
      <c r="X534" s="453"/>
      <c r="Y534" s="453"/>
    </row>
    <row r="535" spans="23:25">
      <c r="W535" s="452"/>
      <c r="X535" s="453"/>
      <c r="Y535" s="453"/>
    </row>
    <row r="536" spans="23:25">
      <c r="W536" s="452"/>
      <c r="X536" s="453"/>
      <c r="Y536" s="453"/>
    </row>
    <row r="537" spans="23:25">
      <c r="W537" s="452"/>
      <c r="X537" s="453"/>
      <c r="Y537" s="453"/>
    </row>
    <row r="538" spans="23:25">
      <c r="W538" s="452"/>
      <c r="X538" s="453"/>
      <c r="Y538" s="453"/>
    </row>
    <row r="539" spans="23:25">
      <c r="W539" s="452"/>
      <c r="X539" s="453"/>
      <c r="Y539" s="453"/>
    </row>
    <row r="540" spans="23:25">
      <c r="W540" s="452"/>
      <c r="X540" s="453"/>
      <c r="Y540" s="453"/>
    </row>
    <row r="541" spans="23:25">
      <c r="W541" s="452"/>
      <c r="X541" s="453"/>
      <c r="Y541" s="453"/>
    </row>
    <row r="542" spans="23:25">
      <c r="W542" s="452"/>
      <c r="X542" s="453"/>
      <c r="Y542" s="453"/>
    </row>
    <row r="543" spans="23:25">
      <c r="W543" s="452"/>
      <c r="X543" s="453"/>
      <c r="Y543" s="453"/>
    </row>
    <row r="544" spans="23:25">
      <c r="W544" s="452"/>
      <c r="X544" s="453"/>
      <c r="Y544" s="453"/>
    </row>
    <row r="545" spans="23:25">
      <c r="W545" s="452"/>
      <c r="X545" s="453"/>
      <c r="Y545" s="453"/>
    </row>
    <row r="546" spans="23:25">
      <c r="W546" s="452"/>
      <c r="X546" s="453"/>
      <c r="Y546" s="453"/>
    </row>
    <row r="547" spans="23:25">
      <c r="W547" s="452"/>
      <c r="X547" s="453"/>
      <c r="Y547" s="453"/>
    </row>
    <row r="548" spans="23:25">
      <c r="W548" s="452"/>
      <c r="X548" s="453"/>
      <c r="Y548" s="453"/>
    </row>
    <row r="549" spans="23:25">
      <c r="W549" s="452"/>
      <c r="X549" s="453"/>
      <c r="Y549" s="453"/>
    </row>
    <row r="550" spans="23:25">
      <c r="W550" s="452"/>
      <c r="X550" s="453"/>
      <c r="Y550" s="453"/>
    </row>
    <row r="551" spans="23:25">
      <c r="W551" s="452"/>
      <c r="X551" s="453"/>
      <c r="Y551" s="453"/>
    </row>
    <row r="552" spans="23:25">
      <c r="W552" s="452"/>
      <c r="X552" s="453"/>
      <c r="Y552" s="453"/>
    </row>
    <row r="553" spans="23:25">
      <c r="W553" s="452"/>
      <c r="X553" s="453"/>
      <c r="Y553" s="453"/>
    </row>
    <row r="554" spans="23:25">
      <c r="W554" s="452"/>
      <c r="X554" s="453"/>
      <c r="Y554" s="453"/>
    </row>
    <row r="555" spans="23:25">
      <c r="W555" s="452"/>
      <c r="X555" s="453"/>
      <c r="Y555" s="453"/>
    </row>
    <row r="556" spans="23:25">
      <c r="W556" s="452"/>
      <c r="X556" s="453"/>
      <c r="Y556" s="453"/>
    </row>
    <row r="557" spans="23:25">
      <c r="W557" s="452"/>
      <c r="X557" s="453"/>
      <c r="Y557" s="453"/>
    </row>
    <row r="558" spans="23:25">
      <c r="W558" s="452"/>
      <c r="X558" s="453"/>
      <c r="Y558" s="453"/>
    </row>
    <row r="559" spans="23:25">
      <c r="W559" s="452"/>
      <c r="X559" s="453"/>
      <c r="Y559" s="453"/>
    </row>
    <row r="560" spans="23:25">
      <c r="W560" s="452"/>
      <c r="X560" s="453"/>
      <c r="Y560" s="453"/>
    </row>
    <row r="561" spans="23:25">
      <c r="W561" s="452"/>
      <c r="X561" s="453"/>
      <c r="Y561" s="453"/>
    </row>
    <row r="562" spans="23:25">
      <c r="W562" s="452"/>
      <c r="X562" s="453"/>
      <c r="Y562" s="453"/>
    </row>
    <row r="563" spans="23:25">
      <c r="W563" s="452"/>
      <c r="X563" s="453"/>
      <c r="Y563" s="453"/>
    </row>
    <row r="564" spans="23:25">
      <c r="W564" s="452"/>
      <c r="X564" s="453"/>
      <c r="Y564" s="453"/>
    </row>
    <row r="565" spans="23:25">
      <c r="W565" s="452"/>
      <c r="X565" s="453"/>
      <c r="Y565" s="453"/>
    </row>
    <row r="566" spans="23:25">
      <c r="W566" s="452"/>
      <c r="X566" s="453"/>
      <c r="Y566" s="453"/>
    </row>
    <row r="567" spans="23:25">
      <c r="W567" s="452"/>
      <c r="X567" s="453"/>
      <c r="Y567" s="453"/>
    </row>
    <row r="568" spans="23:25">
      <c r="W568" s="452"/>
      <c r="X568" s="453"/>
      <c r="Y568" s="453"/>
    </row>
    <row r="569" spans="23:25">
      <c r="W569" s="452"/>
      <c r="X569" s="453"/>
      <c r="Y569" s="453"/>
    </row>
    <row r="570" spans="23:25">
      <c r="W570" s="452"/>
      <c r="X570" s="453"/>
      <c r="Y570" s="453"/>
    </row>
    <row r="571" spans="23:25">
      <c r="W571" s="452"/>
      <c r="X571" s="453"/>
      <c r="Y571" s="453"/>
    </row>
    <row r="572" spans="23:25">
      <c r="W572" s="452"/>
      <c r="X572" s="453"/>
      <c r="Y572" s="453"/>
    </row>
    <row r="573" spans="23:25">
      <c r="W573" s="452"/>
      <c r="X573" s="453"/>
      <c r="Y573" s="453"/>
    </row>
    <row r="574" spans="23:25">
      <c r="W574" s="452"/>
      <c r="X574" s="453"/>
      <c r="Y574" s="453"/>
    </row>
    <row r="575" spans="23:25">
      <c r="W575" s="452"/>
      <c r="X575" s="453"/>
      <c r="Y575" s="453"/>
    </row>
    <row r="576" spans="23:25">
      <c r="W576" s="452"/>
      <c r="X576" s="453"/>
      <c r="Y576" s="453"/>
    </row>
    <row r="577" spans="23:25">
      <c r="W577" s="452"/>
      <c r="X577" s="453"/>
      <c r="Y577" s="453"/>
    </row>
    <row r="578" spans="23:25">
      <c r="W578" s="452"/>
      <c r="X578" s="453"/>
      <c r="Y578" s="453"/>
    </row>
    <row r="579" spans="23:25">
      <c r="W579" s="452"/>
      <c r="X579" s="453"/>
      <c r="Y579" s="453"/>
    </row>
    <row r="580" spans="23:25">
      <c r="W580" s="452"/>
      <c r="X580" s="453"/>
      <c r="Y580" s="453"/>
    </row>
    <row r="581" spans="23:25">
      <c r="W581" s="452"/>
      <c r="X581" s="453"/>
      <c r="Y581" s="453"/>
    </row>
    <row r="582" spans="23:25">
      <c r="W582" s="452"/>
      <c r="X582" s="453"/>
      <c r="Y582" s="453"/>
    </row>
    <row r="583" spans="23:25">
      <c r="W583" s="452"/>
      <c r="X583" s="453"/>
      <c r="Y583" s="453"/>
    </row>
    <row r="584" spans="23:25">
      <c r="W584" s="452"/>
      <c r="X584" s="453"/>
      <c r="Y584" s="453"/>
    </row>
    <row r="585" spans="23:25">
      <c r="W585" s="452"/>
      <c r="X585" s="453"/>
      <c r="Y585" s="453"/>
    </row>
    <row r="586" spans="23:25">
      <c r="W586" s="452"/>
      <c r="X586" s="453"/>
      <c r="Y586" s="453"/>
    </row>
    <row r="587" spans="23:25">
      <c r="W587" s="452"/>
      <c r="X587" s="453"/>
      <c r="Y587" s="453"/>
    </row>
    <row r="588" spans="23:25">
      <c r="W588" s="452"/>
      <c r="X588" s="453"/>
      <c r="Y588" s="453"/>
    </row>
    <row r="589" spans="23:25">
      <c r="W589" s="452"/>
      <c r="X589" s="453"/>
      <c r="Y589" s="453"/>
    </row>
    <row r="590" spans="23:25">
      <c r="W590" s="452"/>
      <c r="X590" s="453"/>
      <c r="Y590" s="453"/>
    </row>
    <row r="591" spans="23:25">
      <c r="W591" s="452"/>
      <c r="X591" s="453"/>
      <c r="Y591" s="453"/>
    </row>
    <row r="592" spans="23:25">
      <c r="W592" s="452"/>
      <c r="X592" s="453"/>
      <c r="Y592" s="453"/>
    </row>
    <row r="593" spans="23:25">
      <c r="W593" s="452"/>
      <c r="X593" s="453"/>
      <c r="Y593" s="453"/>
    </row>
    <row r="594" spans="23:25">
      <c r="W594" s="452"/>
      <c r="X594" s="453"/>
      <c r="Y594" s="453"/>
    </row>
    <row r="595" spans="23:25">
      <c r="W595" s="452"/>
      <c r="X595" s="453"/>
      <c r="Y595" s="453"/>
    </row>
    <row r="596" spans="23:25">
      <c r="W596" s="452"/>
      <c r="X596" s="453"/>
      <c r="Y596" s="453"/>
    </row>
    <row r="597" spans="23:25">
      <c r="W597" s="452"/>
      <c r="X597" s="453"/>
      <c r="Y597" s="453"/>
    </row>
    <row r="598" spans="23:25">
      <c r="W598" s="452"/>
      <c r="X598" s="453"/>
      <c r="Y598" s="453"/>
    </row>
    <row r="599" spans="23:25">
      <c r="W599" s="452"/>
      <c r="X599" s="453"/>
      <c r="Y599" s="453"/>
    </row>
    <row r="600" spans="23:25">
      <c r="W600" s="452"/>
      <c r="X600" s="453"/>
      <c r="Y600" s="453"/>
    </row>
    <row r="601" spans="23:25">
      <c r="W601" s="452"/>
      <c r="X601" s="453"/>
      <c r="Y601" s="453"/>
    </row>
    <row r="602" spans="23:25">
      <c r="W602" s="452"/>
      <c r="X602" s="453"/>
      <c r="Y602" s="453"/>
    </row>
    <row r="603" spans="23:25">
      <c r="W603" s="452"/>
      <c r="X603" s="453"/>
      <c r="Y603" s="453"/>
    </row>
    <row r="604" spans="23:25">
      <c r="W604" s="452"/>
      <c r="X604" s="453"/>
      <c r="Y604" s="453"/>
    </row>
    <row r="605" spans="23:25">
      <c r="W605" s="452"/>
      <c r="X605" s="453"/>
      <c r="Y605" s="453"/>
    </row>
    <row r="606" spans="23:25">
      <c r="W606" s="452"/>
      <c r="X606" s="453"/>
      <c r="Y606" s="453"/>
    </row>
    <row r="607" spans="23:25">
      <c r="W607" s="452"/>
      <c r="X607" s="453"/>
      <c r="Y607" s="453"/>
    </row>
    <row r="608" spans="23:25">
      <c r="W608" s="452"/>
      <c r="X608" s="453"/>
      <c r="Y608" s="453"/>
    </row>
    <row r="609" spans="23:25">
      <c r="W609" s="452"/>
      <c r="X609" s="453"/>
      <c r="Y609" s="453"/>
    </row>
    <row r="610" spans="23:25">
      <c r="W610" s="452"/>
      <c r="X610" s="453"/>
      <c r="Y610" s="453"/>
    </row>
    <row r="611" spans="23:25">
      <c r="W611" s="452"/>
      <c r="X611" s="453"/>
      <c r="Y611" s="453"/>
    </row>
    <row r="612" spans="23:25">
      <c r="W612" s="452"/>
      <c r="X612" s="453"/>
      <c r="Y612" s="453"/>
    </row>
    <row r="613" spans="23:25">
      <c r="W613" s="452"/>
      <c r="X613" s="453"/>
      <c r="Y613" s="453"/>
    </row>
    <row r="614" spans="23:25">
      <c r="W614" s="452"/>
      <c r="X614" s="453"/>
      <c r="Y614" s="453"/>
    </row>
    <row r="615" spans="23:25">
      <c r="W615" s="452"/>
      <c r="X615" s="453"/>
      <c r="Y615" s="453"/>
    </row>
    <row r="616" spans="23:25">
      <c r="W616" s="452"/>
      <c r="X616" s="453"/>
      <c r="Y616" s="453"/>
    </row>
    <row r="617" spans="23:25">
      <c r="W617" s="452"/>
      <c r="X617" s="453"/>
      <c r="Y617" s="453"/>
    </row>
    <row r="618" spans="23:25">
      <c r="W618" s="452"/>
      <c r="X618" s="453"/>
      <c r="Y618" s="453"/>
    </row>
    <row r="619" spans="23:25">
      <c r="W619" s="452"/>
      <c r="X619" s="453"/>
      <c r="Y619" s="453"/>
    </row>
    <row r="620" spans="23:25">
      <c r="W620" s="452"/>
      <c r="X620" s="453"/>
      <c r="Y620" s="453"/>
    </row>
    <row r="621" spans="23:25">
      <c r="W621" s="452"/>
      <c r="X621" s="453"/>
      <c r="Y621" s="453"/>
    </row>
    <row r="622" spans="23:25">
      <c r="W622" s="452"/>
      <c r="X622" s="453"/>
      <c r="Y622" s="453"/>
    </row>
    <row r="623" spans="23:25">
      <c r="W623" s="452"/>
      <c r="X623" s="453"/>
      <c r="Y623" s="453"/>
    </row>
    <row r="624" spans="23:25">
      <c r="W624" s="452"/>
      <c r="X624" s="453"/>
      <c r="Y624" s="453"/>
    </row>
    <row r="625" spans="23:25">
      <c r="W625" s="452"/>
      <c r="X625" s="453"/>
      <c r="Y625" s="453"/>
    </row>
    <row r="626" spans="23:25">
      <c r="W626" s="452"/>
      <c r="X626" s="453"/>
      <c r="Y626" s="453"/>
    </row>
    <row r="627" spans="23:25">
      <c r="W627" s="452"/>
      <c r="X627" s="453"/>
      <c r="Y627" s="453"/>
    </row>
    <row r="628" spans="23:25">
      <c r="W628" s="452"/>
      <c r="X628" s="453"/>
      <c r="Y628" s="453"/>
    </row>
    <row r="629" spans="23:25">
      <c r="W629" s="452"/>
      <c r="X629" s="453"/>
      <c r="Y629" s="453"/>
    </row>
    <row r="630" spans="23:25">
      <c r="W630" s="452"/>
      <c r="X630" s="453"/>
      <c r="Y630" s="453"/>
    </row>
    <row r="631" spans="23:25">
      <c r="W631" s="452"/>
      <c r="X631" s="453"/>
      <c r="Y631" s="453"/>
    </row>
    <row r="632" spans="23:25">
      <c r="W632" s="452"/>
      <c r="X632" s="453"/>
      <c r="Y632" s="453"/>
    </row>
    <row r="633" spans="23:25">
      <c r="W633" s="452"/>
      <c r="X633" s="453"/>
      <c r="Y633" s="453"/>
    </row>
    <row r="634" spans="23:25">
      <c r="W634" s="452"/>
      <c r="X634" s="453"/>
      <c r="Y634" s="453"/>
    </row>
    <row r="635" spans="23:25">
      <c r="W635" s="452"/>
      <c r="X635" s="453"/>
      <c r="Y635" s="453"/>
    </row>
    <row r="636" spans="23:25">
      <c r="W636" s="452"/>
      <c r="X636" s="453"/>
      <c r="Y636" s="453"/>
    </row>
    <row r="637" spans="23:25">
      <c r="W637" s="452"/>
      <c r="X637" s="453"/>
      <c r="Y637" s="453"/>
    </row>
    <row r="638" spans="23:25">
      <c r="W638" s="452"/>
      <c r="X638" s="453"/>
      <c r="Y638" s="453"/>
    </row>
    <row r="639" spans="23:25">
      <c r="W639" s="452"/>
      <c r="X639" s="453"/>
      <c r="Y639" s="453"/>
    </row>
    <row r="640" spans="23:25">
      <c r="W640" s="452"/>
      <c r="X640" s="453"/>
      <c r="Y640" s="453"/>
    </row>
    <row r="641" spans="23:25">
      <c r="W641" s="452"/>
      <c r="X641" s="453"/>
      <c r="Y641" s="453"/>
    </row>
    <row r="642" spans="23:25">
      <c r="W642" s="452"/>
      <c r="X642" s="453"/>
      <c r="Y642" s="453"/>
    </row>
    <row r="643" spans="23:25">
      <c r="W643" s="452"/>
      <c r="X643" s="453"/>
      <c r="Y643" s="453"/>
    </row>
    <row r="644" spans="23:25">
      <c r="W644" s="452"/>
      <c r="X644" s="453"/>
      <c r="Y644" s="453"/>
    </row>
    <row r="645" spans="23:25">
      <c r="W645" s="452"/>
      <c r="X645" s="453"/>
      <c r="Y645" s="453"/>
    </row>
    <row r="646" spans="23:25">
      <c r="W646" s="452"/>
      <c r="X646" s="453"/>
      <c r="Y646" s="453"/>
    </row>
    <row r="647" spans="23:25">
      <c r="W647" s="452"/>
      <c r="X647" s="453"/>
      <c r="Y647" s="453"/>
    </row>
    <row r="648" spans="23:25">
      <c r="W648" s="452"/>
      <c r="X648" s="453"/>
      <c r="Y648" s="453"/>
    </row>
    <row r="649" spans="23:25">
      <c r="W649" s="452"/>
      <c r="X649" s="453"/>
      <c r="Y649" s="453"/>
    </row>
    <row r="650" spans="23:25">
      <c r="W650" s="452"/>
      <c r="X650" s="453"/>
      <c r="Y650" s="453"/>
    </row>
    <row r="651" spans="23:25">
      <c r="W651" s="452"/>
      <c r="X651" s="453"/>
      <c r="Y651" s="453"/>
    </row>
    <row r="652" spans="23:25">
      <c r="W652" s="452"/>
      <c r="X652" s="453"/>
      <c r="Y652" s="453"/>
    </row>
    <row r="653" spans="23:25">
      <c r="W653" s="452"/>
      <c r="X653" s="453"/>
      <c r="Y653" s="453"/>
    </row>
    <row r="654" spans="23:25">
      <c r="W654" s="452"/>
      <c r="X654" s="453"/>
      <c r="Y654" s="453"/>
    </row>
    <row r="655" spans="23:25">
      <c r="W655" s="452"/>
      <c r="X655" s="453"/>
      <c r="Y655" s="453"/>
    </row>
    <row r="656" spans="23:25">
      <c r="W656" s="452"/>
      <c r="X656" s="453"/>
      <c r="Y656" s="453"/>
    </row>
    <row r="657" spans="23:25">
      <c r="W657" s="452"/>
      <c r="X657" s="453"/>
      <c r="Y657" s="453"/>
    </row>
    <row r="658" spans="23:25">
      <c r="W658" s="452"/>
      <c r="X658" s="453"/>
      <c r="Y658" s="453"/>
    </row>
    <row r="659" spans="23:25">
      <c r="W659" s="452"/>
      <c r="X659" s="453"/>
      <c r="Y659" s="453"/>
    </row>
    <row r="660" spans="23:25">
      <c r="W660" s="452"/>
      <c r="X660" s="453"/>
      <c r="Y660" s="453"/>
    </row>
    <row r="661" spans="23:25">
      <c r="W661" s="452"/>
      <c r="X661" s="453"/>
      <c r="Y661" s="453"/>
    </row>
    <row r="662" spans="23:25">
      <c r="W662" s="452"/>
      <c r="X662" s="453"/>
      <c r="Y662" s="453"/>
    </row>
    <row r="663" spans="23:25">
      <c r="W663" s="452"/>
      <c r="X663" s="453"/>
      <c r="Y663" s="453"/>
    </row>
    <row r="664" spans="23:25">
      <c r="W664" s="452"/>
      <c r="X664" s="453"/>
      <c r="Y664" s="453"/>
    </row>
    <row r="665" spans="23:25">
      <c r="W665" s="452"/>
      <c r="X665" s="453"/>
      <c r="Y665" s="453"/>
    </row>
    <row r="666" spans="23:25">
      <c r="W666" s="452"/>
      <c r="X666" s="453"/>
      <c r="Y666" s="453"/>
    </row>
    <row r="667" spans="23:25">
      <c r="W667" s="452"/>
      <c r="X667" s="453"/>
      <c r="Y667" s="453"/>
    </row>
    <row r="668" spans="23:25">
      <c r="W668" s="452"/>
      <c r="X668" s="453"/>
      <c r="Y668" s="453"/>
    </row>
    <row r="669" spans="23:25">
      <c r="W669" s="452"/>
      <c r="X669" s="453"/>
      <c r="Y669" s="453"/>
    </row>
    <row r="670" spans="23:25">
      <c r="W670" s="452"/>
      <c r="X670" s="453"/>
      <c r="Y670" s="453"/>
    </row>
    <row r="671" spans="23:25">
      <c r="W671" s="452"/>
      <c r="X671" s="453"/>
      <c r="Y671" s="453"/>
    </row>
    <row r="672" spans="23:25">
      <c r="W672" s="452"/>
      <c r="X672" s="453"/>
      <c r="Y672" s="453"/>
    </row>
    <row r="673" spans="23:25">
      <c r="W673" s="452"/>
      <c r="X673" s="453"/>
      <c r="Y673" s="453"/>
    </row>
    <row r="674" spans="23:25">
      <c r="W674" s="452"/>
      <c r="X674" s="453"/>
      <c r="Y674" s="453"/>
    </row>
    <row r="675" spans="23:25">
      <c r="W675" s="452"/>
      <c r="X675" s="453"/>
      <c r="Y675" s="453"/>
    </row>
    <row r="676" spans="23:25">
      <c r="W676" s="452"/>
      <c r="X676" s="453"/>
      <c r="Y676" s="453"/>
    </row>
    <row r="677" spans="23:25">
      <c r="W677" s="452"/>
      <c r="X677" s="453"/>
      <c r="Y677" s="453"/>
    </row>
    <row r="678" spans="23:25">
      <c r="W678" s="452"/>
      <c r="X678" s="453"/>
      <c r="Y678" s="453"/>
    </row>
    <row r="679" spans="23:25">
      <c r="W679" s="452"/>
      <c r="X679" s="453"/>
      <c r="Y679" s="453"/>
    </row>
    <row r="680" spans="23:25">
      <c r="W680" s="452"/>
      <c r="X680" s="453"/>
      <c r="Y680" s="453"/>
    </row>
    <row r="681" spans="23:25">
      <c r="W681" s="452"/>
      <c r="X681" s="453"/>
      <c r="Y681" s="453"/>
    </row>
    <row r="682" spans="23:25">
      <c r="W682" s="452"/>
      <c r="X682" s="453"/>
      <c r="Y682" s="453"/>
    </row>
    <row r="683" spans="23:25">
      <c r="W683" s="452"/>
      <c r="X683" s="453"/>
      <c r="Y683" s="453"/>
    </row>
    <row r="684" spans="23:25">
      <c r="W684" s="452"/>
      <c r="X684" s="453"/>
      <c r="Y684" s="453"/>
    </row>
    <row r="685" spans="23:25">
      <c r="W685" s="452"/>
      <c r="X685" s="453"/>
      <c r="Y685" s="453"/>
    </row>
    <row r="686" spans="23:25">
      <c r="W686" s="452"/>
      <c r="X686" s="453"/>
      <c r="Y686" s="453"/>
    </row>
    <row r="687" spans="23:25">
      <c r="W687" s="452"/>
      <c r="X687" s="453"/>
      <c r="Y687" s="453"/>
    </row>
    <row r="688" spans="23:25">
      <c r="W688" s="452"/>
      <c r="X688" s="453"/>
      <c r="Y688" s="453"/>
    </row>
    <row r="689" spans="23:25">
      <c r="W689" s="452"/>
      <c r="X689" s="453"/>
      <c r="Y689" s="453"/>
    </row>
    <row r="690" spans="23:25">
      <c r="W690" s="452"/>
      <c r="X690" s="453"/>
      <c r="Y690" s="453"/>
    </row>
    <row r="691" spans="23:25">
      <c r="W691" s="452"/>
      <c r="X691" s="453"/>
      <c r="Y691" s="453"/>
    </row>
    <row r="692" spans="23:25">
      <c r="W692" s="452"/>
      <c r="X692" s="453"/>
      <c r="Y692" s="453"/>
    </row>
    <row r="693" spans="23:25">
      <c r="W693" s="452"/>
      <c r="X693" s="453"/>
      <c r="Y693" s="453"/>
    </row>
    <row r="694" spans="23:25">
      <c r="W694" s="452"/>
      <c r="X694" s="453"/>
      <c r="Y694" s="453"/>
    </row>
    <row r="695" spans="23:25">
      <c r="W695" s="452"/>
      <c r="X695" s="453"/>
      <c r="Y695" s="453"/>
    </row>
    <row r="696" spans="23:25">
      <c r="W696" s="452"/>
      <c r="X696" s="453"/>
      <c r="Y696" s="453"/>
    </row>
    <row r="697" spans="23:25">
      <c r="W697" s="452"/>
      <c r="X697" s="453"/>
      <c r="Y697" s="453"/>
    </row>
    <row r="698" spans="23:25">
      <c r="W698" s="452"/>
      <c r="X698" s="453"/>
      <c r="Y698" s="453"/>
    </row>
    <row r="699" spans="23:25">
      <c r="W699" s="452"/>
      <c r="X699" s="453"/>
      <c r="Y699" s="453"/>
    </row>
    <row r="700" spans="23:25">
      <c r="W700" s="452"/>
      <c r="X700" s="453"/>
      <c r="Y700" s="453"/>
    </row>
    <row r="701" spans="23:25">
      <c r="W701" s="452"/>
      <c r="X701" s="453"/>
      <c r="Y701" s="453"/>
    </row>
    <row r="702" spans="23:25">
      <c r="W702" s="452"/>
      <c r="X702" s="453"/>
      <c r="Y702" s="453"/>
    </row>
    <row r="703" spans="23:25">
      <c r="W703" s="452"/>
      <c r="X703" s="453"/>
      <c r="Y703" s="453"/>
    </row>
    <row r="704" spans="23:25">
      <c r="W704" s="452"/>
      <c r="X704" s="453"/>
      <c r="Y704" s="453"/>
    </row>
    <row r="705" spans="23:25">
      <c r="W705" s="452"/>
      <c r="X705" s="453"/>
      <c r="Y705" s="453"/>
    </row>
    <row r="706" spans="23:25">
      <c r="W706" s="452"/>
      <c r="X706" s="453"/>
      <c r="Y706" s="453"/>
    </row>
    <row r="707" spans="23:25">
      <c r="W707" s="452"/>
      <c r="X707" s="453"/>
      <c r="Y707" s="453"/>
    </row>
    <row r="708" spans="23:25">
      <c r="W708" s="452"/>
      <c r="X708" s="453"/>
      <c r="Y708" s="453"/>
    </row>
    <row r="709" spans="23:25">
      <c r="W709" s="452"/>
      <c r="X709" s="453"/>
      <c r="Y709" s="453"/>
    </row>
    <row r="710" spans="23:25">
      <c r="W710" s="452"/>
      <c r="X710" s="453"/>
      <c r="Y710" s="453"/>
    </row>
    <row r="711" spans="23:25">
      <c r="W711" s="452"/>
      <c r="X711" s="453"/>
      <c r="Y711" s="453"/>
    </row>
    <row r="712" spans="23:25">
      <c r="W712" s="452"/>
      <c r="X712" s="453"/>
      <c r="Y712" s="453"/>
    </row>
    <row r="713" spans="23:25">
      <c r="W713" s="452"/>
      <c r="X713" s="453"/>
      <c r="Y713" s="453"/>
    </row>
    <row r="714" spans="23:25">
      <c r="W714" s="452"/>
      <c r="X714" s="453"/>
      <c r="Y714" s="453"/>
    </row>
    <row r="715" spans="23:25">
      <c r="W715" s="452"/>
      <c r="X715" s="453"/>
      <c r="Y715" s="453"/>
    </row>
  </sheetData>
  <mergeCells count="18">
    <mergeCell ref="AB16:AC16"/>
    <mergeCell ref="AB12:AC12"/>
    <mergeCell ref="AB13:AC13"/>
    <mergeCell ref="AB14:AC14"/>
    <mergeCell ref="AB15:AC15"/>
    <mergeCell ref="AB7:AC7"/>
    <mergeCell ref="AB8:AC8"/>
    <mergeCell ref="AB9:AC9"/>
    <mergeCell ref="AB10:AC10"/>
    <mergeCell ref="AB11:AC11"/>
    <mergeCell ref="W3:X3"/>
    <mergeCell ref="B4:D4"/>
    <mergeCell ref="E4:G4"/>
    <mergeCell ref="H4:J4"/>
    <mergeCell ref="K4:M4"/>
    <mergeCell ref="N4:P4"/>
    <mergeCell ref="Q4:S4"/>
    <mergeCell ref="W4:Y4"/>
  </mergeCells>
  <printOptions horizontalCentered="1"/>
  <pageMargins left="0.11799999999999999" right="0.11799999999999999" top="0.11799999999999999" bottom="0.11799999999999999" header="0.3" footer="0.3"/>
  <pageSetup scale="94" orientation="portrait" r:id="rId1"/>
  <rowBreaks count="6" manualBreakCount="6">
    <brk id="52" max="16383" man="1"/>
    <brk id="104" max="16383" man="1"/>
    <brk id="157" max="16383" man="1"/>
    <brk id="209" max="16383" man="1"/>
    <brk id="261" max="16383" man="1"/>
    <brk id="313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6B699-BE0D-466D-B00C-F4418F00DD22}">
  <sheetPr codeName="Sheet8"/>
  <dimension ref="A3:O47"/>
  <sheetViews>
    <sheetView showGridLines="0" zoomScale="83" workbookViewId="0">
      <selection activeCell="E53" sqref="E53"/>
    </sheetView>
  </sheetViews>
  <sheetFormatPr defaultColWidth="8.77734375" defaultRowHeight="14.4"/>
  <cols>
    <col min="1" max="1" width="34.33203125" bestFit="1" customWidth="1"/>
    <col min="2" max="2" width="15" bestFit="1" customWidth="1"/>
    <col min="3" max="3" width="22.44140625" customWidth="1"/>
    <col min="4" max="4" width="20" customWidth="1"/>
    <col min="5" max="5" width="13.77734375" customWidth="1"/>
    <col min="6" max="6" width="14.77734375" customWidth="1"/>
    <col min="7" max="7" width="16.44140625" customWidth="1"/>
    <col min="8" max="8" width="35.44140625" customWidth="1"/>
    <col min="9" max="9" width="16.77734375" customWidth="1"/>
    <col min="10" max="10" width="15.44140625" customWidth="1"/>
    <col min="11" max="11" width="13.77734375" bestFit="1" customWidth="1"/>
    <col min="12" max="12" width="28.77734375" bestFit="1" customWidth="1"/>
  </cols>
  <sheetData>
    <row r="3" spans="1:10">
      <c r="A3" t="s">
        <v>184</v>
      </c>
    </row>
    <row r="4" spans="1:10" ht="24">
      <c r="A4" s="374" t="s">
        <v>221</v>
      </c>
      <c r="B4" s="375" t="s">
        <v>222</v>
      </c>
      <c r="C4" s="375" t="s">
        <v>223</v>
      </c>
      <c r="D4" s="375" t="s">
        <v>224</v>
      </c>
      <c r="E4" s="375" t="s">
        <v>225</v>
      </c>
      <c r="F4" s="375" t="s">
        <v>226</v>
      </c>
      <c r="G4" s="375" t="s">
        <v>227</v>
      </c>
      <c r="H4" s="375" t="s">
        <v>228</v>
      </c>
      <c r="I4" s="375" t="s">
        <v>229</v>
      </c>
      <c r="J4" s="375" t="s">
        <v>230</v>
      </c>
    </row>
    <row r="5" spans="1:10">
      <c r="A5" s="376" t="s">
        <v>231</v>
      </c>
      <c r="B5" s="377">
        <v>16</v>
      </c>
      <c r="C5" s="378">
        <v>134000.872</v>
      </c>
      <c r="D5" s="378">
        <v>94754.430999999997</v>
      </c>
      <c r="E5" s="379">
        <v>1.414191089385572</v>
      </c>
      <c r="F5" s="380">
        <v>119.56</v>
      </c>
      <c r="G5" s="380">
        <v>458.4336000001058</v>
      </c>
      <c r="H5" s="379">
        <v>2.4878342413166065E-2</v>
      </c>
      <c r="I5" s="379">
        <v>0.24370901920946222</v>
      </c>
      <c r="J5" s="381">
        <v>1.6614566371337514</v>
      </c>
    </row>
    <row r="6" spans="1:10">
      <c r="A6" s="376" t="s">
        <v>232</v>
      </c>
      <c r="B6" s="377">
        <v>107</v>
      </c>
      <c r="C6" s="378">
        <v>36628.438999999977</v>
      </c>
      <c r="D6" s="378">
        <v>20018.19100000001</v>
      </c>
      <c r="E6" s="379">
        <v>1.8297576938895208</v>
      </c>
      <c r="F6" s="380">
        <v>581.09499999999991</v>
      </c>
      <c r="G6" s="380">
        <v>67.640599999984261</v>
      </c>
      <c r="H6" s="379">
        <v>0.12803493853423145</v>
      </c>
      <c r="I6" s="379">
        <v>0.49118158784836458</v>
      </c>
      <c r="J6" s="381">
        <v>0.69009197850875437</v>
      </c>
    </row>
    <row r="7" spans="1:10">
      <c r="A7" s="376" t="s">
        <v>233</v>
      </c>
      <c r="B7" s="377">
        <v>114</v>
      </c>
      <c r="C7" s="378">
        <v>12408.627</v>
      </c>
      <c r="D7" s="378">
        <v>5200.3269999999993</v>
      </c>
      <c r="E7" s="379">
        <v>2.3861243725634949</v>
      </c>
      <c r="F7" s="380">
        <v>744.80700000000002</v>
      </c>
      <c r="G7" s="380">
        <v>-1.2308000000011816</v>
      </c>
      <c r="H7" s="379">
        <v>5.2490379545875772E-2</v>
      </c>
      <c r="I7" s="379">
        <v>0.71075431312416792</v>
      </c>
      <c r="J7" s="381">
        <v>1.3616032018330464</v>
      </c>
    </row>
    <row r="8" spans="1:10">
      <c r="A8" s="376" t="s">
        <v>234</v>
      </c>
      <c r="B8" s="377">
        <v>231</v>
      </c>
      <c r="C8" s="378">
        <v>48844.390999999996</v>
      </c>
      <c r="D8" s="378">
        <v>18395.98599999999</v>
      </c>
      <c r="E8" s="379">
        <v>2.6551656975603275</v>
      </c>
      <c r="F8" s="380">
        <v>1464.5859999999996</v>
      </c>
      <c r="G8" s="380">
        <v>145.79800000002433</v>
      </c>
      <c r="H8" s="379">
        <v>4.0904909573685345E-2</v>
      </c>
      <c r="I8" s="379">
        <v>1.1203161530368133</v>
      </c>
      <c r="J8" s="381">
        <v>1.8902384346777026</v>
      </c>
    </row>
    <row r="9" spans="1:10">
      <c r="C9" s="382">
        <f>AVERAGE(C5:C8)</f>
        <v>57970.582249999999</v>
      </c>
    </row>
    <row r="11" spans="1:10">
      <c r="A11" s="383" t="s">
        <v>235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</row>
    <row r="12" spans="1:10">
      <c r="A12" s="383" t="s">
        <v>236</v>
      </c>
      <c r="C12" s="384">
        <v>5.3100000000000001E-2</v>
      </c>
      <c r="D12" s="384">
        <v>4.3200000000000002E-2</v>
      </c>
      <c r="E12" s="384">
        <v>3.39E-2</v>
      </c>
      <c r="F12" s="384">
        <v>2.9600000000000001E-2</v>
      </c>
      <c r="G12" s="384">
        <v>2.9600000000000001E-2</v>
      </c>
      <c r="H12" s="384">
        <v>2.9600000000000001E-2</v>
      </c>
      <c r="I12" s="384">
        <v>2.9600000000000001E-2</v>
      </c>
    </row>
    <row r="14" spans="1:10">
      <c r="A14" s="389" t="s">
        <v>221</v>
      </c>
      <c r="B14" s="394" t="s">
        <v>222</v>
      </c>
      <c r="C14" s="394" t="s">
        <v>237</v>
      </c>
      <c r="D14" s="394" t="s">
        <v>238</v>
      </c>
      <c r="E14" s="395" t="s">
        <v>239</v>
      </c>
    </row>
    <row r="15" spans="1:10" ht="15.6">
      <c r="A15" s="392" t="s">
        <v>231</v>
      </c>
      <c r="B15" s="390">
        <v>16</v>
      </c>
      <c r="C15" s="391">
        <v>0.1853931390290286</v>
      </c>
      <c r="D15" s="391">
        <v>2.3678221627158935E-2</v>
      </c>
      <c r="E15" s="393">
        <v>4.3897798340840283E-3</v>
      </c>
    </row>
    <row r="16" spans="1:10" ht="15.6">
      <c r="A16" s="392" t="s">
        <v>232</v>
      </c>
      <c r="B16" s="390">
        <v>107</v>
      </c>
      <c r="C16" s="391">
        <v>0.20411859661807977</v>
      </c>
      <c r="D16" s="391">
        <v>0.61615780504958595</v>
      </c>
      <c r="E16" s="393">
        <v>0.12576926646199788</v>
      </c>
      <c r="F16" s="384">
        <f>AVERAGE(E16:E18)</f>
        <v>6.6252137776600134E-2</v>
      </c>
    </row>
    <row r="17" spans="1:15" ht="15.6">
      <c r="A17" s="392" t="s">
        <v>233</v>
      </c>
      <c r="B17" s="390">
        <v>114</v>
      </c>
      <c r="C17" s="391">
        <v>0.12946555740456028</v>
      </c>
      <c r="D17" s="391">
        <v>0.38307554935306387</v>
      </c>
      <c r="E17" s="393">
        <v>4.9595089525052559E-2</v>
      </c>
    </row>
    <row r="18" spans="1:15" ht="15.6">
      <c r="A18" s="392" t="s">
        <v>234</v>
      </c>
      <c r="B18" s="390">
        <v>231</v>
      </c>
      <c r="C18" s="391">
        <v>7.7377615308532821E-2</v>
      </c>
      <c r="D18" s="391">
        <v>0.30231039363874523</v>
      </c>
      <c r="E18" s="393">
        <v>2.3392057342749958E-2</v>
      </c>
    </row>
    <row r="21" spans="1:15">
      <c r="A21" t="s">
        <v>221</v>
      </c>
      <c r="B21" t="s">
        <v>240</v>
      </c>
      <c r="C21" t="s">
        <v>241</v>
      </c>
      <c r="D21" t="s">
        <v>242</v>
      </c>
      <c r="E21" t="s">
        <v>243</v>
      </c>
      <c r="F21" t="s">
        <v>244</v>
      </c>
      <c r="G21" t="s">
        <v>245</v>
      </c>
      <c r="H21" t="s">
        <v>246</v>
      </c>
      <c r="I21" t="s">
        <v>247</v>
      </c>
      <c r="J21" t="s">
        <v>248</v>
      </c>
    </row>
    <row r="22" spans="1:15">
      <c r="A22" t="s">
        <v>231</v>
      </c>
      <c r="B22">
        <v>16</v>
      </c>
      <c r="C22">
        <v>6.25E-2</v>
      </c>
      <c r="D22">
        <v>13.269848524665983</v>
      </c>
      <c r="E22">
        <v>13.873799162178068</v>
      </c>
      <c r="F22">
        <v>9.2634496216079061</v>
      </c>
      <c r="G22">
        <v>13.497111550437863</v>
      </c>
      <c r="H22">
        <v>14.524553627455363</v>
      </c>
      <c r="I22">
        <v>-3.5151666666666664E-2</v>
      </c>
      <c r="J22" t="s">
        <v>249</v>
      </c>
    </row>
    <row r="23" spans="1:15">
      <c r="A23" t="s">
        <v>232</v>
      </c>
      <c r="B23">
        <v>107</v>
      </c>
      <c r="C23">
        <v>0.34579439252336452</v>
      </c>
      <c r="D23">
        <v>18.308903105679338</v>
      </c>
      <c r="E23">
        <v>16.583414779080062</v>
      </c>
      <c r="F23">
        <v>10.33245530052479</v>
      </c>
      <c r="G23">
        <v>8.8396194095735083</v>
      </c>
      <c r="H23">
        <v>7.1936158587269086</v>
      </c>
      <c r="I23">
        <v>0.13173076923076923</v>
      </c>
      <c r="J23">
        <v>0.54608470752379445</v>
      </c>
    </row>
    <row r="24" spans="1:15">
      <c r="A24" t="s">
        <v>233</v>
      </c>
      <c r="B24">
        <v>114</v>
      </c>
      <c r="C24">
        <v>0.2807017543859649</v>
      </c>
      <c r="D24">
        <v>28.785714938442784</v>
      </c>
      <c r="E24">
        <v>29.032066740071773</v>
      </c>
      <c r="F24">
        <v>13.238545443760238</v>
      </c>
      <c r="G24">
        <v>11.813630186048542</v>
      </c>
      <c r="H24">
        <v>10.495837160084653</v>
      </c>
      <c r="I24">
        <v>0.14222499999999999</v>
      </c>
      <c r="J24">
        <v>0.73797413676109358</v>
      </c>
      <c r="O24">
        <f>111/4</f>
        <v>27.75</v>
      </c>
    </row>
    <row r="25" spans="1:15">
      <c r="A25" t="s">
        <v>234</v>
      </c>
      <c r="B25">
        <v>231</v>
      </c>
      <c r="C25">
        <v>0.31168831168831168</v>
      </c>
      <c r="D25">
        <v>38.445908217207673</v>
      </c>
      <c r="E25">
        <v>47.680259100992743</v>
      </c>
      <c r="F25">
        <v>13.705427422207459</v>
      </c>
      <c r="G25">
        <v>13.974806214809838</v>
      </c>
      <c r="H25">
        <v>16.024041330335585</v>
      </c>
      <c r="I25">
        <v>0.10008260869565219</v>
      </c>
      <c r="J25">
        <v>1.6010815004896755</v>
      </c>
    </row>
    <row r="28" spans="1:15">
      <c r="A28" t="s">
        <v>221</v>
      </c>
      <c r="B28" t="s">
        <v>240</v>
      </c>
      <c r="C28" t="s">
        <v>250</v>
      </c>
      <c r="D28" t="s">
        <v>251</v>
      </c>
      <c r="E28" t="s">
        <v>252</v>
      </c>
      <c r="F28" t="s">
        <v>253</v>
      </c>
      <c r="G28" t="s">
        <v>250</v>
      </c>
      <c r="H28" t="s">
        <v>251</v>
      </c>
      <c r="I28" t="s">
        <v>252</v>
      </c>
      <c r="J28" t="s">
        <v>253</v>
      </c>
    </row>
    <row r="29" spans="1:15">
      <c r="A29" t="s">
        <v>231</v>
      </c>
      <c r="B29">
        <v>16</v>
      </c>
      <c r="C29">
        <v>6.3716101951174444</v>
      </c>
      <c r="D29">
        <v>6.4910779430840435</v>
      </c>
      <c r="E29">
        <v>8.4487573429235088</v>
      </c>
      <c r="F29">
        <v>14.758195788885594</v>
      </c>
      <c r="G29">
        <v>6.0317389973809501</v>
      </c>
      <c r="H29">
        <v>6.1386826991539438</v>
      </c>
      <c r="I29">
        <v>8.449675002746206</v>
      </c>
      <c r="J29">
        <v>14.759798746904304</v>
      </c>
    </row>
    <row r="30" spans="1:15">
      <c r="A30" t="s">
        <v>232</v>
      </c>
      <c r="B30">
        <v>107</v>
      </c>
      <c r="C30">
        <v>3.8702219877729553</v>
      </c>
      <c r="D30">
        <v>3.9174711867217398</v>
      </c>
      <c r="E30">
        <v>5.7944437763250951</v>
      </c>
      <c r="F30">
        <v>7.9471816702910187</v>
      </c>
      <c r="G30">
        <v>4.3156102168395272</v>
      </c>
      <c r="H30">
        <v>4.3726587837376369</v>
      </c>
      <c r="I30">
        <v>5.9732071846061414</v>
      </c>
      <c r="J30">
        <v>8.1923588324915446</v>
      </c>
      <c r="K30">
        <f>AVERAGE(C29:C32)</f>
        <v>6.8919083421725169</v>
      </c>
    </row>
    <row r="31" spans="1:15">
      <c r="A31" t="s">
        <v>233</v>
      </c>
      <c r="B31">
        <v>114</v>
      </c>
      <c r="C31">
        <v>8.2195711075168418</v>
      </c>
      <c r="D31">
        <v>8.3354786929813542</v>
      </c>
      <c r="E31">
        <v>11.83112921128817</v>
      </c>
      <c r="F31">
        <v>13.57477232505893</v>
      </c>
      <c r="G31">
        <v>8.6656214000300231</v>
      </c>
      <c r="H31">
        <v>8.7929993319621698</v>
      </c>
      <c r="I31">
        <v>11.97294289667364</v>
      </c>
      <c r="J31">
        <v>13.737486167271774</v>
      </c>
    </row>
    <row r="32" spans="1:15">
      <c r="A32" t="s">
        <v>234</v>
      </c>
      <c r="B32">
        <v>231</v>
      </c>
      <c r="C32">
        <v>9.1062300782828292</v>
      </c>
      <c r="D32">
        <v>9.4204189460107983</v>
      </c>
      <c r="E32">
        <v>15.11900711778763</v>
      </c>
      <c r="F32">
        <v>20.070689972107793</v>
      </c>
      <c r="G32">
        <v>8.1545808905654678</v>
      </c>
      <c r="H32">
        <v>8.3954366503346431</v>
      </c>
      <c r="I32">
        <v>15.739579519347789</v>
      </c>
      <c r="J32">
        <v>20.894508373668472</v>
      </c>
    </row>
    <row r="33" spans="1:13">
      <c r="G33">
        <f>AVERAGE(G29:G32)</f>
        <v>6.791887876203992</v>
      </c>
      <c r="H33">
        <f>AVERAGE(H29:H32)</f>
        <v>6.9249443662970993</v>
      </c>
    </row>
    <row r="36" spans="1:13">
      <c r="A36" t="s">
        <v>221</v>
      </c>
      <c r="B36" t="s">
        <v>222</v>
      </c>
      <c r="C36" t="s">
        <v>267</v>
      </c>
      <c r="D36" t="s">
        <v>72</v>
      </c>
      <c r="E36" t="s">
        <v>298</v>
      </c>
      <c r="F36" t="s">
        <v>299</v>
      </c>
      <c r="G36" t="s">
        <v>70</v>
      </c>
      <c r="H36" t="s">
        <v>65</v>
      </c>
      <c r="I36" t="s">
        <v>300</v>
      </c>
      <c r="J36" t="s">
        <v>301</v>
      </c>
      <c r="K36" t="s">
        <v>302</v>
      </c>
      <c r="L36" t="s">
        <v>303</v>
      </c>
      <c r="M36" t="s">
        <v>305</v>
      </c>
    </row>
    <row r="37" spans="1:13">
      <c r="A37" s="398" t="s">
        <v>231</v>
      </c>
      <c r="B37" s="399">
        <v>16</v>
      </c>
      <c r="C37" s="400">
        <v>0.97960023383128569</v>
      </c>
      <c r="D37" s="414">
        <v>0.11231485587714429</v>
      </c>
      <c r="E37" s="402">
        <v>0.88244899454112125</v>
      </c>
      <c r="F37" s="402">
        <v>0.32648391422292855</v>
      </c>
      <c r="G37" s="403">
        <v>7.3800000000000004E-2</v>
      </c>
      <c r="H37" s="404">
        <v>0.20852008233382777</v>
      </c>
      <c r="I37" s="401">
        <v>5.5113840000000004E-2</v>
      </c>
      <c r="J37" s="403">
        <v>0.11755100545887875</v>
      </c>
      <c r="K37" s="405">
        <v>0.10559081894751669</v>
      </c>
      <c r="L37" s="401">
        <v>0.16999416762407105</v>
      </c>
      <c r="M37" s="384">
        <f>J37/E37</f>
        <v>0.13320997155196032</v>
      </c>
    </row>
    <row r="38" spans="1:13">
      <c r="A38" s="406" t="s">
        <v>232</v>
      </c>
      <c r="B38" s="407">
        <v>107</v>
      </c>
      <c r="C38" s="408">
        <v>1.0441717264243051</v>
      </c>
      <c r="D38" s="415">
        <v>0.11669926022421032</v>
      </c>
      <c r="E38" s="410">
        <v>0.78132353189153747</v>
      </c>
      <c r="F38" s="410">
        <v>0.36410259578580151</v>
      </c>
      <c r="G38" s="411">
        <v>7.3800000000000004E-2</v>
      </c>
      <c r="H38" s="412">
        <v>0.17395945137224214</v>
      </c>
      <c r="I38" s="409">
        <v>5.5113840000000004E-2</v>
      </c>
      <c r="J38" s="411">
        <v>0.21867646810846253</v>
      </c>
      <c r="K38" s="413">
        <v>0.10323197804260453</v>
      </c>
      <c r="L38" s="409">
        <v>0.16749791851110585</v>
      </c>
      <c r="M38" s="384">
        <f t="shared" ref="M38:M40" si="0">J38/E38</f>
        <v>0.27987953668701093</v>
      </c>
    </row>
    <row r="39" spans="1:13">
      <c r="A39" s="398" t="s">
        <v>233</v>
      </c>
      <c r="B39" s="399">
        <v>114</v>
      </c>
      <c r="C39" s="400">
        <v>0.64524476923497431</v>
      </c>
      <c r="D39" s="414">
        <v>8.9612119831054757E-2</v>
      </c>
      <c r="E39" s="402">
        <v>0.63715882817135039</v>
      </c>
      <c r="F39" s="402">
        <v>0.27750197739022847</v>
      </c>
      <c r="G39" s="403">
        <v>6.93E-2</v>
      </c>
      <c r="H39" s="404">
        <v>0.12889609919478173</v>
      </c>
      <c r="I39" s="401">
        <v>5.1753239999999999E-2</v>
      </c>
      <c r="J39" s="403">
        <v>0.36284117182864961</v>
      </c>
      <c r="K39" s="405">
        <v>7.5875359509034818E-2</v>
      </c>
      <c r="L39" s="401">
        <v>0.1385477105483961</v>
      </c>
      <c r="M39" s="384">
        <f t="shared" si="0"/>
        <v>0.56946738518872275</v>
      </c>
    </row>
    <row r="40" spans="1:13">
      <c r="A40" s="406" t="s">
        <v>234</v>
      </c>
      <c r="B40" s="407">
        <v>231</v>
      </c>
      <c r="C40" s="408">
        <v>0.87086793439734922</v>
      </c>
      <c r="D40" s="409">
        <v>0.10493193274558002</v>
      </c>
      <c r="E40" s="410">
        <v>0.67409405038485581</v>
      </c>
      <c r="F40" s="410">
        <v>0.37800030653491407</v>
      </c>
      <c r="G40" s="411">
        <v>7.3800000000000004E-2</v>
      </c>
      <c r="H40" s="412">
        <v>0.14623911339836326</v>
      </c>
      <c r="I40" s="409">
        <v>5.5113840000000004E-2</v>
      </c>
      <c r="J40" s="411">
        <v>0.32590594961514419</v>
      </c>
      <c r="K40" s="413">
        <v>8.8695919921316452E-2</v>
      </c>
      <c r="L40" s="409">
        <v>0.15211509972255821</v>
      </c>
      <c r="M40" s="384">
        <f t="shared" si="0"/>
        <v>0.48347252053193018</v>
      </c>
    </row>
    <row r="41" spans="1:13">
      <c r="C41" s="416">
        <f>AVERAGE(C38:C40)</f>
        <v>0.85342814335220962</v>
      </c>
    </row>
    <row r="43" spans="1:13" ht="51.6">
      <c r="A43" s="436" t="s">
        <v>221</v>
      </c>
      <c r="B43" s="437" t="s">
        <v>240</v>
      </c>
      <c r="C43" s="437" t="s">
        <v>306</v>
      </c>
      <c r="D43" s="437" t="s">
        <v>307</v>
      </c>
      <c r="E43" s="438" t="s">
        <v>308</v>
      </c>
      <c r="F43" s="438" t="s">
        <v>309</v>
      </c>
      <c r="G43" s="439" t="s">
        <v>310</v>
      </c>
      <c r="H43" s="375" t="s">
        <v>237</v>
      </c>
      <c r="I43" s="375" t="s">
        <v>311</v>
      </c>
      <c r="J43" s="375" t="s">
        <v>312</v>
      </c>
    </row>
    <row r="44" spans="1:13">
      <c r="A44" t="s">
        <v>231</v>
      </c>
      <c r="B44">
        <v>4</v>
      </c>
      <c r="C44">
        <v>4026.8</v>
      </c>
      <c r="D44">
        <v>0</v>
      </c>
      <c r="E44" s="397">
        <v>0.32620776586402767</v>
      </c>
      <c r="F44" s="397">
        <v>3.8545664091403802E-2</v>
      </c>
      <c r="G44">
        <v>104468.3</v>
      </c>
      <c r="H44">
        <v>0.17768047603008874</v>
      </c>
      <c r="I44">
        <v>0.47545000000000004</v>
      </c>
      <c r="J44" s="440">
        <v>0.3803621443820423</v>
      </c>
    </row>
    <row r="45" spans="1:13">
      <c r="A45" t="s">
        <v>232</v>
      </c>
      <c r="B45">
        <v>210</v>
      </c>
      <c r="C45">
        <v>9512.4578999999994</v>
      </c>
      <c r="D45">
        <v>8.0331709010769983E-2</v>
      </c>
      <c r="E45" s="397">
        <v>0.66305617938681849</v>
      </c>
      <c r="F45" s="397">
        <v>4.770595407245104E-2</v>
      </c>
      <c r="G45">
        <v>199397.70799999993</v>
      </c>
      <c r="H45">
        <v>9.2683546461575159E-2</v>
      </c>
      <c r="I45">
        <v>0.13408203821656051</v>
      </c>
      <c r="J45" s="440">
        <v>0.58775054561644746</v>
      </c>
    </row>
    <row r="46" spans="1:13">
      <c r="A46" t="s">
        <v>233</v>
      </c>
      <c r="B46">
        <v>9</v>
      </c>
      <c r="C46">
        <v>10358.08</v>
      </c>
      <c r="D46">
        <v>-1.1102443696129012E-4</v>
      </c>
      <c r="E46" s="397">
        <v>0.98813917791805506</v>
      </c>
      <c r="F46" s="397">
        <v>5.8441073003214342E-2</v>
      </c>
      <c r="G46">
        <v>177239.73</v>
      </c>
      <c r="H46">
        <v>0.13169869341713206</v>
      </c>
      <c r="I46">
        <v>0.37280000000000002</v>
      </c>
      <c r="J46" s="440">
        <v>0.28841973941352694</v>
      </c>
    </row>
    <row r="47" spans="1:13">
      <c r="A47" t="s">
        <v>234</v>
      </c>
      <c r="B47">
        <v>30</v>
      </c>
      <c r="C47">
        <v>967.76</v>
      </c>
      <c r="D47">
        <v>1.031247416714888E-2</v>
      </c>
      <c r="E47" s="397">
        <v>0.66419043383489373</v>
      </c>
      <c r="F47" s="397">
        <v>4.5046873399927384E-2</v>
      </c>
      <c r="G47">
        <v>21483.4</v>
      </c>
      <c r="H47">
        <v>0.12450906341506525</v>
      </c>
      <c r="I47">
        <v>0.30156913043478267</v>
      </c>
      <c r="J47" s="440">
        <v>0.46485368563230473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F569B-9A2C-40DB-BE59-52F36B83428B}">
  <sheetPr codeName="Sheet9"/>
  <dimension ref="B3:H4"/>
  <sheetViews>
    <sheetView workbookViewId="0">
      <selection activeCell="G9" sqref="G9"/>
    </sheetView>
  </sheetViews>
  <sheetFormatPr defaultColWidth="8.77734375" defaultRowHeight="14.4"/>
  <sheetData>
    <row r="3" spans="2:8">
      <c r="B3">
        <v>0.11</v>
      </c>
      <c r="C3">
        <v>0.27</v>
      </c>
      <c r="D3">
        <v>0.09</v>
      </c>
      <c r="E3">
        <v>2.04</v>
      </c>
      <c r="F3">
        <v>6.45</v>
      </c>
      <c r="G3">
        <v>2.98</v>
      </c>
      <c r="H3">
        <v>2.35</v>
      </c>
    </row>
    <row r="4" spans="2:8">
      <c r="C4">
        <f>C3/B3-1</f>
        <v>1.4545454545454546</v>
      </c>
      <c r="D4">
        <f t="shared" ref="D4:H4" si="0">D3/C3-1</f>
        <v>-0.66666666666666674</v>
      </c>
      <c r="E4">
        <f>E3/D3-1</f>
        <v>21.666666666666668</v>
      </c>
      <c r="F4">
        <f t="shared" si="0"/>
        <v>2.1617647058823528</v>
      </c>
      <c r="G4">
        <f t="shared" si="0"/>
        <v>-0.53798449612403099</v>
      </c>
      <c r="H4">
        <f t="shared" si="0"/>
        <v>-0.21140939597315433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3E5E3-62E4-1544-9B03-06ED7D6B9DB5}">
  <sheetPr codeName="Sheet10"/>
  <dimension ref="A1:P84"/>
  <sheetViews>
    <sheetView showGridLines="0" topLeftCell="G17" zoomScale="75" zoomScaleNormal="68" workbookViewId="0">
      <selection activeCell="P23" sqref="P23"/>
    </sheetView>
  </sheetViews>
  <sheetFormatPr defaultColWidth="9.109375" defaultRowHeight="14.4"/>
  <cols>
    <col min="1" max="1" width="9" style="581" customWidth="1"/>
    <col min="2" max="2" width="22.109375" style="581" bestFit="1" customWidth="1"/>
    <col min="3" max="3" width="35.33203125" style="581" bestFit="1" customWidth="1"/>
    <col min="4" max="4" width="15.6640625" style="581" bestFit="1" customWidth="1"/>
    <col min="5" max="5" width="14.6640625" style="581" bestFit="1" customWidth="1"/>
    <col min="6" max="6" width="15.6640625" style="581" bestFit="1" customWidth="1"/>
    <col min="7" max="7" width="14.6640625" style="581" bestFit="1" customWidth="1"/>
    <col min="8" max="8" width="18.33203125" style="581" bestFit="1" customWidth="1"/>
    <col min="9" max="13" width="9.109375" style="581"/>
    <col min="14" max="14" width="18.33203125" style="581" bestFit="1" customWidth="1"/>
    <col min="15" max="15" width="17.33203125" style="581" bestFit="1" customWidth="1"/>
    <col min="16" max="16" width="18.33203125" style="581" bestFit="1" customWidth="1"/>
    <col min="17" max="16384" width="9.109375" style="581"/>
  </cols>
  <sheetData>
    <row r="1" spans="1:16" s="652" customFormat="1"/>
    <row r="2" spans="1:16" s="652" customFormat="1"/>
    <row r="3" spans="1:16">
      <c r="A3" s="584"/>
      <c r="G3" s="582"/>
      <c r="H3" s="718"/>
      <c r="I3" s="718"/>
      <c r="J3" s="719"/>
      <c r="K3" s="719"/>
      <c r="L3" s="720"/>
      <c r="M3" s="720"/>
      <c r="N3" s="583"/>
      <c r="O3" s="583"/>
      <c r="P3" s="584"/>
    </row>
    <row r="4" spans="1:16" ht="15" customHeight="1">
      <c r="A4" s="585"/>
      <c r="G4" s="582"/>
      <c r="H4" s="718"/>
      <c r="I4" s="718"/>
      <c r="J4" s="719"/>
      <c r="K4" s="719"/>
      <c r="L4" s="720"/>
      <c r="M4" s="720"/>
      <c r="N4" s="583"/>
      <c r="P4" s="585"/>
    </row>
    <row r="6" spans="1:16">
      <c r="B6" s="716" t="s">
        <v>370</v>
      </c>
      <c r="C6" s="716"/>
      <c r="D6" s="716"/>
      <c r="E6" s="716"/>
      <c r="F6" s="716"/>
      <c r="G6" s="716"/>
    </row>
    <row r="7" spans="1:16" ht="15" thickBot="1">
      <c r="B7" s="581" t="s">
        <v>189</v>
      </c>
      <c r="C7" s="586">
        <v>2020</v>
      </c>
      <c r="D7" s="586">
        <f>C7+1</f>
        <v>2021</v>
      </c>
      <c r="E7" s="586">
        <f t="shared" ref="E7:G7" si="0">D7+1</f>
        <v>2022</v>
      </c>
      <c r="F7" s="586">
        <f t="shared" si="0"/>
        <v>2023</v>
      </c>
      <c r="G7" s="586">
        <f t="shared" si="0"/>
        <v>2024</v>
      </c>
    </row>
    <row r="8" spans="1:16" ht="15" thickBot="1">
      <c r="B8" s="587" t="s">
        <v>371</v>
      </c>
      <c r="C8" s="588">
        <f>'Income Statement PBR'!B3</f>
        <v>53683000000</v>
      </c>
      <c r="D8" s="588">
        <f>'Income Statement PBR'!C3</f>
        <v>83966000000</v>
      </c>
      <c r="E8" s="588">
        <f>'Income Statement PBR'!D3</f>
        <v>124474000000</v>
      </c>
      <c r="F8" s="588">
        <f>'Income Statement PBR'!E3</f>
        <v>102409000000</v>
      </c>
      <c r="G8" s="588">
        <f>'Income Statement PBR'!F3</f>
        <v>91416000000</v>
      </c>
    </row>
    <row r="9" spans="1:16" ht="15" thickTop="1">
      <c r="B9" s="581" t="s">
        <v>372</v>
      </c>
      <c r="C9" s="589"/>
      <c r="D9" s="589">
        <f>(D8-C8)/C8</f>
        <v>0.56410781811746735</v>
      </c>
      <c r="E9" s="589">
        <f t="shared" ref="E9:G9" si="1">(E8-D8)/D8</f>
        <v>0.48243336588619201</v>
      </c>
      <c r="F9" s="589">
        <f t="shared" si="1"/>
        <v>-0.17726593505471022</v>
      </c>
      <c r="G9" s="589">
        <f t="shared" si="1"/>
        <v>-0.10734408108662324</v>
      </c>
    </row>
    <row r="10" spans="1:16">
      <c r="B10" s="581" t="s">
        <v>201</v>
      </c>
      <c r="C10" s="590">
        <f>'Income Statement PBR'!B6</f>
        <v>-29195000000</v>
      </c>
      <c r="D10" s="590">
        <f>'Income Statement PBR'!C6</f>
        <v>-43164000000</v>
      </c>
      <c r="E10" s="590">
        <f>'Income Statement PBR'!D6</f>
        <v>-59486000000</v>
      </c>
      <c r="F10" s="590">
        <f>'Income Statement PBR'!E6</f>
        <v>-48435000000</v>
      </c>
      <c r="G10" s="590">
        <f>'Income Statement PBR'!F6</f>
        <v>-45444000000</v>
      </c>
    </row>
    <row r="11" spans="1:16">
      <c r="B11" s="581" t="s">
        <v>211</v>
      </c>
      <c r="C11" s="590">
        <f>C8+C10</f>
        <v>24488000000</v>
      </c>
      <c r="D11" s="590">
        <f t="shared" ref="D11:G11" si="2">D8+D10</f>
        <v>40802000000</v>
      </c>
      <c r="E11" s="590">
        <f t="shared" si="2"/>
        <v>64988000000</v>
      </c>
      <c r="F11" s="590">
        <f t="shared" si="2"/>
        <v>53974000000</v>
      </c>
      <c r="G11" s="590">
        <f t="shared" si="2"/>
        <v>45972000000</v>
      </c>
    </row>
    <row r="12" spans="1:16">
      <c r="B12" s="581" t="s">
        <v>373</v>
      </c>
      <c r="C12" s="591">
        <f>C11/C8</f>
        <v>0.45615930555296835</v>
      </c>
      <c r="D12" s="591">
        <f t="shared" ref="D12:G12" si="3">D11/D8</f>
        <v>0.48593478312650357</v>
      </c>
      <c r="E12" s="591">
        <f t="shared" si="3"/>
        <v>0.52210100101225954</v>
      </c>
      <c r="F12" s="591">
        <f t="shared" si="3"/>
        <v>0.52704352156548739</v>
      </c>
      <c r="G12" s="591">
        <f t="shared" si="3"/>
        <v>0.50288789708584936</v>
      </c>
    </row>
    <row r="13" spans="1:16" ht="15" thickBot="1">
      <c r="B13" s="592" t="s">
        <v>119</v>
      </c>
      <c r="C13" s="593">
        <f>C16-C15</f>
        <v>17165000000</v>
      </c>
      <c r="D13" s="593">
        <f t="shared" ref="D13:G13" si="4">D16-D15</f>
        <v>34023000000</v>
      </c>
      <c r="E13" s="593">
        <f t="shared" si="4"/>
        <v>56525000000</v>
      </c>
      <c r="F13" s="593">
        <f t="shared" si="4"/>
        <v>40223000000</v>
      </c>
      <c r="G13" s="593">
        <f t="shared" si="4"/>
        <v>26507000000</v>
      </c>
    </row>
    <row r="14" spans="1:16" ht="15" thickTop="1">
      <c r="B14" s="581" t="s">
        <v>374</v>
      </c>
      <c r="C14" s="589">
        <f>C13/C8</f>
        <v>0.3197474060689604</v>
      </c>
      <c r="D14" s="589">
        <f t="shared" ref="D14:G14" si="5">D13/D8</f>
        <v>0.40519972369768714</v>
      </c>
      <c r="E14" s="589">
        <f t="shared" si="5"/>
        <v>0.4541108986615679</v>
      </c>
      <c r="F14" s="589">
        <f t="shared" si="5"/>
        <v>0.39276821373121501</v>
      </c>
      <c r="G14" s="589">
        <f t="shared" si="5"/>
        <v>0.28996018202502843</v>
      </c>
    </row>
    <row r="15" spans="1:16">
      <c r="B15" s="581" t="s">
        <v>375</v>
      </c>
      <c r="C15" s="590">
        <f>'Income Statement PBR'!B24</f>
        <v>-653000000</v>
      </c>
      <c r="D15" s="590">
        <f>'Income Statement PBR'!C24</f>
        <v>-696000000</v>
      </c>
      <c r="E15" s="590">
        <f>'Income Statement PBR'!D24</f>
        <v>-894000000</v>
      </c>
      <c r="F15" s="590">
        <f>'Income Statement PBR'!E24</f>
        <v>-732000000</v>
      </c>
      <c r="G15" s="590">
        <f>'Income Statement PBR'!F24</f>
        <v>-816000000</v>
      </c>
    </row>
    <row r="16" spans="1:16" ht="15" thickBot="1">
      <c r="B16" s="592" t="s">
        <v>142</v>
      </c>
      <c r="C16" s="593">
        <f>'Income Statement PBR'!B33</f>
        <v>16512000000</v>
      </c>
      <c r="D16" s="593">
        <f>'Income Statement PBR'!C33</f>
        <v>33327000000</v>
      </c>
      <c r="E16" s="593">
        <f>'Income Statement PBR'!D33</f>
        <v>55631000000</v>
      </c>
      <c r="F16" s="593">
        <f>'Income Statement PBR'!E33</f>
        <v>39491000000</v>
      </c>
      <c r="G16" s="593">
        <f>'Income Statement PBR'!F33</f>
        <v>25691000000</v>
      </c>
    </row>
    <row r="17" spans="2:7" ht="15" thickTop="1">
      <c r="B17" s="581" t="s">
        <v>376</v>
      </c>
      <c r="C17" s="589">
        <f>C16/C8</f>
        <v>0.30758340629249481</v>
      </c>
      <c r="D17" s="589">
        <f t="shared" ref="D17:G17" si="6">D16/D8</f>
        <v>0.39691065431245981</v>
      </c>
      <c r="E17" s="589">
        <f t="shared" si="6"/>
        <v>0.44692867586805279</v>
      </c>
      <c r="F17" s="589">
        <f t="shared" si="6"/>
        <v>0.38562040445663953</v>
      </c>
      <c r="G17" s="589">
        <f t="shared" si="6"/>
        <v>0.28103395466876696</v>
      </c>
    </row>
    <row r="18" spans="2:7">
      <c r="B18" s="581" t="s">
        <v>377</v>
      </c>
      <c r="C18" s="590">
        <f>'Income Statement PBR'!B36</f>
        <v>-5692000000</v>
      </c>
      <c r="D18" s="590">
        <f>'Income Statement PBR'!C36</f>
        <v>-4977000000</v>
      </c>
      <c r="E18" s="590">
        <f>'Income Statement PBR'!D36</f>
        <v>-2638000000</v>
      </c>
      <c r="F18" s="590">
        <f>'Income Statement PBR'!E36</f>
        <v>-3620000000</v>
      </c>
      <c r="G18" s="590">
        <f>'Income Statement PBR'!F36</f>
        <v>-3841000000</v>
      </c>
    </row>
    <row r="19" spans="2:7" ht="15" thickBot="1">
      <c r="B19" s="592" t="s">
        <v>378</v>
      </c>
      <c r="C19" s="593">
        <f>'Income Statement PBR'!B61</f>
        <v>1174000000</v>
      </c>
      <c r="D19" s="593">
        <f>'Income Statement PBR'!C61</f>
        <v>-8239000000</v>
      </c>
      <c r="E19" s="593">
        <f>'Income Statement PBR'!D61</f>
        <v>-16770000000</v>
      </c>
      <c r="F19" s="593">
        <f>'Income Statement PBR'!E61</f>
        <v>-10401000000</v>
      </c>
      <c r="G19" s="593">
        <f>'Income Statement PBR'!F61</f>
        <v>-3537000000</v>
      </c>
    </row>
    <row r="20" spans="2:7" ht="15" thickTop="1">
      <c r="B20" s="581" t="s">
        <v>135</v>
      </c>
      <c r="C20" s="590">
        <f>'Income Statement PBR'!B66</f>
        <v>1141000000</v>
      </c>
      <c r="D20" s="590">
        <f>'Income Statement PBR'!C66</f>
        <v>19875000000</v>
      </c>
      <c r="E20" s="590">
        <f>'Income Statement PBR'!D66</f>
        <v>36623000000</v>
      </c>
      <c r="F20" s="590">
        <f>'Income Statement PBR'!E66</f>
        <v>24884000000</v>
      </c>
      <c r="G20" s="590">
        <f>'Income Statement PBR'!F66</f>
        <v>7528000000</v>
      </c>
    </row>
    <row r="21" spans="2:7">
      <c r="B21" s="581" t="s">
        <v>372</v>
      </c>
      <c r="D21" s="589">
        <f>(D20-C20)/C20</f>
        <v>16.418930762489044</v>
      </c>
      <c r="E21" s="589">
        <f t="shared" ref="E21:G21" si="7">(E20-D20)/D20</f>
        <v>0.84266666666666667</v>
      </c>
      <c r="F21" s="589">
        <f t="shared" si="7"/>
        <v>-0.32053627501843102</v>
      </c>
      <c r="G21" s="589">
        <f t="shared" si="7"/>
        <v>-0.6974762899855329</v>
      </c>
    </row>
    <row r="22" spans="2:7">
      <c r="B22" s="581" t="s">
        <v>379</v>
      </c>
      <c r="C22" s="594">
        <f>C20/C25</f>
        <v>8.7471818102914503E-2</v>
      </c>
      <c r="D22" s="594">
        <f>D20/D25</f>
        <v>1.5236655432037036</v>
      </c>
      <c r="E22" s="594">
        <f>E20/E25</f>
        <v>2.8076077076100243</v>
      </c>
      <c r="F22" s="594">
        <f>F20/F25</f>
        <v>1.9230089679958302</v>
      </c>
      <c r="G22" s="594">
        <f>G20/G25</f>
        <v>0.58407604064683272</v>
      </c>
    </row>
    <row r="23" spans="2:7">
      <c r="B23" s="581" t="s">
        <v>380</v>
      </c>
      <c r="C23" s="596">
        <v>7442231382</v>
      </c>
      <c r="D23" s="596">
        <v>7442231382</v>
      </c>
      <c r="E23" s="596">
        <v>7442231382</v>
      </c>
      <c r="F23" s="596">
        <v>7442231382</v>
      </c>
      <c r="G23" s="594">
        <v>7442231382</v>
      </c>
    </row>
    <row r="24" spans="2:7">
      <c r="B24" s="581" t="s">
        <v>381</v>
      </c>
      <c r="C24" s="596">
        <v>5601969879</v>
      </c>
      <c r="D24" s="596">
        <v>5601969879</v>
      </c>
      <c r="E24" s="596">
        <v>5601969879</v>
      </c>
      <c r="F24" s="596">
        <v>5497905879</v>
      </c>
      <c r="G24" s="594">
        <v>5446501379</v>
      </c>
    </row>
    <row r="25" spans="2:7">
      <c r="B25" s="581" t="s">
        <v>382</v>
      </c>
      <c r="C25" s="597">
        <f>C23+C24</f>
        <v>13044201261</v>
      </c>
      <c r="D25" s="597">
        <f t="shared" ref="D25:G25" si="8">D23+D24</f>
        <v>13044201261</v>
      </c>
      <c r="E25" s="597">
        <f t="shared" si="8"/>
        <v>13044201261</v>
      </c>
      <c r="F25" s="597">
        <f t="shared" si="8"/>
        <v>12940137261</v>
      </c>
      <c r="G25" s="597">
        <f t="shared" si="8"/>
        <v>12888732761</v>
      </c>
    </row>
    <row r="26" spans="2:7">
      <c r="B26" s="581" t="s">
        <v>383</v>
      </c>
      <c r="C26" s="598">
        <f>'Income Statement PBR'!B88</f>
        <v>0.04</v>
      </c>
      <c r="D26" s="598">
        <f>'Income Statement PBR'!C88</f>
        <v>1.05</v>
      </c>
      <c r="E26" s="598">
        <f>'Income Statement PBR'!D88</f>
        <v>3.31</v>
      </c>
      <c r="F26" s="598">
        <f>'Income Statement PBR'!E88</f>
        <v>1.46</v>
      </c>
      <c r="G26" s="598">
        <f>'Income Statement PBR'!F88</f>
        <v>1.21</v>
      </c>
    </row>
    <row r="27" spans="2:7">
      <c r="B27" s="592" t="s">
        <v>384</v>
      </c>
      <c r="C27" s="599">
        <f>C26/C66</f>
        <v>3.5618878005342831E-3</v>
      </c>
      <c r="D27" s="599">
        <f>D26/D66</f>
        <v>9.5628415300546443E-2</v>
      </c>
      <c r="E27" s="599">
        <f>E26/E66</f>
        <v>0.31079812206572771</v>
      </c>
      <c r="F27" s="599">
        <f>F26/F66</f>
        <v>9.142141515341265E-2</v>
      </c>
      <c r="G27" s="599">
        <f>G26/G66</f>
        <v>9.4090202177293941E-2</v>
      </c>
    </row>
    <row r="28" spans="2:7">
      <c r="B28" s="592" t="s">
        <v>385</v>
      </c>
      <c r="C28" s="599">
        <f>C26/C68</f>
        <v>3.1156480179132503E-4</v>
      </c>
      <c r="D28" s="599">
        <f>D26/D68</f>
        <v>0.14570572134461646</v>
      </c>
      <c r="E28" s="599">
        <f>E26/E68</f>
        <v>0.8725992030224583</v>
      </c>
      <c r="F28" s="599">
        <f>F26/F68</f>
        <v>0.17580420120688239</v>
      </c>
      <c r="G28" s="599">
        <f>G26/G68</f>
        <v>5.4955832751373841E-2</v>
      </c>
    </row>
    <row r="30" spans="2:7">
      <c r="B30" s="717" t="s">
        <v>386</v>
      </c>
      <c r="C30" s="717"/>
      <c r="D30" s="717"/>
      <c r="E30" s="717"/>
      <c r="F30" s="717"/>
      <c r="G30" s="717"/>
    </row>
    <row r="31" spans="2:7">
      <c r="B31" s="581" t="s">
        <v>387</v>
      </c>
      <c r="C31" s="590">
        <f>'Balance Sheet PBR'!B2</f>
        <v>190010000000</v>
      </c>
      <c r="D31" s="590">
        <f>'Balance Sheet PBR'!C2</f>
        <v>174348000000</v>
      </c>
      <c r="E31" s="590">
        <f>'Balance Sheet PBR'!D2</f>
        <v>187191000000</v>
      </c>
      <c r="F31" s="590">
        <f>'Balance Sheet PBR'!E2</f>
        <v>217067000000</v>
      </c>
      <c r="G31" s="590">
        <f>'Balance Sheet PBR'!F2</f>
        <v>181645000000</v>
      </c>
    </row>
    <row r="32" spans="2:7">
      <c r="B32" s="581" t="s">
        <v>388</v>
      </c>
      <c r="C32" s="590">
        <f>'Balance Sheet PBR'!B5</f>
        <v>11711000000</v>
      </c>
      <c r="D32" s="590">
        <f>'Balance Sheet PBR'!C5</f>
        <v>10467000000</v>
      </c>
      <c r="E32" s="590">
        <f>'Balance Sheet PBR'!D5</f>
        <v>7996000000</v>
      </c>
      <c r="F32" s="590">
        <f>'Balance Sheet PBR'!E5</f>
        <v>12727000000</v>
      </c>
      <c r="G32" s="590">
        <f>'Balance Sheet PBR'!F5</f>
        <v>3271000000</v>
      </c>
    </row>
    <row r="33" spans="2:8">
      <c r="B33" s="581" t="s">
        <v>89</v>
      </c>
      <c r="C33" s="590">
        <f>'Balance Sheet PBR'!B13</f>
        <v>7326000000</v>
      </c>
      <c r="D33" s="590">
        <f>'Balance Sheet PBR'!C13</f>
        <v>7714000000</v>
      </c>
      <c r="E33" s="590">
        <f>'Balance Sheet PBR'!D13</f>
        <v>6317000000</v>
      </c>
      <c r="F33" s="590">
        <f>'Balance Sheet PBR'!E13</f>
        <v>7313000000</v>
      </c>
      <c r="G33" s="590">
        <f>'Balance Sheet PBR'!F13</f>
        <v>5532000000</v>
      </c>
    </row>
    <row r="34" spans="2:8">
      <c r="B34" s="581" t="s">
        <v>88</v>
      </c>
      <c r="C34" s="590">
        <f>'Balance Sheet PBR'!B10</f>
        <v>5677000000</v>
      </c>
      <c r="D34" s="590">
        <f>'Balance Sheet PBR'!C10</f>
        <v>7255000000</v>
      </c>
      <c r="E34" s="590">
        <f>'Balance Sheet PBR'!D10</f>
        <v>8779000000</v>
      </c>
      <c r="F34" s="590">
        <f>'Balance Sheet PBR'!E10</f>
        <v>7681000000</v>
      </c>
      <c r="G34" s="590">
        <f>'Balance Sheet PBR'!F10</f>
        <v>6710000000</v>
      </c>
    </row>
    <row r="35" spans="2:8">
      <c r="B35" s="581" t="s">
        <v>197</v>
      </c>
      <c r="C35" s="590">
        <f>'Balance Sheet PBR'!B3</f>
        <v>27388000000</v>
      </c>
      <c r="D35" s="590">
        <f>'Balance Sheet PBR'!C3</f>
        <v>30149000000</v>
      </c>
      <c r="E35" s="590">
        <f>'Balance Sheet PBR'!D3</f>
        <v>31250000000</v>
      </c>
      <c r="F35" s="590">
        <f>'Balance Sheet PBR'!E3</f>
        <v>32445000000</v>
      </c>
      <c r="G35" s="590">
        <f>'Balance Sheet PBR'!F3</f>
        <v>21836000000</v>
      </c>
    </row>
    <row r="36" spans="2:8">
      <c r="B36" s="581" t="s">
        <v>87</v>
      </c>
      <c r="C36" s="590">
        <f>'Balance Sheet PBR'!B76</f>
        <v>6859000000</v>
      </c>
      <c r="D36" s="590">
        <f>'Balance Sheet PBR'!C76</f>
        <v>5483000000</v>
      </c>
      <c r="E36" s="590">
        <f>'Balance Sheet PBR'!D76</f>
        <v>5464000000</v>
      </c>
      <c r="F36" s="590">
        <f>'Balance Sheet PBR'!E76</f>
        <v>4813000000</v>
      </c>
      <c r="G36" s="590">
        <f>'Balance Sheet PBR'!F76</f>
        <v>6082000000</v>
      </c>
    </row>
    <row r="37" spans="2:8">
      <c r="B37" s="581" t="s">
        <v>389</v>
      </c>
      <c r="C37" s="590">
        <f>'Balance Sheet PBR'!B73</f>
        <v>26225000000</v>
      </c>
      <c r="D37" s="590">
        <f>'Balance Sheet PBR'!C73</f>
        <v>24176000000</v>
      </c>
      <c r="E37" s="590">
        <f>'Balance Sheet PBR'!D73</f>
        <v>31380000000</v>
      </c>
      <c r="F37" s="590">
        <f>'Balance Sheet PBR'!E73</f>
        <v>33860000000</v>
      </c>
      <c r="G37" s="590">
        <f>'Balance Sheet PBR'!F73</f>
        <v>31460000000</v>
      </c>
    </row>
    <row r="38" spans="2:8">
      <c r="B38" s="581" t="s">
        <v>79</v>
      </c>
      <c r="C38" s="590">
        <f>'Balance Sheet PBR'!B80</f>
        <v>9884000000</v>
      </c>
      <c r="D38" s="590">
        <f>'Balance Sheet PBR'!C80</f>
        <v>9073000000</v>
      </c>
      <c r="E38" s="590">
        <f>'Balance Sheet PBR'!D80</f>
        <v>9133000000</v>
      </c>
      <c r="F38" s="590">
        <f>'Balance Sheet PBR'!E80</f>
        <v>11522000000</v>
      </c>
      <c r="G38" s="590">
        <f>'Balance Sheet PBR'!F80</f>
        <v>11108000000</v>
      </c>
    </row>
    <row r="39" spans="2:8">
      <c r="B39" s="581" t="s">
        <v>390</v>
      </c>
      <c r="C39" s="590">
        <f>'Balance Sheet PBR'!B114</f>
        <v>59876000000</v>
      </c>
      <c r="D39" s="590">
        <f>'Balance Sheet PBR'!C114</f>
        <v>69812000000</v>
      </c>
      <c r="E39" s="590">
        <f>'Balance Sheet PBR'!D114</f>
        <v>69836000000</v>
      </c>
      <c r="F39" s="590">
        <f>'Balance Sheet PBR'!E114</f>
        <v>78975000000</v>
      </c>
      <c r="G39" s="590">
        <f>'Balance Sheet PBR'!F114</f>
        <v>59350000000</v>
      </c>
    </row>
    <row r="40" spans="2:8">
      <c r="B40" s="581" t="s">
        <v>391</v>
      </c>
      <c r="C40" s="590">
        <f>(C25*C66)/C39</f>
        <v>2.4464957605890505</v>
      </c>
      <c r="D40" s="590">
        <f t="shared" ref="D40:G40" si="9">(D25*D66)/D39</f>
        <v>2.0515861147908669</v>
      </c>
      <c r="E40" s="590">
        <f t="shared" si="9"/>
        <v>1.9892425601358896</v>
      </c>
      <c r="F40" s="590">
        <f t="shared" si="9"/>
        <v>2.6167013872512821</v>
      </c>
      <c r="G40" s="590">
        <f t="shared" si="9"/>
        <v>2.792739735576411</v>
      </c>
    </row>
    <row r="41" spans="2:8">
      <c r="B41" s="592" t="s">
        <v>392</v>
      </c>
      <c r="C41" s="600">
        <f>C39/C25</f>
        <v>4.5902388963454062</v>
      </c>
      <c r="D41" s="600">
        <f>D39/D25</f>
        <v>5.3519566743213565</v>
      </c>
      <c r="E41" s="600">
        <f>E39/E25</f>
        <v>5.3537965723357912</v>
      </c>
      <c r="F41" s="600">
        <f>F39/F25</f>
        <v>6.1031037312116503</v>
      </c>
      <c r="G41" s="600">
        <f>G39/G25</f>
        <v>4.6047971589252814</v>
      </c>
    </row>
    <row r="43" spans="2:8">
      <c r="B43" s="716" t="s">
        <v>393</v>
      </c>
      <c r="C43" s="716"/>
      <c r="D43" s="716"/>
      <c r="E43" s="716"/>
      <c r="F43" s="716"/>
      <c r="G43" s="716"/>
      <c r="H43" s="681" t="s">
        <v>74</v>
      </c>
    </row>
    <row r="44" spans="2:8">
      <c r="B44" s="581" t="s">
        <v>394</v>
      </c>
      <c r="C44" s="595">
        <f>C35/C37</f>
        <v>1.0443469971401336</v>
      </c>
      <c r="D44" s="595">
        <f>D35/D37</f>
        <v>1.2470632031767042</v>
      </c>
      <c r="E44" s="595">
        <f>E35/E37</f>
        <v>0.99585723390694714</v>
      </c>
      <c r="F44" s="595">
        <f>F35/F37</f>
        <v>0.95821027761370348</v>
      </c>
      <c r="G44" s="595">
        <f>G35/G37</f>
        <v>0.69408773045136685</v>
      </c>
      <c r="H44" s="595">
        <f>AVERAGE(C44:G44)</f>
        <v>0.98791308845777104</v>
      </c>
    </row>
    <row r="45" spans="2:8">
      <c r="B45" s="581" t="s">
        <v>395</v>
      </c>
      <c r="C45" s="595">
        <f>(C35-C34)/C37</f>
        <v>0.82787416587225926</v>
      </c>
      <c r="D45" s="595">
        <f>(D35-D34)/D37</f>
        <v>0.94697220383851755</v>
      </c>
      <c r="E45" s="595">
        <f>(E35-E34)/E37</f>
        <v>0.7160930528999363</v>
      </c>
      <c r="F45" s="595">
        <f>(F35-F34)/F37</f>
        <v>0.73136444181925575</v>
      </c>
      <c r="G45" s="595">
        <f>(G35-G34)/G37</f>
        <v>0.48080101716465351</v>
      </c>
      <c r="H45" s="595">
        <f t="shared" ref="H45:H69" si="10">AVERAGE(C45:G45)</f>
        <v>0.74062097631892443</v>
      </c>
    </row>
    <row r="46" spans="2:8">
      <c r="B46" s="592" t="s">
        <v>396</v>
      </c>
      <c r="C46" s="600">
        <f>C32/C37</f>
        <v>0.44655862726406104</v>
      </c>
      <c r="D46" s="600">
        <f>D32/D37</f>
        <v>0.43295003309066843</v>
      </c>
      <c r="E46" s="600">
        <f>E32/E37</f>
        <v>0.25481198215423839</v>
      </c>
      <c r="F46" s="600">
        <f>F32/F37</f>
        <v>0.37587123449497933</v>
      </c>
      <c r="G46" s="600">
        <f>G32/G37</f>
        <v>0.10397329942784488</v>
      </c>
      <c r="H46" s="595">
        <f t="shared" si="10"/>
        <v>0.32283303528635843</v>
      </c>
    </row>
    <row r="47" spans="2:8">
      <c r="H47" s="595"/>
    </row>
    <row r="48" spans="2:8">
      <c r="B48" s="716" t="s">
        <v>397</v>
      </c>
      <c r="C48" s="716"/>
      <c r="D48" s="716"/>
      <c r="E48" s="716"/>
      <c r="F48" s="716"/>
      <c r="G48" s="716"/>
      <c r="H48" s="681" t="s">
        <v>74</v>
      </c>
    </row>
    <row r="49" spans="2:8">
      <c r="B49" s="581" t="s">
        <v>398</v>
      </c>
      <c r="C49" s="595">
        <f>(-C10)/C34</f>
        <v>5.1426809934824735</v>
      </c>
      <c r="D49" s="595">
        <f>(-D10)/D34</f>
        <v>5.949552033080634</v>
      </c>
      <c r="E49" s="595">
        <f>(-E10)/E34</f>
        <v>6.7759425902722406</v>
      </c>
      <c r="F49" s="595">
        <f>(-F10)/F34</f>
        <v>6.3058195547454758</v>
      </c>
      <c r="G49" s="595">
        <f>(-G10)/G34</f>
        <v>6.7725782414307005</v>
      </c>
      <c r="H49" s="595">
        <f t="shared" si="10"/>
        <v>6.1893146826023049</v>
      </c>
    </row>
    <row r="50" spans="2:8">
      <c r="B50" s="581" t="s">
        <v>399</v>
      </c>
      <c r="C50" s="595">
        <f>C8/C33</f>
        <v>7.3277368277368273</v>
      </c>
      <c r="D50" s="595">
        <f>D8/D33</f>
        <v>10.884884625356495</v>
      </c>
      <c r="E50" s="595">
        <f>E8/E33</f>
        <v>19.704606617065064</v>
      </c>
      <c r="F50" s="595">
        <f>F8/F33</f>
        <v>14.003692055244086</v>
      </c>
      <c r="G50" s="595">
        <f>G8/G33</f>
        <v>16.524945770065077</v>
      </c>
      <c r="H50" s="595">
        <f t="shared" si="10"/>
        <v>13.68917317909351</v>
      </c>
    </row>
    <row r="51" spans="2:8">
      <c r="B51" s="581" t="s">
        <v>400</v>
      </c>
      <c r="C51" s="595">
        <f>C8/C31</f>
        <v>0.2825272354086627</v>
      </c>
      <c r="D51" s="595">
        <f>D8/D31</f>
        <v>0.48160001835409638</v>
      </c>
      <c r="E51" s="595">
        <f>E8/E31</f>
        <v>0.66495718277053917</v>
      </c>
      <c r="F51" s="595">
        <f>F8/F31</f>
        <v>0.47178520917504735</v>
      </c>
      <c r="G51" s="595">
        <f>G8/G31</f>
        <v>0.50326736216245971</v>
      </c>
      <c r="H51" s="595">
        <f t="shared" si="10"/>
        <v>0.48082740157416104</v>
      </c>
    </row>
    <row r="52" spans="2:8">
      <c r="B52" s="592" t="s">
        <v>401</v>
      </c>
      <c r="C52" s="600">
        <f>C8/C32</f>
        <v>4.5839808726838012</v>
      </c>
      <c r="D52" s="600">
        <f>D8/D32</f>
        <v>8.0219738224897288</v>
      </c>
      <c r="E52" s="600">
        <f>E8/E32</f>
        <v>15.567033516758379</v>
      </c>
      <c r="F52" s="600">
        <f>F8/F32</f>
        <v>8.0465938555826195</v>
      </c>
      <c r="G52" s="600">
        <f>G8/G32</f>
        <v>27.947416692143076</v>
      </c>
      <c r="H52" s="595">
        <f t="shared" si="10"/>
        <v>12.83339975193152</v>
      </c>
    </row>
    <row r="53" spans="2:8">
      <c r="H53" s="595"/>
    </row>
    <row r="54" spans="2:8">
      <c r="B54" s="716" t="s">
        <v>402</v>
      </c>
      <c r="C54" s="716"/>
      <c r="D54" s="716"/>
      <c r="E54" s="716"/>
      <c r="F54" s="716"/>
      <c r="G54" s="716"/>
      <c r="H54" s="681" t="s">
        <v>74</v>
      </c>
    </row>
    <row r="55" spans="2:8">
      <c r="B55" s="581" t="s">
        <v>403</v>
      </c>
      <c r="C55" s="595">
        <f>C38/C31</f>
        <v>5.2018314825535497E-2</v>
      </c>
      <c r="D55" s="595">
        <f>D38/D31</f>
        <v>5.2039598962993552E-2</v>
      </c>
      <c r="E55" s="595">
        <f>E38/E31</f>
        <v>4.8789738822913493E-2</v>
      </c>
      <c r="F55" s="595">
        <f>F38/F31</f>
        <v>5.3080385318818611E-2</v>
      </c>
      <c r="G55" s="595">
        <f>G38/G31</f>
        <v>6.1152247515758762E-2</v>
      </c>
      <c r="H55" s="595">
        <f t="shared" si="10"/>
        <v>5.341605708920398E-2</v>
      </c>
    </row>
    <row r="56" spans="2:8">
      <c r="B56" s="581" t="s">
        <v>404</v>
      </c>
      <c r="C56" s="595">
        <f>C39/C31</f>
        <v>0.31512025682858796</v>
      </c>
      <c r="D56" s="595">
        <f>D39/D31</f>
        <v>0.4004175556932113</v>
      </c>
      <c r="E56" s="595">
        <f>E39/E31</f>
        <v>0.37307349178112198</v>
      </c>
      <c r="F56" s="595">
        <f>F39/F31</f>
        <v>0.36382775824975699</v>
      </c>
      <c r="G56" s="595">
        <f>G39/G31</f>
        <v>0.32673621624597426</v>
      </c>
      <c r="H56" s="595">
        <f t="shared" si="10"/>
        <v>0.35583505575973051</v>
      </c>
    </row>
    <row r="57" spans="2:8">
      <c r="B57" s="581" t="s">
        <v>405</v>
      </c>
      <c r="C57" s="595">
        <f>C13/(-C18)</f>
        <v>3.0156359803232609</v>
      </c>
      <c r="D57" s="595">
        <f>D13/(-D18)</f>
        <v>6.8360458107293551</v>
      </c>
      <c r="E57" s="595">
        <f>E13/(-E18)</f>
        <v>21.427217589082638</v>
      </c>
      <c r="F57" s="595">
        <f>F13/(-F18)</f>
        <v>11.11132596685083</v>
      </c>
      <c r="G57" s="595">
        <f>G13/(-G18)</f>
        <v>6.9010674303566777</v>
      </c>
      <c r="H57" s="595">
        <f t="shared" si="10"/>
        <v>9.8582585554685522</v>
      </c>
    </row>
    <row r="58" spans="2:8">
      <c r="B58" s="592" t="s">
        <v>406</v>
      </c>
      <c r="C58" s="600">
        <f>C16/(-C18)</f>
        <v>2.9009135628952918</v>
      </c>
      <c r="D58" s="600">
        <f>D16/(-D18)</f>
        <v>6.6962025316455698</v>
      </c>
      <c r="E58" s="600">
        <f>E16/(-E18)</f>
        <v>21.088324488248674</v>
      </c>
      <c r="F58" s="600">
        <f>F16/(-F18)</f>
        <v>10.909116022099447</v>
      </c>
      <c r="G58" s="600">
        <f>G16/(-G18)</f>
        <v>6.6886227544910177</v>
      </c>
      <c r="H58" s="595">
        <f t="shared" si="10"/>
        <v>9.6566358718760004</v>
      </c>
    </row>
    <row r="59" spans="2:8">
      <c r="H59" s="595"/>
    </row>
    <row r="60" spans="2:8">
      <c r="B60" s="716" t="s">
        <v>407</v>
      </c>
      <c r="C60" s="716"/>
      <c r="D60" s="716"/>
      <c r="E60" s="716"/>
      <c r="F60" s="716"/>
      <c r="G60" s="716"/>
      <c r="H60" s="681" t="s">
        <v>74</v>
      </c>
    </row>
    <row r="61" spans="2:8">
      <c r="B61" s="581" t="s">
        <v>408</v>
      </c>
      <c r="C61" s="602">
        <f>C20/C8</f>
        <v>2.1254400834528623E-2</v>
      </c>
      <c r="D61" s="602">
        <f>D20/D8</f>
        <v>0.23670295119453111</v>
      </c>
      <c r="E61" s="602">
        <f>E20/E8</f>
        <v>0.29422208654016102</v>
      </c>
      <c r="F61" s="602">
        <f>F20/F8</f>
        <v>0.24298645626849202</v>
      </c>
      <c r="G61" s="602">
        <f>G20/G8</f>
        <v>8.2348822963157431E-2</v>
      </c>
      <c r="H61" s="595">
        <f t="shared" si="10"/>
        <v>0.17550294356017404</v>
      </c>
    </row>
    <row r="62" spans="2:8">
      <c r="B62" s="581" t="s">
        <v>237</v>
      </c>
      <c r="C62" s="602">
        <f>C20/C39</f>
        <v>1.9056049168281113E-2</v>
      </c>
      <c r="D62" s="602">
        <f>D20/D39</f>
        <v>0.28469317595828797</v>
      </c>
      <c r="E62" s="602">
        <f>E20/E39</f>
        <v>0.52441434217309124</v>
      </c>
      <c r="F62" s="602">
        <f>F20/F39</f>
        <v>0.31508705286483063</v>
      </c>
      <c r="G62" s="602">
        <f>G20/G39</f>
        <v>0.1268407750631845</v>
      </c>
      <c r="H62" s="595">
        <f t="shared" si="10"/>
        <v>0.25401827904553509</v>
      </c>
    </row>
    <row r="63" spans="2:8">
      <c r="B63" s="592" t="s">
        <v>409</v>
      </c>
      <c r="C63" s="599">
        <f>C20/C31</f>
        <v>6.0049471080469447E-3</v>
      </c>
      <c r="D63" s="599">
        <f>D20/D31</f>
        <v>0.11399614563975498</v>
      </c>
      <c r="E63" s="599">
        <f>E20/E31</f>
        <v>0.19564508977461523</v>
      </c>
      <c r="F63" s="599">
        <f>F20/F31</f>
        <v>0.11463741609733401</v>
      </c>
      <c r="G63" s="599">
        <f>G20/G31</f>
        <v>4.1443474909851633E-2</v>
      </c>
      <c r="H63" s="595">
        <f t="shared" si="10"/>
        <v>9.4345414705920561E-2</v>
      </c>
    </row>
    <row r="64" spans="2:8">
      <c r="H64" s="595"/>
    </row>
    <row r="65" spans="2:8">
      <c r="B65" s="716" t="s">
        <v>410</v>
      </c>
      <c r="C65" s="716"/>
      <c r="D65" s="716"/>
      <c r="E65" s="716"/>
      <c r="F65" s="716"/>
      <c r="G65" s="716"/>
      <c r="H65" s="681" t="s">
        <v>74</v>
      </c>
    </row>
    <row r="66" spans="2:8">
      <c r="B66" s="581" t="s">
        <v>411</v>
      </c>
      <c r="C66" s="594">
        <v>11.23</v>
      </c>
      <c r="D66" s="594">
        <v>10.98</v>
      </c>
      <c r="E66" s="594">
        <v>10.65</v>
      </c>
      <c r="F66" s="594">
        <v>15.97</v>
      </c>
      <c r="G66" s="594">
        <v>12.86</v>
      </c>
      <c r="H66" s="595">
        <f t="shared" si="10"/>
        <v>12.337999999999999</v>
      </c>
    </row>
    <row r="67" spans="2:8">
      <c r="B67" s="581" t="s">
        <v>412</v>
      </c>
      <c r="C67" s="594">
        <v>11.06</v>
      </c>
      <c r="D67" s="594">
        <v>10.11</v>
      </c>
      <c r="E67" s="594">
        <v>9.2899999999999991</v>
      </c>
      <c r="F67" s="594">
        <v>15.28</v>
      </c>
      <c r="G67" s="594">
        <v>11.84</v>
      </c>
      <c r="H67" s="595">
        <f t="shared" si="10"/>
        <v>11.516</v>
      </c>
    </row>
    <row r="68" spans="2:8">
      <c r="B68" s="581" t="s">
        <v>413</v>
      </c>
      <c r="C68" s="594">
        <f>C66/C22</f>
        <v>128.38420697723927</v>
      </c>
      <c r="D68" s="594">
        <f>D66/D22</f>
        <v>7.2063059041901889</v>
      </c>
      <c r="E68" s="594">
        <f>E66/E22</f>
        <v>3.7932649818324551</v>
      </c>
      <c r="F68" s="594">
        <f>F66/F22</f>
        <v>8.3046934599811131</v>
      </c>
      <c r="G68" s="594">
        <f>G66/G22</f>
        <v>22.01768109809511</v>
      </c>
      <c r="H68" s="595">
        <f t="shared" si="10"/>
        <v>33.941230484267635</v>
      </c>
    </row>
    <row r="69" spans="2:8">
      <c r="B69" s="592" t="s">
        <v>414</v>
      </c>
      <c r="C69" s="601">
        <f>C66/C41</f>
        <v>2.4464957605890509</v>
      </c>
      <c r="D69" s="601">
        <f>D66/D41</f>
        <v>2.0515861147908669</v>
      </c>
      <c r="E69" s="601">
        <f>E66/E41</f>
        <v>1.9892425601358896</v>
      </c>
      <c r="F69" s="601">
        <f>F66/F41</f>
        <v>2.6167013872512821</v>
      </c>
      <c r="G69" s="601">
        <f>G66/G41</f>
        <v>2.792739735576411</v>
      </c>
      <c r="H69" s="595">
        <f t="shared" si="10"/>
        <v>2.3793531116687001</v>
      </c>
    </row>
    <row r="71" spans="2:8">
      <c r="C71" s="603"/>
      <c r="D71" s="603"/>
      <c r="E71" s="603"/>
      <c r="F71" s="603"/>
      <c r="G71" s="603"/>
    </row>
    <row r="72" spans="2:8">
      <c r="D72" s="594"/>
      <c r="E72" s="594"/>
      <c r="F72" s="594"/>
      <c r="G72" s="594"/>
    </row>
    <row r="74" spans="2:8">
      <c r="C74" s="603"/>
      <c r="D74" s="603"/>
      <c r="E74" s="603"/>
      <c r="F74" s="603"/>
      <c r="G74" s="603"/>
    </row>
    <row r="75" spans="2:8">
      <c r="C75" s="594"/>
      <c r="D75" s="594"/>
      <c r="E75" s="594"/>
      <c r="F75" s="594"/>
      <c r="G75" s="594"/>
    </row>
    <row r="78" spans="2:8">
      <c r="B78" s="581" t="s">
        <v>415</v>
      </c>
    </row>
    <row r="79" spans="2:8">
      <c r="B79" s="581" t="s">
        <v>416</v>
      </c>
    </row>
    <row r="80" spans="2:8">
      <c r="B80" s="581" t="s">
        <v>417</v>
      </c>
    </row>
    <row r="81" spans="2:2">
      <c r="B81" s="581" t="s">
        <v>418</v>
      </c>
    </row>
    <row r="82" spans="2:2">
      <c r="B82" s="581" t="s">
        <v>419</v>
      </c>
    </row>
    <row r="83" spans="2:2">
      <c r="B83" s="581" t="s">
        <v>420</v>
      </c>
    </row>
    <row r="84" spans="2:2">
      <c r="B84" s="581" t="s">
        <v>421</v>
      </c>
    </row>
  </sheetData>
  <mergeCells count="13">
    <mergeCell ref="H4:I4"/>
    <mergeCell ref="J4:K4"/>
    <mergeCell ref="L4:M4"/>
    <mergeCell ref="H3:I3"/>
    <mergeCell ref="J3:K3"/>
    <mergeCell ref="L3:M3"/>
    <mergeCell ref="B65:G65"/>
    <mergeCell ref="B6:G6"/>
    <mergeCell ref="B30:G30"/>
    <mergeCell ref="B43:G43"/>
    <mergeCell ref="B48:G48"/>
    <mergeCell ref="B54:G54"/>
    <mergeCell ref="B60:G60"/>
  </mergeCells>
  <conditionalFormatting sqref="C9:G9">
    <cfRule type="cellIs" dxfId="5" priority="3" operator="lessThan">
      <formula>0</formula>
    </cfRule>
    <cfRule type="cellIs" dxfId="4" priority="4" operator="greaterThan">
      <formula>0</formula>
    </cfRule>
  </conditionalFormatting>
  <conditionalFormatting sqref="D21:G21">
    <cfRule type="cellIs" dxfId="3" priority="1" operator="lessThan">
      <formula>0</formula>
    </cfRule>
    <cfRule type="cellIs" dxfId="2" priority="2" operator="greaterThan">
      <formula>0</formula>
    </cfRule>
  </conditionalFormatting>
  <hyperlinks>
    <hyperlink ref="B80" r:id="rId1" display="https://www.annualreports.com/HostedData/AnnualReportArchive/p/NYSE_PBR_2021.pdf" xr:uid="{39106EBF-A033-4B4B-A246-7BB4AF254BAB}"/>
  </hyperlink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E84CB-A18F-CA46-A6B5-BFB029C83AE0}">
  <sheetPr codeName="Sheet12"/>
  <dimension ref="A1:X1001"/>
  <sheetViews>
    <sheetView showGridLines="0" zoomScale="56" workbookViewId="0">
      <selection activeCell="R61" sqref="R61"/>
    </sheetView>
  </sheetViews>
  <sheetFormatPr defaultColWidth="14.33203125" defaultRowHeight="15" customHeight="1" outlineLevelRow="1"/>
  <cols>
    <col min="1" max="1" width="32.44140625" style="605" bestFit="1" customWidth="1"/>
    <col min="2" max="2" width="12.33203125" style="605" customWidth="1"/>
    <col min="3" max="3" width="11.109375" style="605" customWidth="1"/>
    <col min="4" max="7" width="17.44140625" style="605" bestFit="1" customWidth="1"/>
    <col min="8" max="8" width="17.109375" style="605" bestFit="1" customWidth="1"/>
    <col min="9" max="9" width="17.44140625" style="605" bestFit="1" customWidth="1"/>
    <col min="10" max="10" width="17.21875" style="605" bestFit="1" customWidth="1"/>
    <col min="11" max="11" width="17.5546875" style="605" bestFit="1" customWidth="1"/>
    <col min="12" max="12" width="18" style="605" bestFit="1" customWidth="1"/>
    <col min="13" max="13" width="17.5546875" style="605" bestFit="1" customWidth="1"/>
    <col min="14" max="14" width="18" style="605" bestFit="1" customWidth="1"/>
    <col min="15" max="15" width="17.5546875" style="605" bestFit="1" customWidth="1"/>
    <col min="16" max="16" width="18" style="605" bestFit="1" customWidth="1"/>
    <col min="17" max="17" width="11.109375" style="605" bestFit="1" customWidth="1"/>
    <col min="18" max="24" width="9.109375" style="605" customWidth="1"/>
    <col min="25" max="16384" width="14.33203125" style="605"/>
  </cols>
  <sheetData>
    <row r="1" spans="1:24" ht="21">
      <c r="A1" s="652"/>
      <c r="B1" s="652"/>
      <c r="C1" s="652"/>
      <c r="D1" s="713" t="s">
        <v>422</v>
      </c>
      <c r="E1" s="713"/>
      <c r="F1" s="713"/>
      <c r="G1" s="713"/>
      <c r="H1" s="713"/>
      <c r="I1" s="721" t="s">
        <v>423</v>
      </c>
      <c r="J1" s="721"/>
      <c r="K1" s="721"/>
      <c r="L1" s="721"/>
      <c r="M1" s="721"/>
      <c r="N1" s="721"/>
      <c r="O1" s="721"/>
      <c r="P1" s="721"/>
      <c r="Q1" s="604"/>
      <c r="R1" s="604"/>
      <c r="S1" s="604"/>
      <c r="T1" s="604"/>
      <c r="U1" s="604"/>
      <c r="V1" s="604"/>
      <c r="W1" s="604"/>
      <c r="X1" s="604"/>
    </row>
    <row r="2" spans="1:24" ht="24" customHeight="1">
      <c r="A2" s="652"/>
      <c r="B2" s="652"/>
      <c r="C2" s="652"/>
      <c r="D2" s="476">
        <v>2020</v>
      </c>
      <c r="E2" s="476">
        <f t="shared" ref="E2:P2" si="0">+D2+1</f>
        <v>2021</v>
      </c>
      <c r="F2" s="476">
        <f t="shared" si="0"/>
        <v>2022</v>
      </c>
      <c r="G2" s="476">
        <f t="shared" si="0"/>
        <v>2023</v>
      </c>
      <c r="H2" s="476">
        <f t="shared" si="0"/>
        <v>2024</v>
      </c>
      <c r="I2" s="655">
        <f t="shared" si="0"/>
        <v>2025</v>
      </c>
      <c r="J2" s="655">
        <f t="shared" si="0"/>
        <v>2026</v>
      </c>
      <c r="K2" s="655">
        <f t="shared" si="0"/>
        <v>2027</v>
      </c>
      <c r="L2" s="655">
        <f t="shared" si="0"/>
        <v>2028</v>
      </c>
      <c r="M2" s="655">
        <f t="shared" si="0"/>
        <v>2029</v>
      </c>
      <c r="N2" s="655">
        <f t="shared" si="0"/>
        <v>2030</v>
      </c>
      <c r="O2" s="655">
        <f t="shared" si="0"/>
        <v>2031</v>
      </c>
      <c r="P2" s="655">
        <f t="shared" si="0"/>
        <v>2032</v>
      </c>
      <c r="Q2" s="604"/>
      <c r="R2" s="604"/>
      <c r="S2" s="604"/>
      <c r="T2" s="604"/>
      <c r="U2" s="604"/>
      <c r="V2" s="604"/>
      <c r="W2" s="604"/>
    </row>
    <row r="3" spans="1:24" ht="15.6">
      <c r="A3" s="606" t="s">
        <v>424</v>
      </c>
      <c r="B3" s="606"/>
      <c r="C3" s="607"/>
      <c r="D3" s="608" t="str">
        <f t="shared" ref="D3:P3" si="1">IFERROR(IF(ABS(D60)&gt;1,"ERROR","OK"),"OK")</f>
        <v>OK</v>
      </c>
      <c r="E3" s="608" t="str">
        <f t="shared" si="1"/>
        <v>OK</v>
      </c>
      <c r="F3" s="608" t="str">
        <f t="shared" si="1"/>
        <v>OK</v>
      </c>
      <c r="G3" s="608" t="str">
        <f t="shared" si="1"/>
        <v>OK</v>
      </c>
      <c r="H3" s="608" t="str">
        <f t="shared" si="1"/>
        <v>OK</v>
      </c>
      <c r="I3" s="608" t="str">
        <f t="shared" si="1"/>
        <v>OK</v>
      </c>
      <c r="J3" s="608" t="str">
        <f t="shared" si="1"/>
        <v>OK</v>
      </c>
      <c r="K3" s="608" t="str">
        <f t="shared" si="1"/>
        <v>OK</v>
      </c>
      <c r="L3" s="608" t="str">
        <f t="shared" si="1"/>
        <v>OK</v>
      </c>
      <c r="M3" s="608" t="str">
        <f t="shared" si="1"/>
        <v>OK</v>
      </c>
      <c r="N3" s="608" t="str">
        <f>IFERROR(IF(ABS(N60)&gt;1,"ERROR","OK"),"OK")</f>
        <v>OK</v>
      </c>
      <c r="O3" s="608" t="str">
        <f t="shared" si="1"/>
        <v>OK</v>
      </c>
      <c r="P3" s="608" t="str">
        <f t="shared" si="1"/>
        <v>OK</v>
      </c>
      <c r="Q3" s="604"/>
      <c r="R3" s="604"/>
      <c r="S3" s="604"/>
      <c r="T3" s="604"/>
      <c r="U3" s="604"/>
      <c r="V3" s="604"/>
      <c r="W3" s="604"/>
      <c r="X3" s="604"/>
    </row>
    <row r="4" spans="1:24" ht="15.6">
      <c r="A4" s="604" t="s">
        <v>425</v>
      </c>
      <c r="B4" s="604"/>
      <c r="C4" s="609"/>
      <c r="D4" s="604"/>
      <c r="E4" s="604"/>
      <c r="F4" s="604"/>
      <c r="G4" s="604"/>
      <c r="H4" s="604"/>
      <c r="I4" s="604"/>
      <c r="J4" s="604"/>
      <c r="K4" s="604"/>
      <c r="L4" s="604"/>
      <c r="M4" s="604"/>
      <c r="N4" s="604"/>
      <c r="O4" s="604"/>
      <c r="P4" s="604"/>
      <c r="Q4" s="604"/>
      <c r="R4" s="604"/>
      <c r="S4" s="604"/>
      <c r="T4" s="604"/>
      <c r="U4" s="604"/>
      <c r="V4" s="604"/>
      <c r="W4" s="604"/>
      <c r="X4" s="604"/>
    </row>
    <row r="5" spans="1:24" ht="21">
      <c r="A5" s="476" t="s">
        <v>335</v>
      </c>
      <c r="B5" s="476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604"/>
      <c r="R5" s="604"/>
      <c r="S5" s="604"/>
      <c r="T5" s="604"/>
      <c r="U5" s="604"/>
      <c r="V5" s="604"/>
      <c r="W5" s="604"/>
      <c r="X5" s="604"/>
    </row>
    <row r="6" spans="1:24" ht="15.6" outlineLevel="1">
      <c r="A6" s="604"/>
      <c r="B6" s="604"/>
      <c r="C6" s="609"/>
      <c r="D6" s="604"/>
      <c r="E6" s="604"/>
      <c r="F6" s="604"/>
      <c r="G6" s="604"/>
      <c r="H6" s="604"/>
      <c r="I6" s="610"/>
      <c r="J6" s="610"/>
      <c r="K6" s="610"/>
      <c r="L6" s="610"/>
      <c r="M6" s="610"/>
      <c r="N6" s="604"/>
      <c r="O6" s="604"/>
      <c r="P6" s="604"/>
      <c r="Q6" s="604"/>
      <c r="R6" s="604"/>
      <c r="S6" s="604"/>
      <c r="T6" s="604"/>
      <c r="U6" s="604"/>
      <c r="V6" s="604"/>
      <c r="W6" s="604"/>
      <c r="X6" s="604"/>
    </row>
    <row r="7" spans="1:24" ht="15.6" outlineLevel="1">
      <c r="A7" s="611" t="s">
        <v>426</v>
      </c>
      <c r="B7" s="604"/>
      <c r="C7" s="609"/>
      <c r="D7" s="604"/>
      <c r="E7" s="604"/>
      <c r="F7" s="604"/>
      <c r="G7" s="604"/>
      <c r="H7" s="604"/>
      <c r="I7" s="610"/>
      <c r="J7" s="610"/>
      <c r="K7" s="610"/>
      <c r="L7" s="610"/>
      <c r="M7" s="610"/>
      <c r="N7" s="604"/>
      <c r="O7" s="604"/>
      <c r="P7" s="604"/>
      <c r="Q7" s="604"/>
      <c r="R7" s="604"/>
      <c r="S7" s="604"/>
      <c r="T7" s="604"/>
      <c r="U7" s="604"/>
      <c r="V7" s="604"/>
      <c r="W7" s="604"/>
      <c r="X7" s="604"/>
    </row>
    <row r="8" spans="1:24" ht="15.6" outlineLevel="1">
      <c r="A8" s="612" t="s">
        <v>427</v>
      </c>
      <c r="B8" s="613"/>
      <c r="C8" s="614"/>
      <c r="D8" s="615"/>
      <c r="E8" s="615">
        <f t="shared" ref="E8:H8" si="2">E26/D26-1</f>
        <v>0.56410781811746746</v>
      </c>
      <c r="F8" s="615">
        <f t="shared" si="2"/>
        <v>0.48243336588619212</v>
      </c>
      <c r="G8" s="615">
        <f t="shared" si="2"/>
        <v>-0.17726593505471022</v>
      </c>
      <c r="H8" s="615">
        <f t="shared" si="2"/>
        <v>-0.1073440810866233</v>
      </c>
      <c r="I8" s="656">
        <v>0.1162</v>
      </c>
      <c r="J8" s="656">
        <v>0.1162</v>
      </c>
      <c r="K8" s="656">
        <v>6.1800000000000001E-2</v>
      </c>
      <c r="L8" s="656">
        <v>6.1800000000000001E-2</v>
      </c>
      <c r="M8" s="656">
        <v>6.1800000000000001E-2</v>
      </c>
      <c r="N8" s="656">
        <v>6.1800000000000001E-2</v>
      </c>
      <c r="O8" s="656">
        <v>6.1800000000000001E-2</v>
      </c>
      <c r="P8" s="656">
        <v>6.1800000000000001E-2</v>
      </c>
      <c r="Q8" s="604"/>
      <c r="R8" s="604"/>
      <c r="S8" s="604"/>
      <c r="T8" s="604"/>
      <c r="U8" s="604"/>
      <c r="V8" s="604"/>
      <c r="W8" s="604"/>
      <c r="X8" s="604"/>
    </row>
    <row r="9" spans="1:24" ht="15.6" outlineLevel="1">
      <c r="A9" s="616" t="s">
        <v>428</v>
      </c>
      <c r="B9" s="604"/>
      <c r="C9" s="609"/>
      <c r="D9" s="617">
        <f t="shared" ref="D9:H9" si="3">D27/D26</f>
        <v>0.54384069444703165</v>
      </c>
      <c r="E9" s="617">
        <f t="shared" si="3"/>
        <v>0.51406521687349638</v>
      </c>
      <c r="F9" s="617">
        <f t="shared" si="3"/>
        <v>0.47789899898774041</v>
      </c>
      <c r="G9" s="617">
        <f t="shared" si="3"/>
        <v>0.47295647843451261</v>
      </c>
      <c r="H9" s="617">
        <f t="shared" si="3"/>
        <v>0.4971121029141507</v>
      </c>
      <c r="I9" s="657">
        <v>0.50117469833138628</v>
      </c>
      <c r="J9" s="657">
        <v>0.50117469833138628</v>
      </c>
      <c r="K9" s="657">
        <v>0.50117469833138628</v>
      </c>
      <c r="L9" s="657">
        <v>0.50117469833138628</v>
      </c>
      <c r="M9" s="657">
        <v>0.50117469833138628</v>
      </c>
      <c r="N9" s="657">
        <v>0.50117469833138628</v>
      </c>
      <c r="O9" s="657">
        <v>0.50117469833138628</v>
      </c>
      <c r="P9" s="657">
        <v>0.50117469833138628</v>
      </c>
      <c r="Q9" s="604"/>
      <c r="R9" s="604"/>
      <c r="S9" s="604"/>
      <c r="T9" s="604"/>
      <c r="U9" s="604"/>
      <c r="V9" s="604"/>
      <c r="W9" s="604"/>
      <c r="X9" s="604"/>
    </row>
    <row r="10" spans="1:24" ht="15.6" outlineLevel="1">
      <c r="A10" s="616" t="s">
        <v>429</v>
      </c>
      <c r="B10" s="604"/>
      <c r="C10" s="609"/>
      <c r="D10" s="617">
        <f t="shared" ref="D10:H10" si="4">D30/D26</f>
        <v>8.5315649274444426E-3</v>
      </c>
      <c r="E10" s="617">
        <f t="shared" si="4"/>
        <v>2.9952599861848842E-2</v>
      </c>
      <c r="F10" s="617">
        <f t="shared" si="4"/>
        <v>1.7577968089721549E-2</v>
      </c>
      <c r="G10" s="617">
        <f t="shared" si="4"/>
        <v>3.2516673339257292E-2</v>
      </c>
      <c r="H10" s="617">
        <f t="shared" si="4"/>
        <v>4.8766080336046208E-2</v>
      </c>
      <c r="I10" s="657">
        <v>4.19E-2</v>
      </c>
      <c r="J10" s="657">
        <v>4.19E-2</v>
      </c>
      <c r="K10" s="657">
        <v>4.19E-2</v>
      </c>
      <c r="L10" s="657">
        <v>4.19E-2</v>
      </c>
      <c r="M10" s="657">
        <v>4.19E-2</v>
      </c>
      <c r="N10" s="657">
        <v>4.19E-2</v>
      </c>
      <c r="O10" s="657">
        <v>4.19E-2</v>
      </c>
      <c r="P10" s="657">
        <v>4.19E-2</v>
      </c>
      <c r="Q10" s="604"/>
      <c r="R10" s="604"/>
      <c r="S10" s="604"/>
      <c r="T10" s="604"/>
      <c r="U10" s="604"/>
      <c r="V10" s="604"/>
      <c r="W10" s="604"/>
      <c r="X10" s="604"/>
    </row>
    <row r="11" spans="1:24" ht="15.6" outlineLevel="1">
      <c r="A11" s="616" t="s">
        <v>430</v>
      </c>
      <c r="B11" s="604"/>
      <c r="C11" s="609"/>
      <c r="D11" s="604">
        <f t="shared" ref="D11:H11" si="5">D31</f>
        <v>4415000</v>
      </c>
      <c r="E11" s="604">
        <f t="shared" si="5"/>
        <v>3798000</v>
      </c>
      <c r="F11" s="604">
        <f t="shared" si="5"/>
        <v>4349000</v>
      </c>
      <c r="G11" s="604">
        <f t="shared" si="5"/>
        <v>4731000</v>
      </c>
      <c r="H11" s="604">
        <f t="shared" si="5"/>
        <v>4575000</v>
      </c>
      <c r="I11" s="658">
        <v>4741859.2</v>
      </c>
      <c r="J11" s="658">
        <v>4741859.2</v>
      </c>
      <c r="K11" s="658">
        <v>4741859.2</v>
      </c>
      <c r="L11" s="658">
        <v>4741859.2</v>
      </c>
      <c r="M11" s="658">
        <v>4741859.2</v>
      </c>
      <c r="N11" s="658">
        <v>4741860.2</v>
      </c>
      <c r="O11" s="658">
        <v>4741861.2</v>
      </c>
      <c r="P11" s="658">
        <v>4741862.2</v>
      </c>
      <c r="Q11" s="604"/>
      <c r="R11" s="604"/>
      <c r="S11" s="604"/>
      <c r="T11" s="604"/>
      <c r="U11" s="604"/>
      <c r="V11" s="604"/>
      <c r="W11" s="604"/>
      <c r="X11" s="604"/>
    </row>
    <row r="12" spans="1:24" ht="15.6" outlineLevel="1">
      <c r="A12" s="616" t="s">
        <v>431</v>
      </c>
      <c r="B12" s="604"/>
      <c r="C12" s="609"/>
      <c r="D12" s="617">
        <f t="shared" ref="D12:H12" si="6">D32/D47</f>
        <v>5.2542772472093189E-3</v>
      </c>
      <c r="E12" s="617">
        <f t="shared" si="6"/>
        <v>5.5483499637683179E-3</v>
      </c>
      <c r="F12" s="617">
        <f t="shared" si="6"/>
        <v>6.958693073376071E-3</v>
      </c>
      <c r="G12" s="617">
        <f t="shared" si="6"/>
        <v>4.7807328628360719E-3</v>
      </c>
      <c r="H12" s="617">
        <f t="shared" si="6"/>
        <v>5.9800109340396E-3</v>
      </c>
      <c r="I12" s="657">
        <v>5.6874970260894376E-3</v>
      </c>
      <c r="J12" s="657">
        <v>5.6874970260894376E-3</v>
      </c>
      <c r="K12" s="657">
        <v>5.6874970260894376E-3</v>
      </c>
      <c r="L12" s="657">
        <v>5.6874970260894376E-3</v>
      </c>
      <c r="M12" s="657">
        <v>5.6874970260894376E-3</v>
      </c>
      <c r="N12" s="657">
        <v>5.6874970260894376E-3</v>
      </c>
      <c r="O12" s="657">
        <v>5.6874970260894376E-3</v>
      </c>
      <c r="P12" s="657">
        <v>5.6874970260894376E-3</v>
      </c>
      <c r="Q12" s="604"/>
      <c r="R12" s="604"/>
      <c r="S12" s="604"/>
      <c r="T12" s="604"/>
      <c r="U12" s="604"/>
      <c r="V12" s="604"/>
      <c r="W12" s="604"/>
      <c r="X12" s="604"/>
    </row>
    <row r="13" spans="1:24" ht="15.6" outlineLevel="1">
      <c r="A13" s="616" t="s">
        <v>432</v>
      </c>
      <c r="B13" s="604"/>
      <c r="C13" s="609"/>
      <c r="D13" s="617">
        <f t="shared" ref="D13:H13" si="7">D33/D52</f>
        <v>7.5460091792985864E-2</v>
      </c>
      <c r="E13" s="617">
        <f>E33/E52</f>
        <v>6.4016155171970263E-2</v>
      </c>
      <c r="F13" s="617">
        <f t="shared" si="7"/>
        <v>3.2322133309808508E-2</v>
      </c>
      <c r="G13" s="617">
        <f t="shared" si="7"/>
        <v>3.6314098898739842E-2</v>
      </c>
      <c r="H13" s="617">
        <f t="shared" si="7"/>
        <v>4.0299650617452339E-2</v>
      </c>
      <c r="I13" s="657">
        <v>4.9682425958191369E-2</v>
      </c>
      <c r="J13" s="657">
        <v>4.9682425958191369E-2</v>
      </c>
      <c r="K13" s="657">
        <v>4.9682425958191369E-2</v>
      </c>
      <c r="L13" s="657">
        <v>4.9682425958191369E-2</v>
      </c>
      <c r="M13" s="657">
        <v>4.9682425958191369E-2</v>
      </c>
      <c r="N13" s="657">
        <v>4.9682425958191369E-2</v>
      </c>
      <c r="O13" s="657">
        <v>4.9682425958191369E-2</v>
      </c>
      <c r="P13" s="657">
        <v>4.9682425958191369E-2</v>
      </c>
      <c r="Q13" s="604"/>
      <c r="R13" s="604"/>
      <c r="S13" s="604"/>
      <c r="T13" s="604"/>
      <c r="U13" s="604"/>
      <c r="V13" s="604"/>
      <c r="W13" s="604"/>
      <c r="X13" s="604"/>
    </row>
    <row r="14" spans="1:24" ht="15.6" outlineLevel="1">
      <c r="A14" s="616" t="s">
        <v>433</v>
      </c>
      <c r="B14" s="618"/>
      <c r="C14" s="619"/>
      <c r="D14" s="617">
        <f t="shared" ref="D14:G14" si="8">D37/D35</f>
        <v>-8.8470233609645815E-2</v>
      </c>
      <c r="E14" s="617">
        <f t="shared" si="8"/>
        <v>0.28591754580788453</v>
      </c>
      <c r="F14" s="617">
        <f t="shared" si="8"/>
        <v>0.30535880114350222</v>
      </c>
      <c r="G14" s="617">
        <f t="shared" si="8"/>
        <v>0.25025865595149299</v>
      </c>
      <c r="H14" s="617">
        <f>H37/H35</f>
        <v>0.10956570224893129</v>
      </c>
      <c r="I14" s="657">
        <v>0.32500000000000001</v>
      </c>
      <c r="J14" s="657">
        <v>0.33</v>
      </c>
      <c r="K14" s="657">
        <v>0.33500000000000002</v>
      </c>
      <c r="L14" s="657">
        <v>0.34</v>
      </c>
      <c r="M14" s="657">
        <v>0.34</v>
      </c>
      <c r="N14" s="657">
        <v>0.34</v>
      </c>
      <c r="O14" s="657">
        <v>0.34</v>
      </c>
      <c r="P14" s="657">
        <v>0.34</v>
      </c>
      <c r="Q14" s="604"/>
      <c r="R14" s="604"/>
      <c r="S14" s="604"/>
      <c r="T14" s="604"/>
      <c r="U14" s="604"/>
      <c r="V14" s="604"/>
      <c r="W14" s="604"/>
      <c r="X14" s="604"/>
    </row>
    <row r="15" spans="1:24" ht="15.6" outlineLevel="1">
      <c r="A15" s="616" t="s">
        <v>434</v>
      </c>
      <c r="B15" s="604"/>
      <c r="C15" s="620"/>
      <c r="D15" s="604">
        <f>D45/D26*365</f>
        <v>32.166887096473744</v>
      </c>
      <c r="E15" s="604">
        <f t="shared" ref="D15:H16" si="9">E45/E26*365</f>
        <v>27.681680680275349</v>
      </c>
      <c r="F15" s="604">
        <f t="shared" si="9"/>
        <v>14.691019811366228</v>
      </c>
      <c r="G15" s="604">
        <f t="shared" si="9"/>
        <v>21.865998105635246</v>
      </c>
      <c r="H15" s="604">
        <f t="shared" si="9"/>
        <v>14.238098363524985</v>
      </c>
      <c r="I15" s="658">
        <v>22</v>
      </c>
      <c r="J15" s="658">
        <v>22</v>
      </c>
      <c r="K15" s="658">
        <v>22</v>
      </c>
      <c r="L15" s="658">
        <v>22</v>
      </c>
      <c r="M15" s="658">
        <v>22</v>
      </c>
      <c r="N15" s="658">
        <v>22</v>
      </c>
      <c r="O15" s="658">
        <v>22</v>
      </c>
      <c r="P15" s="658">
        <v>22</v>
      </c>
      <c r="Q15" s="604"/>
      <c r="R15" s="604"/>
      <c r="S15" s="604"/>
      <c r="T15" s="604"/>
      <c r="U15" s="604"/>
      <c r="V15" s="604"/>
      <c r="W15" s="604"/>
      <c r="X15" s="604"/>
    </row>
    <row r="16" spans="1:24" ht="15.6" outlineLevel="1">
      <c r="A16" s="616" t="s">
        <v>435</v>
      </c>
      <c r="B16" s="604"/>
      <c r="C16" s="620"/>
      <c r="D16" s="604">
        <f t="shared" si="9"/>
        <v>70.974653194040073</v>
      </c>
      <c r="E16" s="604">
        <f t="shared" si="9"/>
        <v>61.349156704661297</v>
      </c>
      <c r="F16" s="604">
        <f t="shared" si="9"/>
        <v>53.867044346568939</v>
      </c>
      <c r="G16" s="604">
        <f t="shared" si="9"/>
        <v>57.883039124599982</v>
      </c>
      <c r="H16" s="604">
        <f t="shared" si="9"/>
        <v>53.893803362380076</v>
      </c>
      <c r="I16" s="658">
        <v>36.799452517175034</v>
      </c>
      <c r="J16" s="658">
        <v>32.968511482866006</v>
      </c>
      <c r="K16" s="658">
        <v>31.04964351371822</v>
      </c>
      <c r="L16" s="658">
        <v>29.242459515650985</v>
      </c>
      <c r="M16" s="658">
        <v>27.540459140752485</v>
      </c>
      <c r="N16" s="658">
        <v>27.540459140752485</v>
      </c>
      <c r="O16" s="658">
        <v>27.540459140752485</v>
      </c>
      <c r="P16" s="658">
        <v>27.540459140752485</v>
      </c>
      <c r="Q16" s="604"/>
      <c r="R16" s="604"/>
      <c r="S16" s="604"/>
      <c r="T16" s="604"/>
      <c r="U16" s="604"/>
      <c r="V16" s="604"/>
      <c r="W16" s="604"/>
      <c r="X16" s="604"/>
    </row>
    <row r="17" spans="1:24" ht="15.6" outlineLevel="1">
      <c r="A17" s="616" t="s">
        <v>436</v>
      </c>
      <c r="B17" s="604"/>
      <c r="C17" s="620"/>
      <c r="D17" s="604">
        <f t="shared" ref="D17:H17" si="10">D51/D27*365</f>
        <v>85.752183593081014</v>
      </c>
      <c r="E17" s="604">
        <f t="shared" si="10"/>
        <v>46.364910573626176</v>
      </c>
      <c r="F17" s="604">
        <f t="shared" si="10"/>
        <v>33.526544060787415</v>
      </c>
      <c r="G17" s="604">
        <f t="shared" si="10"/>
        <v>36.27015587901311</v>
      </c>
      <c r="H17" s="604">
        <f t="shared" si="10"/>
        <v>48.849793152011259</v>
      </c>
      <c r="I17" s="658">
        <v>29.25547301244919</v>
      </c>
      <c r="J17" s="658">
        <v>26.209884440466936</v>
      </c>
      <c r="K17" s="658">
        <v>24.684389188610787</v>
      </c>
      <c r="L17" s="658">
        <v>23.247682415342613</v>
      </c>
      <c r="M17" s="658">
        <v>21.894596360277465</v>
      </c>
      <c r="N17" s="658">
        <v>21.894596360277465</v>
      </c>
      <c r="O17" s="658">
        <v>21.894596360277465</v>
      </c>
      <c r="P17" s="658">
        <v>21.894596360277465</v>
      </c>
      <c r="Q17" s="604"/>
      <c r="R17" s="604"/>
      <c r="S17" s="604"/>
      <c r="T17" s="604"/>
      <c r="U17" s="604"/>
      <c r="V17" s="604"/>
      <c r="W17" s="604"/>
      <c r="X17" s="604"/>
    </row>
    <row r="18" spans="1:24" ht="15.6" outlineLevel="1">
      <c r="A18" s="616" t="s">
        <v>437</v>
      </c>
      <c r="B18" s="604"/>
      <c r="C18" s="609"/>
      <c r="D18" s="604">
        <f t="shared" ref="D18:H18" si="11">D72</f>
        <v>-4510000</v>
      </c>
      <c r="E18" s="604">
        <f t="shared" si="11"/>
        <v>2157000</v>
      </c>
      <c r="F18" s="604">
        <f t="shared" si="11"/>
        <v>-432000</v>
      </c>
      <c r="G18" s="604">
        <f t="shared" si="11"/>
        <v>-7955000</v>
      </c>
      <c r="H18" s="604">
        <f t="shared" si="11"/>
        <v>-13369000</v>
      </c>
      <c r="I18" s="658">
        <v>-4821800</v>
      </c>
      <c r="J18" s="658">
        <v>-4821800</v>
      </c>
      <c r="K18" s="658">
        <v>-4821800</v>
      </c>
      <c r="L18" s="658">
        <v>-4821800</v>
      </c>
      <c r="M18" s="658">
        <v>-4821800</v>
      </c>
      <c r="N18" s="658">
        <v>-4821800</v>
      </c>
      <c r="O18" s="658">
        <v>-4821800</v>
      </c>
      <c r="P18" s="658">
        <v>-4821800</v>
      </c>
      <c r="Q18" s="604"/>
      <c r="R18" s="604"/>
      <c r="S18" s="604"/>
      <c r="T18" s="604"/>
      <c r="U18" s="604"/>
      <c r="V18" s="604"/>
      <c r="W18" s="604"/>
      <c r="X18" s="604"/>
    </row>
    <row r="19" spans="1:24" ht="15.6" outlineLevel="1">
      <c r="A19" s="616" t="s">
        <v>438</v>
      </c>
      <c r="B19" s="604"/>
      <c r="C19" s="609"/>
      <c r="D19" s="604">
        <f t="shared" ref="D19:H20" si="12">D76</f>
        <v>-8704000</v>
      </c>
      <c r="E19" s="604">
        <f t="shared" si="12"/>
        <v>-19528000</v>
      </c>
      <c r="F19" s="604">
        <f t="shared" si="12"/>
        <v>-6454000</v>
      </c>
      <c r="G19" s="604">
        <f t="shared" si="12"/>
        <v>-1983000</v>
      </c>
      <c r="H19" s="604">
        <f t="shared" si="12"/>
        <v>-4407000</v>
      </c>
      <c r="I19" s="658">
        <v>-8215200</v>
      </c>
      <c r="J19" s="658">
        <v>-8215200</v>
      </c>
      <c r="K19" s="658">
        <v>-8215200</v>
      </c>
      <c r="L19" s="658">
        <v>-8215200</v>
      </c>
      <c r="M19" s="658">
        <v>-8215200</v>
      </c>
      <c r="N19" s="658">
        <v>-8215200</v>
      </c>
      <c r="O19" s="658">
        <v>-8215200</v>
      </c>
      <c r="P19" s="658">
        <v>-8215200</v>
      </c>
      <c r="Q19" s="604"/>
      <c r="R19" s="604"/>
      <c r="S19" s="604"/>
      <c r="T19" s="604"/>
      <c r="U19" s="604"/>
      <c r="V19" s="604"/>
      <c r="W19" s="604"/>
      <c r="X19" s="604"/>
    </row>
    <row r="20" spans="1:24" ht="15.6" outlineLevel="1">
      <c r="A20" s="616" t="s">
        <v>439</v>
      </c>
      <c r="B20" s="604"/>
      <c r="C20" s="609"/>
      <c r="D20" s="604">
        <f t="shared" si="12"/>
        <v>0</v>
      </c>
      <c r="E20" s="604">
        <f t="shared" si="12"/>
        <v>0</v>
      </c>
      <c r="F20" s="604">
        <f t="shared" si="12"/>
        <v>0</v>
      </c>
      <c r="G20" s="604">
        <f t="shared" si="12"/>
        <v>-735000</v>
      </c>
      <c r="H20" s="604">
        <f t="shared" si="12"/>
        <v>-380000</v>
      </c>
      <c r="I20" s="658">
        <v>-223000</v>
      </c>
      <c r="J20" s="658">
        <v>-223000</v>
      </c>
      <c r="K20" s="658">
        <v>-223000</v>
      </c>
      <c r="L20" s="658">
        <v>-223000</v>
      </c>
      <c r="M20" s="658">
        <v>-223000</v>
      </c>
      <c r="N20" s="658">
        <v>-223000</v>
      </c>
      <c r="O20" s="658">
        <v>-223000</v>
      </c>
      <c r="P20" s="658">
        <v>-223000</v>
      </c>
      <c r="Q20" s="604"/>
      <c r="R20" s="604"/>
      <c r="S20" s="604"/>
      <c r="T20" s="604"/>
      <c r="U20" s="604"/>
      <c r="V20" s="604"/>
      <c r="W20" s="604"/>
      <c r="X20" s="604"/>
    </row>
    <row r="21" spans="1:24" ht="15.6" outlineLevel="1">
      <c r="A21" s="616" t="s">
        <v>45</v>
      </c>
      <c r="B21" s="604"/>
      <c r="C21" s="609"/>
      <c r="D21" s="658">
        <v>365</v>
      </c>
      <c r="E21" s="658">
        <v>365</v>
      </c>
      <c r="F21" s="658">
        <v>365</v>
      </c>
      <c r="G21" s="658">
        <v>365</v>
      </c>
      <c r="H21" s="658">
        <v>365</v>
      </c>
      <c r="I21" s="658">
        <v>365</v>
      </c>
      <c r="J21" s="658">
        <v>365</v>
      </c>
      <c r="K21" s="658">
        <v>365</v>
      </c>
      <c r="L21" s="658">
        <v>365</v>
      </c>
      <c r="M21" s="658">
        <v>365</v>
      </c>
      <c r="N21" s="658">
        <v>365</v>
      </c>
      <c r="O21" s="658">
        <v>365</v>
      </c>
      <c r="P21" s="658">
        <v>365</v>
      </c>
      <c r="Q21" s="604"/>
      <c r="R21" s="604"/>
      <c r="S21" s="604"/>
      <c r="T21" s="604"/>
      <c r="U21" s="604"/>
      <c r="V21" s="604"/>
      <c r="W21" s="604"/>
      <c r="X21" s="604"/>
    </row>
    <row r="22" spans="1:24" ht="15.6" outlineLevel="1">
      <c r="A22" s="604"/>
      <c r="B22" s="604"/>
      <c r="C22" s="609"/>
      <c r="D22" s="604"/>
      <c r="E22" s="604"/>
      <c r="F22" s="604"/>
      <c r="G22" s="604"/>
      <c r="H22" s="604"/>
      <c r="I22" s="610"/>
      <c r="J22" s="610"/>
      <c r="K22" s="610"/>
      <c r="L22" s="610"/>
      <c r="M22" s="610"/>
      <c r="N22" s="610"/>
      <c r="O22" s="610"/>
      <c r="P22" s="610"/>
      <c r="Q22" s="604"/>
      <c r="R22" s="604"/>
      <c r="S22" s="604"/>
      <c r="T22" s="604"/>
      <c r="U22" s="604"/>
      <c r="V22" s="604"/>
      <c r="W22" s="604"/>
      <c r="X22" s="604"/>
    </row>
    <row r="23" spans="1:24" ht="15.6">
      <c r="A23" s="604"/>
      <c r="B23" s="604"/>
      <c r="C23" s="609"/>
      <c r="D23" s="604"/>
      <c r="E23" s="604"/>
      <c r="F23" s="604"/>
      <c r="G23" s="604"/>
      <c r="H23" s="604"/>
      <c r="I23" s="621"/>
      <c r="J23" s="621"/>
      <c r="K23" s="621"/>
      <c r="L23" s="621"/>
      <c r="M23" s="621"/>
      <c r="N23" s="621"/>
      <c r="O23" s="621"/>
      <c r="P23" s="621"/>
      <c r="Q23" s="604"/>
      <c r="R23" s="604"/>
      <c r="S23" s="604"/>
      <c r="T23" s="604"/>
      <c r="U23" s="604"/>
      <c r="V23" s="604"/>
      <c r="W23" s="604"/>
      <c r="X23" s="604"/>
    </row>
    <row r="24" spans="1:24" ht="21">
      <c r="A24" s="476" t="s">
        <v>213</v>
      </c>
      <c r="B24" s="476"/>
      <c r="C24" s="476"/>
      <c r="D24" s="476"/>
      <c r="E24" s="476"/>
      <c r="F24" s="476"/>
      <c r="G24" s="476"/>
      <c r="H24" s="476"/>
      <c r="I24" s="476"/>
      <c r="J24" s="476"/>
      <c r="K24" s="476"/>
      <c r="L24" s="476"/>
      <c r="M24" s="476"/>
      <c r="N24" s="476"/>
      <c r="O24" s="476"/>
      <c r="P24" s="476"/>
      <c r="Q24" s="604"/>
      <c r="R24" s="604"/>
      <c r="S24" s="604"/>
      <c r="T24" s="604"/>
      <c r="U24" s="604"/>
      <c r="V24" s="604"/>
      <c r="W24" s="604"/>
      <c r="X24" s="604"/>
    </row>
    <row r="25" spans="1:24" ht="15.6" outlineLevel="1">
      <c r="A25" s="611"/>
      <c r="B25" s="611"/>
      <c r="C25" s="622"/>
      <c r="D25" s="623"/>
      <c r="E25" s="623"/>
      <c r="F25" s="623"/>
      <c r="G25" s="623"/>
      <c r="H25" s="623"/>
      <c r="I25" s="611"/>
      <c r="J25" s="611"/>
      <c r="K25" s="611"/>
      <c r="L25" s="611"/>
      <c r="M25" s="611"/>
      <c r="N25" s="611"/>
      <c r="O25" s="611"/>
      <c r="P25" s="611"/>
      <c r="Q25" s="604"/>
      <c r="R25" s="604"/>
      <c r="S25" s="604"/>
      <c r="T25" s="604"/>
      <c r="U25" s="604"/>
      <c r="V25" s="604"/>
      <c r="W25" s="604"/>
      <c r="X25" s="604"/>
    </row>
    <row r="26" spans="1:24" ht="15.6" outlineLevel="1">
      <c r="A26" s="611" t="s">
        <v>202</v>
      </c>
      <c r="B26" s="611"/>
      <c r="C26" s="622"/>
      <c r="D26" s="658">
        <f>('Income Statement PBR'!B3)/1000</f>
        <v>53683000</v>
      </c>
      <c r="E26" s="658">
        <f>('Income Statement PBR'!C3)/1000</f>
        <v>83966000</v>
      </c>
      <c r="F26" s="658">
        <f>('Income Statement PBR'!D3)/1000</f>
        <v>124474000</v>
      </c>
      <c r="G26" s="658">
        <f>('Income Statement PBR'!E3)/1000</f>
        <v>102409000</v>
      </c>
      <c r="H26" s="658">
        <f>('Income Statement PBR'!F3)/1000</f>
        <v>91416000</v>
      </c>
      <c r="I26" s="611">
        <f t="shared" ref="I26:P26" si="13">H26*(1+I8)</f>
        <v>102038539.2</v>
      </c>
      <c r="J26" s="611">
        <f t="shared" si="13"/>
        <v>113895417.45504001</v>
      </c>
      <c r="K26" s="611">
        <f t="shared" si="13"/>
        <v>120934154.25376149</v>
      </c>
      <c r="L26" s="611">
        <f t="shared" si="13"/>
        <v>128407884.98664396</v>
      </c>
      <c r="M26" s="611">
        <f t="shared" si="13"/>
        <v>136343492.27881855</v>
      </c>
      <c r="N26" s="611">
        <f t="shared" si="13"/>
        <v>144769520.10164955</v>
      </c>
      <c r="O26" s="611">
        <f t="shared" si="13"/>
        <v>153716276.44393152</v>
      </c>
      <c r="P26" s="611">
        <f t="shared" si="13"/>
        <v>163215942.32816651</v>
      </c>
      <c r="Q26" s="604"/>
      <c r="R26" s="604"/>
      <c r="S26" s="604"/>
      <c r="T26" s="604"/>
      <c r="U26" s="604"/>
      <c r="V26" s="604"/>
      <c r="W26" s="604"/>
      <c r="X26" s="604"/>
    </row>
    <row r="27" spans="1:24" ht="15.6" outlineLevel="1">
      <c r="A27" s="604" t="s">
        <v>440</v>
      </c>
      <c r="B27" s="604"/>
      <c r="C27" s="609"/>
      <c r="D27" s="658">
        <f>(('Income Statement PBR'!B6)*-1)/1000</f>
        <v>29195000</v>
      </c>
      <c r="E27" s="658">
        <f>(('Income Statement PBR'!C6)*-1)/1000</f>
        <v>43164000</v>
      </c>
      <c r="F27" s="658">
        <f>(('Income Statement PBR'!D6)*-1)/1000</f>
        <v>59486000</v>
      </c>
      <c r="G27" s="658">
        <f>(('Income Statement PBR'!E6)*-1)/1000</f>
        <v>48435000</v>
      </c>
      <c r="H27" s="658">
        <f>(('Income Statement PBR'!F6)*-1)/1000</f>
        <v>45444000</v>
      </c>
      <c r="I27" s="624">
        <f t="shared" ref="I27:P27" si="14">I26*I9</f>
        <v>51139134.101735339</v>
      </c>
      <c r="J27" s="624">
        <f t="shared" si="14"/>
        <v>57081501.484356984</v>
      </c>
      <c r="K27" s="624">
        <f t="shared" si="14"/>
        <v>60609138.276090249</v>
      </c>
      <c r="L27" s="624">
        <f t="shared" si="14"/>
        <v>64354783.02155263</v>
      </c>
      <c r="M27" s="624">
        <f t="shared" si="14"/>
        <v>68331908.612284586</v>
      </c>
      <c r="N27" s="624">
        <f t="shared" si="14"/>
        <v>72554820.564523771</v>
      </c>
      <c r="O27" s="624">
        <f t="shared" si="14"/>
        <v>77038708.475411355</v>
      </c>
      <c r="P27" s="624">
        <f t="shared" si="14"/>
        <v>81799700.659191787</v>
      </c>
      <c r="Q27" s="604"/>
      <c r="R27" s="604"/>
      <c r="S27" s="604"/>
      <c r="T27" s="604"/>
      <c r="U27" s="604"/>
      <c r="V27" s="604"/>
      <c r="W27" s="604"/>
      <c r="X27" s="604"/>
    </row>
    <row r="28" spans="1:24" ht="15.6" outlineLevel="1">
      <c r="A28" s="613" t="s">
        <v>211</v>
      </c>
      <c r="B28" s="613"/>
      <c r="C28" s="614"/>
      <c r="D28" s="613">
        <f t="shared" ref="D28:P28" si="15">D26-D27</f>
        <v>24488000</v>
      </c>
      <c r="E28" s="613">
        <f t="shared" si="15"/>
        <v>40802000</v>
      </c>
      <c r="F28" s="613">
        <f t="shared" si="15"/>
        <v>64988000</v>
      </c>
      <c r="G28" s="613">
        <f t="shared" si="15"/>
        <v>53974000</v>
      </c>
      <c r="H28" s="613">
        <f t="shared" si="15"/>
        <v>45972000</v>
      </c>
      <c r="I28" s="613">
        <f t="shared" si="15"/>
        <v>50899405.098264664</v>
      </c>
      <c r="J28" s="613">
        <f t="shared" si="15"/>
        <v>56813915.970683023</v>
      </c>
      <c r="K28" s="613">
        <f t="shared" si="15"/>
        <v>60325015.977671236</v>
      </c>
      <c r="L28" s="613">
        <f t="shared" si="15"/>
        <v>64053101.965091325</v>
      </c>
      <c r="M28" s="613">
        <f t="shared" si="15"/>
        <v>68011583.666533962</v>
      </c>
      <c r="N28" s="613">
        <f t="shared" si="15"/>
        <v>72214699.537125781</v>
      </c>
      <c r="O28" s="613">
        <f t="shared" si="15"/>
        <v>76677567.968520164</v>
      </c>
      <c r="P28" s="613">
        <f t="shared" si="15"/>
        <v>81416241.668974727</v>
      </c>
      <c r="Q28" s="604"/>
      <c r="R28" s="604"/>
      <c r="S28" s="604"/>
      <c r="T28" s="604"/>
      <c r="U28" s="604"/>
      <c r="V28" s="604"/>
      <c r="W28" s="604"/>
      <c r="X28" s="604"/>
    </row>
    <row r="29" spans="1:24" ht="15.6" outlineLevel="1">
      <c r="A29" s="611" t="s">
        <v>441</v>
      </c>
      <c r="B29" s="611"/>
      <c r="C29" s="622"/>
      <c r="D29" s="625"/>
      <c r="E29" s="625"/>
      <c r="F29" s="625"/>
      <c r="G29" s="625"/>
      <c r="H29" s="625"/>
      <c r="I29" s="625"/>
      <c r="J29" s="625"/>
      <c r="K29" s="625"/>
      <c r="L29" s="611"/>
      <c r="M29" s="611"/>
      <c r="N29" s="611"/>
      <c r="O29" s="611"/>
      <c r="P29" s="611"/>
      <c r="Q29" s="604"/>
      <c r="R29" s="604"/>
      <c r="S29" s="604"/>
      <c r="T29" s="604"/>
      <c r="U29" s="604"/>
      <c r="V29" s="604"/>
      <c r="W29" s="604"/>
      <c r="X29" s="604"/>
    </row>
    <row r="30" spans="1:24" ht="15.6" outlineLevel="1">
      <c r="A30" s="604" t="s">
        <v>442</v>
      </c>
      <c r="B30" s="604"/>
      <c r="C30" s="609"/>
      <c r="D30" s="658">
        <f>(('Income Statement PBR'!B13)*-1)/1000</f>
        <v>458000</v>
      </c>
      <c r="E30" s="658">
        <f>(('Income Statement PBR'!C13)*-1)/1000</f>
        <v>2515000</v>
      </c>
      <c r="F30" s="658">
        <f>(('Income Statement PBR'!D13)*-1)/1000</f>
        <v>2188000</v>
      </c>
      <c r="G30" s="658">
        <f>(('Income Statement PBR'!E13)*-1)/1000</f>
        <v>3330000</v>
      </c>
      <c r="H30" s="658">
        <f>(('Income Statement PBR'!F13)*-1)/1000</f>
        <v>4458000</v>
      </c>
      <c r="I30" s="604">
        <f>I10*I26</f>
        <v>4275414.7924800003</v>
      </c>
      <c r="J30" s="604">
        <f t="shared" ref="J30:P30" si="16">J10*J26</f>
        <v>4772217.9913661759</v>
      </c>
      <c r="K30" s="604">
        <f t="shared" si="16"/>
        <v>5067141.0632326063</v>
      </c>
      <c r="L30" s="604">
        <f t="shared" si="16"/>
        <v>5380290.3809403814</v>
      </c>
      <c r="M30" s="604">
        <f t="shared" si="16"/>
        <v>5712792.3264824972</v>
      </c>
      <c r="N30" s="604">
        <f t="shared" si="16"/>
        <v>6065842.8922591163</v>
      </c>
      <c r="O30" s="604">
        <f t="shared" si="16"/>
        <v>6440711.9830007311</v>
      </c>
      <c r="P30" s="604">
        <f t="shared" si="16"/>
        <v>6838747.983550177</v>
      </c>
      <c r="Q30" s="604"/>
      <c r="R30" s="604"/>
      <c r="S30" s="604"/>
      <c r="T30" s="604"/>
      <c r="U30" s="604"/>
      <c r="V30" s="604"/>
      <c r="W30" s="604"/>
      <c r="X30" s="604"/>
    </row>
    <row r="31" spans="1:24" ht="15.6" outlineLevel="1">
      <c r="A31" s="604" t="s">
        <v>443</v>
      </c>
      <c r="B31" s="604"/>
      <c r="C31" s="609"/>
      <c r="D31" s="658">
        <f>(('Income Statement PBR'!B16)*-1)/1000</f>
        <v>4415000</v>
      </c>
      <c r="E31" s="658">
        <f>(('Income Statement PBR'!C16)*-1)/1000</f>
        <v>3798000</v>
      </c>
      <c r="F31" s="658">
        <f>(('Income Statement PBR'!D16)*-1)/1000</f>
        <v>4349000</v>
      </c>
      <c r="G31" s="658">
        <f>(('Income Statement PBR'!E16)*-1)/1000</f>
        <v>4731000</v>
      </c>
      <c r="H31" s="658">
        <f>(('Income Statement PBR'!F16)*-1)/1000</f>
        <v>4575000</v>
      </c>
      <c r="I31" s="604">
        <f t="shared" ref="I31:P31" si="17">I11</f>
        <v>4741859.2</v>
      </c>
      <c r="J31" s="604">
        <f t="shared" si="17"/>
        <v>4741859.2</v>
      </c>
      <c r="K31" s="604">
        <f t="shared" si="17"/>
        <v>4741859.2</v>
      </c>
      <c r="L31" s="604">
        <f t="shared" si="17"/>
        <v>4741859.2</v>
      </c>
      <c r="M31" s="604">
        <f t="shared" si="17"/>
        <v>4741859.2</v>
      </c>
      <c r="N31" s="604">
        <f t="shared" si="17"/>
        <v>4741860.2</v>
      </c>
      <c r="O31" s="604">
        <f t="shared" si="17"/>
        <v>4741861.2</v>
      </c>
      <c r="P31" s="604">
        <f t="shared" si="17"/>
        <v>4741862.2</v>
      </c>
      <c r="Q31" s="604"/>
      <c r="R31" s="604"/>
      <c r="S31" s="604"/>
      <c r="T31" s="604"/>
      <c r="U31" s="604"/>
      <c r="V31" s="604"/>
      <c r="W31" s="604"/>
      <c r="X31" s="604"/>
    </row>
    <row r="32" spans="1:24" ht="15.6" outlineLevel="1">
      <c r="A32" s="604" t="s">
        <v>444</v>
      </c>
      <c r="B32" s="604"/>
      <c r="C32" s="609"/>
      <c r="D32" s="658">
        <v>653000</v>
      </c>
      <c r="E32" s="658">
        <v>696000</v>
      </c>
      <c r="F32" s="658">
        <v>894000</v>
      </c>
      <c r="G32" s="658">
        <v>732000</v>
      </c>
      <c r="H32" s="658">
        <v>816000</v>
      </c>
      <c r="I32" s="604">
        <f t="shared" ref="I32:P32" si="18">I67</f>
        <v>822398.98872937262</v>
      </c>
      <c r="J32" s="604">
        <f t="shared" si="18"/>
        <v>845145.57008711353</v>
      </c>
      <c r="K32" s="604">
        <f t="shared" si="18"/>
        <v>867762.78033102851</v>
      </c>
      <c r="L32" s="604">
        <f t="shared" si="18"/>
        <v>890251.35525894281</v>
      </c>
      <c r="M32" s="604">
        <f t="shared" si="18"/>
        <v>912612.02648383356</v>
      </c>
      <c r="N32" s="604">
        <f t="shared" si="18"/>
        <v>934845.52145763137</v>
      </c>
      <c r="O32" s="604">
        <f t="shared" si="18"/>
        <v>956952.56349488604</v>
      </c>
      <c r="P32" s="604">
        <f t="shared" si="18"/>
        <v>978933.87179629819</v>
      </c>
      <c r="Q32" s="626"/>
      <c r="R32" s="604"/>
      <c r="S32" s="604"/>
      <c r="T32" s="604"/>
      <c r="U32" s="604"/>
      <c r="V32" s="604"/>
      <c r="W32" s="604"/>
      <c r="X32" s="604"/>
    </row>
    <row r="33" spans="1:24" ht="15.6" outlineLevel="1">
      <c r="A33" s="627" t="s">
        <v>207</v>
      </c>
      <c r="B33" s="627"/>
      <c r="C33" s="628"/>
      <c r="D33" s="659">
        <f>(('Income Statement PBR'!B36)*-1)/1000</f>
        <v>5692000</v>
      </c>
      <c r="E33" s="659">
        <f>(('Income Statement PBR'!C36)*-1)/1000</f>
        <v>4977000</v>
      </c>
      <c r="F33" s="659">
        <f>(('Income Statement PBR'!D36)*-1)/1000</f>
        <v>2638000</v>
      </c>
      <c r="G33" s="659">
        <f>(('Income Statement PBR'!E36)*-1)/1000</f>
        <v>3620000</v>
      </c>
      <c r="H33" s="659">
        <f>(('Income Statement PBR'!F36)*-1)/1000</f>
        <v>3841000</v>
      </c>
      <c r="I33" s="627">
        <f t="shared" ref="I33:P33" si="19">I105</f>
        <v>2050214.8625611083</v>
      </c>
      <c r="J33" s="627">
        <f t="shared" si="19"/>
        <v>1642063.7968293745</v>
      </c>
      <c r="K33" s="627">
        <f t="shared" si="19"/>
        <v>1233912.7310976409</v>
      </c>
      <c r="L33" s="627">
        <f t="shared" si="19"/>
        <v>825761.66536590713</v>
      </c>
      <c r="M33" s="627">
        <f t="shared" si="19"/>
        <v>417610.59963417338</v>
      </c>
      <c r="N33" s="627">
        <f t="shared" si="19"/>
        <v>9459.5339024396362</v>
      </c>
      <c r="O33" s="627">
        <f t="shared" si="19"/>
        <v>-398691.53182929411</v>
      </c>
      <c r="P33" s="627">
        <f t="shared" si="19"/>
        <v>-806842.59756102785</v>
      </c>
      <c r="Q33" s="604"/>
      <c r="R33" s="604"/>
      <c r="S33" s="604"/>
      <c r="T33" s="604"/>
      <c r="U33" s="604"/>
      <c r="V33" s="604"/>
      <c r="W33" s="604"/>
      <c r="X33" s="604"/>
    </row>
    <row r="34" spans="1:24" ht="15.6" outlineLevel="1">
      <c r="A34" s="611" t="s">
        <v>445</v>
      </c>
      <c r="B34" s="604"/>
      <c r="C34" s="609"/>
      <c r="D34" s="611">
        <f t="shared" ref="D34:M34" si="20">SUM(D30:D33)</f>
        <v>11218000</v>
      </c>
      <c r="E34" s="611">
        <f t="shared" si="20"/>
        <v>11986000</v>
      </c>
      <c r="F34" s="611">
        <f t="shared" si="20"/>
        <v>10069000</v>
      </c>
      <c r="G34" s="611">
        <f t="shared" si="20"/>
        <v>12413000</v>
      </c>
      <c r="H34" s="611">
        <f t="shared" si="20"/>
        <v>13690000</v>
      </c>
      <c r="I34" s="611">
        <f t="shared" si="20"/>
        <v>11889887.843770482</v>
      </c>
      <c r="J34" s="611">
        <f t="shared" si="20"/>
        <v>12001286.558282666</v>
      </c>
      <c r="K34" s="611">
        <f t="shared" si="20"/>
        <v>11910675.774661276</v>
      </c>
      <c r="L34" s="611">
        <f t="shared" si="20"/>
        <v>11838162.601565231</v>
      </c>
      <c r="M34" s="611">
        <f t="shared" si="20"/>
        <v>11784874.152600504</v>
      </c>
      <c r="N34" s="611">
        <f t="shared" ref="N34:P34" si="21">SUM(N30:N33)</f>
        <v>11752008.147619188</v>
      </c>
      <c r="O34" s="611">
        <f t="shared" si="21"/>
        <v>11740834.214666324</v>
      </c>
      <c r="P34" s="611">
        <f t="shared" si="21"/>
        <v>11752701.457785448</v>
      </c>
      <c r="Q34" s="604"/>
      <c r="R34" s="604"/>
      <c r="S34" s="604"/>
      <c r="T34" s="604"/>
      <c r="U34" s="604"/>
      <c r="V34" s="604"/>
      <c r="W34" s="604"/>
      <c r="X34" s="604"/>
    </row>
    <row r="35" spans="1:24" ht="15.6" outlineLevel="1">
      <c r="A35" s="613" t="s">
        <v>446</v>
      </c>
      <c r="B35" s="613"/>
      <c r="C35" s="614"/>
      <c r="D35" s="613">
        <f t="shared" ref="D35:P35" si="22">D28-D34</f>
        <v>13270000</v>
      </c>
      <c r="E35" s="613">
        <f t="shared" si="22"/>
        <v>28816000</v>
      </c>
      <c r="F35" s="613">
        <f t="shared" si="22"/>
        <v>54919000</v>
      </c>
      <c r="G35" s="613">
        <f t="shared" si="22"/>
        <v>41561000</v>
      </c>
      <c r="H35" s="613">
        <f t="shared" si="22"/>
        <v>32282000</v>
      </c>
      <c r="I35" s="613">
        <f>I28-I34</f>
        <v>39009517.254494183</v>
      </c>
      <c r="J35" s="613">
        <f t="shared" si="22"/>
        <v>44812629.412400357</v>
      </c>
      <c r="K35" s="613">
        <f t="shared" si="22"/>
        <v>48414340.203009963</v>
      </c>
      <c r="L35" s="613">
        <f t="shared" si="22"/>
        <v>52214939.363526091</v>
      </c>
      <c r="M35" s="613">
        <f t="shared" si="22"/>
        <v>56226709.513933457</v>
      </c>
      <c r="N35" s="613">
        <f t="shared" si="22"/>
        <v>60462691.389506593</v>
      </c>
      <c r="O35" s="613">
        <f t="shared" si="22"/>
        <v>64936733.753853843</v>
      </c>
      <c r="P35" s="613">
        <f t="shared" si="22"/>
        <v>69663540.211189285</v>
      </c>
      <c r="Q35" s="604"/>
      <c r="R35" s="604"/>
      <c r="S35" s="604"/>
      <c r="T35" s="604"/>
      <c r="U35" s="604"/>
      <c r="V35" s="604"/>
      <c r="W35" s="604"/>
      <c r="X35" s="604"/>
    </row>
    <row r="36" spans="1:24" ht="15.6" outlineLevel="1">
      <c r="A36" s="611"/>
      <c r="B36" s="611"/>
      <c r="C36" s="622"/>
      <c r="D36" s="660"/>
      <c r="E36" s="660"/>
      <c r="F36" s="660"/>
      <c r="G36" s="660"/>
      <c r="H36" s="660"/>
      <c r="I36" s="611"/>
      <c r="J36" s="611"/>
      <c r="K36" s="611"/>
      <c r="L36" s="611"/>
      <c r="M36" s="611"/>
      <c r="N36" s="611"/>
      <c r="O36" s="611"/>
      <c r="P36" s="611"/>
      <c r="Q36" s="604"/>
      <c r="R36" s="604"/>
      <c r="S36" s="604"/>
      <c r="T36" s="604"/>
      <c r="U36" s="604"/>
      <c r="V36" s="604"/>
      <c r="W36" s="604"/>
      <c r="X36" s="604"/>
    </row>
    <row r="37" spans="1:24" ht="15.6" outlineLevel="1">
      <c r="A37" s="604" t="s">
        <v>378</v>
      </c>
      <c r="B37" s="604"/>
      <c r="C37" s="609"/>
      <c r="D37" s="658">
        <v>-1174000</v>
      </c>
      <c r="E37" s="658">
        <v>8239000</v>
      </c>
      <c r="F37" s="658">
        <v>16770000</v>
      </c>
      <c r="G37" s="658">
        <v>10401000</v>
      </c>
      <c r="H37" s="658">
        <v>3537000</v>
      </c>
      <c r="I37" s="624">
        <f>I35*I14</f>
        <v>12678093.107710609</v>
      </c>
      <c r="J37" s="624">
        <f t="shared" ref="J37:P37" si="23">J35*J14</f>
        <v>14788167.706092119</v>
      </c>
      <c r="K37" s="624">
        <f t="shared" si="23"/>
        <v>16218803.968008339</v>
      </c>
      <c r="L37" s="624">
        <f t="shared" si="23"/>
        <v>17753079.383598872</v>
      </c>
      <c r="M37" s="624">
        <f t="shared" si="23"/>
        <v>19117081.234737378</v>
      </c>
      <c r="N37" s="624">
        <f t="shared" si="23"/>
        <v>20557315.072432242</v>
      </c>
      <c r="O37" s="624">
        <f t="shared" si="23"/>
        <v>22078489.476310309</v>
      </c>
      <c r="P37" s="624">
        <f t="shared" si="23"/>
        <v>23685603.671804357</v>
      </c>
      <c r="Q37" s="604"/>
      <c r="R37" s="604"/>
      <c r="S37" s="604"/>
      <c r="T37" s="604"/>
      <c r="U37" s="604"/>
      <c r="V37" s="604"/>
      <c r="W37" s="604"/>
      <c r="X37" s="604"/>
    </row>
    <row r="38" spans="1:24" ht="16.2" outlineLevel="1" thickBot="1">
      <c r="A38" s="629" t="s">
        <v>447</v>
      </c>
      <c r="B38" s="629"/>
      <c r="C38" s="630"/>
      <c r="D38" s="629">
        <f t="shared" ref="D38:P38" si="24">D35-D37</f>
        <v>14444000</v>
      </c>
      <c r="E38" s="629">
        <f t="shared" si="24"/>
        <v>20577000</v>
      </c>
      <c r="F38" s="629">
        <f t="shared" si="24"/>
        <v>38149000</v>
      </c>
      <c r="G38" s="629">
        <f t="shared" si="24"/>
        <v>31160000</v>
      </c>
      <c r="H38" s="629">
        <f t="shared" si="24"/>
        <v>28745000</v>
      </c>
      <c r="I38" s="629">
        <f t="shared" si="24"/>
        <v>26331424.146783575</v>
      </c>
      <c r="J38" s="629">
        <f>J35-J37</f>
        <v>30024461.706308238</v>
      </c>
      <c r="K38" s="629">
        <f t="shared" si="24"/>
        <v>32195536.235001624</v>
      </c>
      <c r="L38" s="629">
        <f t="shared" si="24"/>
        <v>34461859.979927219</v>
      </c>
      <c r="M38" s="629">
        <f t="shared" si="24"/>
        <v>37109628.279196084</v>
      </c>
      <c r="N38" s="629">
        <f t="shared" si="24"/>
        <v>39905376.317074351</v>
      </c>
      <c r="O38" s="629">
        <f t="shared" si="24"/>
        <v>42858244.27754353</v>
      </c>
      <c r="P38" s="629">
        <f t="shared" si="24"/>
        <v>45977936.539384931</v>
      </c>
      <c r="Q38" s="604"/>
      <c r="R38" s="604"/>
      <c r="S38" s="604"/>
      <c r="T38" s="604"/>
      <c r="U38" s="604"/>
      <c r="V38" s="604"/>
      <c r="W38" s="604"/>
      <c r="X38" s="604"/>
    </row>
    <row r="39" spans="1:24" ht="16.2" outlineLevel="1" thickTop="1">
      <c r="A39" s="604"/>
      <c r="B39" s="604"/>
      <c r="C39" s="609"/>
      <c r="D39" s="610"/>
      <c r="E39" s="610"/>
      <c r="F39" s="610"/>
      <c r="G39" s="610"/>
      <c r="H39" s="610"/>
      <c r="I39" s="604"/>
      <c r="J39" s="604"/>
      <c r="K39" s="604"/>
      <c r="L39" s="604"/>
      <c r="M39" s="604"/>
      <c r="N39" s="604"/>
      <c r="O39" s="604"/>
      <c r="P39" s="604"/>
      <c r="Q39" s="604"/>
      <c r="R39" s="604"/>
      <c r="S39" s="604"/>
      <c r="T39" s="604"/>
      <c r="U39" s="604"/>
      <c r="V39" s="604"/>
      <c r="W39" s="604"/>
      <c r="X39" s="604"/>
    </row>
    <row r="40" spans="1:24" ht="15.6">
      <c r="A40" s="604"/>
      <c r="B40" s="604"/>
      <c r="C40" s="609"/>
      <c r="D40" s="610"/>
      <c r="E40" s="610"/>
      <c r="F40" s="610"/>
      <c r="G40" s="610"/>
      <c r="H40" s="610"/>
      <c r="I40" s="604"/>
      <c r="J40" s="604"/>
      <c r="K40" s="604"/>
      <c r="L40" s="604"/>
      <c r="M40" s="604"/>
      <c r="N40" s="604"/>
      <c r="O40" s="604"/>
      <c r="P40" s="604"/>
      <c r="Q40" s="604"/>
      <c r="R40" s="604"/>
      <c r="S40" s="604"/>
      <c r="T40" s="604"/>
      <c r="U40" s="604"/>
      <c r="V40" s="604"/>
      <c r="W40" s="604"/>
      <c r="X40" s="604"/>
    </row>
    <row r="41" spans="1:24" ht="21">
      <c r="A41" s="476" t="s">
        <v>386</v>
      </c>
      <c r="B41" s="476"/>
      <c r="C41" s="476"/>
      <c r="D41" s="476"/>
      <c r="E41" s="476"/>
      <c r="F41" s="476"/>
      <c r="G41" s="476"/>
      <c r="H41" s="476"/>
      <c r="I41" s="476"/>
      <c r="J41" s="476"/>
      <c r="K41" s="476"/>
      <c r="L41" s="476"/>
      <c r="M41" s="476"/>
      <c r="N41" s="476"/>
      <c r="O41" s="476"/>
      <c r="P41" s="476"/>
      <c r="Q41" s="604"/>
      <c r="R41" s="604"/>
      <c r="S41" s="604"/>
      <c r="T41" s="604"/>
      <c r="U41" s="604"/>
      <c r="V41" s="604"/>
      <c r="W41" s="604"/>
      <c r="X41" s="604"/>
    </row>
    <row r="42" spans="1:24" ht="15.6" outlineLevel="1">
      <c r="A42" s="604"/>
      <c r="B42" s="604"/>
      <c r="C42" s="609"/>
      <c r="D42" s="610"/>
      <c r="E42" s="610"/>
      <c r="F42" s="610"/>
      <c r="G42" s="610"/>
      <c r="H42" s="610"/>
      <c r="I42" s="604"/>
      <c r="J42" s="604"/>
      <c r="K42" s="604"/>
      <c r="L42" s="604"/>
      <c r="M42" s="604"/>
      <c r="N42" s="604"/>
      <c r="O42" s="604"/>
      <c r="P42" s="604"/>
      <c r="Q42" s="604"/>
      <c r="R42" s="604"/>
      <c r="S42" s="604"/>
      <c r="T42" s="604"/>
      <c r="U42" s="604"/>
      <c r="V42" s="604"/>
      <c r="W42" s="604"/>
      <c r="X42" s="604"/>
    </row>
    <row r="43" spans="1:24" ht="15.6" outlineLevel="1">
      <c r="A43" s="631" t="s">
        <v>448</v>
      </c>
      <c r="B43" s="604"/>
      <c r="C43" s="609"/>
      <c r="D43" s="610"/>
      <c r="E43" s="610"/>
      <c r="F43" s="610"/>
      <c r="G43" s="610"/>
      <c r="H43" s="610"/>
      <c r="I43" s="604"/>
      <c r="J43" s="604"/>
      <c r="K43" s="604"/>
      <c r="L43" s="604"/>
      <c r="M43" s="604"/>
      <c r="N43" s="604"/>
      <c r="O43" s="604"/>
      <c r="P43" s="604"/>
      <c r="Q43" s="604"/>
      <c r="R43" s="604"/>
      <c r="S43" s="604"/>
      <c r="T43" s="604"/>
      <c r="U43" s="604"/>
      <c r="V43" s="604"/>
      <c r="W43" s="604"/>
      <c r="X43" s="604"/>
    </row>
    <row r="44" spans="1:24" ht="15.6" outlineLevel="1">
      <c r="A44" s="632" t="s">
        <v>449</v>
      </c>
      <c r="B44" s="604"/>
      <c r="C44" s="633"/>
      <c r="D44" s="658">
        <v>11711000</v>
      </c>
      <c r="E44" s="658">
        <v>10467000</v>
      </c>
      <c r="F44" s="658">
        <v>7996000</v>
      </c>
      <c r="G44" s="658">
        <v>12727000</v>
      </c>
      <c r="H44" s="658">
        <v>3271000</v>
      </c>
      <c r="I44" s="604">
        <f>I82</f>
        <v>14151589.047970705</v>
      </c>
      <c r="J44" s="604">
        <f t="shared" ref="J44:P44" si="25">J82</f>
        <v>31046535.169267755</v>
      </c>
      <c r="K44" s="604">
        <f t="shared" si="25"/>
        <v>50425581.555636376</v>
      </c>
      <c r="L44" s="604">
        <f t="shared" si="25"/>
        <v>72067221.449388534</v>
      </c>
      <c r="M44" s="604">
        <f t="shared" si="25"/>
        <v>96351151.17855382</v>
      </c>
      <c r="N44" s="604">
        <f t="shared" si="25"/>
        <v>123358182.34991142</v>
      </c>
      <c r="O44" s="604">
        <f t="shared" si="25"/>
        <v>153304765.34054407</v>
      </c>
      <c r="P44" s="604">
        <f t="shared" si="25"/>
        <v>186355409.56536445</v>
      </c>
      <c r="Q44" s="604"/>
      <c r="R44" s="604"/>
      <c r="S44" s="604"/>
      <c r="T44" s="604"/>
      <c r="U44" s="604"/>
      <c r="V44" s="604"/>
      <c r="W44" s="604"/>
      <c r="X44" s="604"/>
    </row>
    <row r="45" spans="1:24" ht="15.6" outlineLevel="1">
      <c r="A45" s="632" t="s">
        <v>89</v>
      </c>
      <c r="B45" s="604"/>
      <c r="C45" s="633"/>
      <c r="D45" s="658">
        <v>4731000</v>
      </c>
      <c r="E45" s="658">
        <v>6368000</v>
      </c>
      <c r="F45" s="658">
        <v>5010000</v>
      </c>
      <c r="G45" s="658">
        <v>6135000</v>
      </c>
      <c r="H45" s="658">
        <v>3566000</v>
      </c>
      <c r="I45" s="634">
        <f>I26*I15/I21</f>
        <v>6150268.1161643835</v>
      </c>
      <c r="J45" s="634">
        <f t="shared" ref="J45:M45" si="26">J26*J15/J21</f>
        <v>6864929.2712626848</v>
      </c>
      <c r="K45" s="634">
        <f t="shared" si="26"/>
        <v>7289181.9002267197</v>
      </c>
      <c r="L45" s="634">
        <f t="shared" si="26"/>
        <v>7739653.3416607324</v>
      </c>
      <c r="M45" s="634">
        <f t="shared" si="26"/>
        <v>8217963.9181753639</v>
      </c>
      <c r="N45" s="634">
        <f>N26*N15/N21</f>
        <v>8725834.0883186031</v>
      </c>
      <c r="O45" s="634">
        <f t="shared" ref="O45:P45" si="27">O26*O15/O21</f>
        <v>9265090.6349766944</v>
      </c>
      <c r="P45" s="634">
        <f t="shared" si="27"/>
        <v>9837673.236218255</v>
      </c>
      <c r="Q45" s="604"/>
      <c r="R45" s="604"/>
      <c r="S45" s="604"/>
      <c r="T45" s="604"/>
      <c r="U45" s="604"/>
      <c r="V45" s="604"/>
      <c r="W45" s="604"/>
      <c r="X45" s="604"/>
    </row>
    <row r="46" spans="1:24" ht="15.6" outlineLevel="1">
      <c r="A46" s="632" t="s">
        <v>88</v>
      </c>
      <c r="B46" s="604"/>
      <c r="C46" s="633"/>
      <c r="D46" s="658">
        <v>5677000</v>
      </c>
      <c r="E46" s="658">
        <v>7255000</v>
      </c>
      <c r="F46" s="658">
        <v>8779000</v>
      </c>
      <c r="G46" s="658">
        <v>7681000</v>
      </c>
      <c r="H46" s="658">
        <v>6710000</v>
      </c>
      <c r="I46" s="604">
        <f>I27*I16/I21</f>
        <v>5155868.8688938525</v>
      </c>
      <c r="J46" s="604">
        <f t="shared" ref="J46:P46" si="28">J27*J16/J21</f>
        <v>5155868.8688938525</v>
      </c>
      <c r="K46" s="604">
        <f t="shared" si="28"/>
        <v>5155868.8688938525</v>
      </c>
      <c r="L46" s="604">
        <f t="shared" si="28"/>
        <v>5155868.8688938525</v>
      </c>
      <c r="M46" s="604">
        <f t="shared" si="28"/>
        <v>5155868.8688938534</v>
      </c>
      <c r="N46" s="604">
        <f t="shared" si="28"/>
        <v>5474501.5649914937</v>
      </c>
      <c r="O46" s="604">
        <f t="shared" si="28"/>
        <v>5812825.761707969</v>
      </c>
      <c r="P46" s="604">
        <f t="shared" si="28"/>
        <v>6172058.3937815223</v>
      </c>
      <c r="Q46" s="604"/>
      <c r="R46" s="604"/>
      <c r="S46" s="604"/>
      <c r="T46" s="604"/>
      <c r="U46" s="604"/>
      <c r="V46" s="604"/>
      <c r="W46" s="604"/>
      <c r="X46" s="604"/>
    </row>
    <row r="47" spans="1:24" ht="15.6" outlineLevel="1">
      <c r="A47" s="632" t="s">
        <v>450</v>
      </c>
      <c r="B47" s="604"/>
      <c r="C47" s="609"/>
      <c r="D47" s="658">
        <v>124279700</v>
      </c>
      <c r="E47" s="658">
        <v>125442700</v>
      </c>
      <c r="F47" s="658">
        <v>128472400</v>
      </c>
      <c r="G47" s="658">
        <v>153114600</v>
      </c>
      <c r="H47" s="658">
        <v>136454600</v>
      </c>
      <c r="I47" s="604">
        <f t="shared" ref="I47:P47" si="29">I99</f>
        <v>148597101.01127064</v>
      </c>
      <c r="J47" s="604">
        <f t="shared" si="29"/>
        <v>152573755.44118354</v>
      </c>
      <c r="K47" s="604">
        <f t="shared" si="29"/>
        <v>156527792.66085252</v>
      </c>
      <c r="L47" s="604">
        <f t="shared" si="29"/>
        <v>160459341.30559358</v>
      </c>
      <c r="M47" s="604">
        <f t="shared" si="29"/>
        <v>164368529.27910975</v>
      </c>
      <c r="N47" s="604">
        <f t="shared" si="29"/>
        <v>168255483.7576521</v>
      </c>
      <c r="O47" s="604">
        <f t="shared" si="29"/>
        <v>172120331.19415721</v>
      </c>
      <c r="P47" s="604">
        <f t="shared" si="29"/>
        <v>175963197.3223609</v>
      </c>
      <c r="Q47" s="610"/>
      <c r="R47" s="604"/>
      <c r="S47" s="604"/>
      <c r="T47" s="604"/>
      <c r="U47" s="604"/>
      <c r="V47" s="604"/>
      <c r="W47" s="604"/>
      <c r="X47" s="604"/>
    </row>
    <row r="48" spans="1:24" ht="16.2" outlineLevel="1" thickBot="1">
      <c r="A48" s="635" t="s">
        <v>387</v>
      </c>
      <c r="B48" s="629"/>
      <c r="C48" s="630"/>
      <c r="D48" s="629">
        <f t="shared" ref="D48:M48" si="30">SUM(D44:D47)</f>
        <v>146398700</v>
      </c>
      <c r="E48" s="629">
        <f t="shared" si="30"/>
        <v>149532700</v>
      </c>
      <c r="F48" s="629">
        <f t="shared" si="30"/>
        <v>150257400</v>
      </c>
      <c r="G48" s="629">
        <f t="shared" si="30"/>
        <v>179657600</v>
      </c>
      <c r="H48" s="629">
        <f t="shared" si="30"/>
        <v>150001600</v>
      </c>
      <c r="I48" s="629">
        <f t="shared" si="30"/>
        <v>174054827.04429957</v>
      </c>
      <c r="J48" s="629">
        <f t="shared" si="30"/>
        <v>195641088.75060785</v>
      </c>
      <c r="K48" s="629">
        <f t="shared" si="30"/>
        <v>219398424.98560947</v>
      </c>
      <c r="L48" s="629">
        <f t="shared" si="30"/>
        <v>245422084.96553671</v>
      </c>
      <c r="M48" s="629">
        <f t="shared" si="30"/>
        <v>274093513.2447328</v>
      </c>
      <c r="N48" s="629">
        <f t="shared" ref="N48:P48" si="31">SUM(N44:N47)</f>
        <v>305814001.76087362</v>
      </c>
      <c r="O48" s="629">
        <f t="shared" si="31"/>
        <v>340503012.93138593</v>
      </c>
      <c r="P48" s="629">
        <f t="shared" si="31"/>
        <v>378328338.51772511</v>
      </c>
      <c r="Q48" s="604"/>
      <c r="R48" s="604"/>
      <c r="S48" s="604"/>
      <c r="T48" s="604"/>
      <c r="U48" s="604"/>
      <c r="V48" s="604"/>
      <c r="W48" s="604"/>
      <c r="X48" s="604"/>
    </row>
    <row r="49" spans="1:24" ht="16.2" outlineLevel="1" thickTop="1">
      <c r="A49" s="631"/>
      <c r="B49" s="611"/>
      <c r="C49" s="622"/>
      <c r="D49" s="623"/>
      <c r="E49" s="623"/>
      <c r="F49" s="623"/>
      <c r="G49" s="623"/>
      <c r="H49" s="623"/>
      <c r="I49" s="611"/>
      <c r="J49" s="611"/>
      <c r="K49" s="611"/>
      <c r="L49" s="611"/>
      <c r="M49" s="611"/>
      <c r="N49" s="611"/>
      <c r="O49" s="611"/>
      <c r="P49" s="611"/>
      <c r="Q49" s="604"/>
      <c r="R49" s="604"/>
      <c r="S49" s="604"/>
      <c r="T49" s="604"/>
      <c r="U49" s="604"/>
      <c r="V49" s="604"/>
      <c r="W49" s="604"/>
      <c r="X49" s="604"/>
    </row>
    <row r="50" spans="1:24" ht="15.6" outlineLevel="1">
      <c r="A50" s="631" t="s">
        <v>451</v>
      </c>
      <c r="B50" s="604"/>
      <c r="C50" s="633"/>
      <c r="D50" s="610"/>
      <c r="E50" s="610"/>
      <c r="F50" s="610"/>
      <c r="G50" s="610"/>
      <c r="H50" s="610"/>
      <c r="I50" s="604"/>
      <c r="J50" s="604"/>
      <c r="K50" s="604"/>
      <c r="L50" s="604"/>
      <c r="M50" s="604"/>
      <c r="N50" s="604"/>
      <c r="O50" s="604"/>
      <c r="P50" s="604"/>
      <c r="Q50" s="604"/>
      <c r="R50" s="604"/>
      <c r="S50" s="604"/>
      <c r="T50" s="604"/>
      <c r="U50" s="604"/>
      <c r="V50" s="604"/>
      <c r="W50" s="604"/>
      <c r="X50" s="604"/>
    </row>
    <row r="51" spans="1:24" ht="15.6" outlineLevel="1">
      <c r="A51" s="632" t="s">
        <v>87</v>
      </c>
      <c r="B51" s="604"/>
      <c r="C51" s="633"/>
      <c r="D51" s="658">
        <v>6859000</v>
      </c>
      <c r="E51" s="658">
        <v>5483000</v>
      </c>
      <c r="F51" s="658">
        <v>5464000</v>
      </c>
      <c r="G51" s="658">
        <v>4813000</v>
      </c>
      <c r="H51" s="658">
        <v>6082000</v>
      </c>
      <c r="I51" s="604">
        <f>I27*I17/I21</f>
        <v>4098902.8975159954</v>
      </c>
      <c r="J51" s="604">
        <f t="shared" ref="J51:P51" si="32">J27*J17/J21</f>
        <v>4098902.8975159959</v>
      </c>
      <c r="K51" s="604">
        <f t="shared" si="32"/>
        <v>4098902.8975159959</v>
      </c>
      <c r="L51" s="604">
        <f t="shared" si="32"/>
        <v>4098902.8975159959</v>
      </c>
      <c r="M51" s="604">
        <f t="shared" si="32"/>
        <v>4098902.8975159959</v>
      </c>
      <c r="N51" s="604">
        <f t="shared" si="32"/>
        <v>4352215.0965824835</v>
      </c>
      <c r="O51" s="604">
        <f t="shared" si="32"/>
        <v>4621181.9895512825</v>
      </c>
      <c r="P51" s="604">
        <f t="shared" si="32"/>
        <v>4906771.036505552</v>
      </c>
      <c r="Q51" s="604"/>
      <c r="R51" s="604"/>
      <c r="S51" s="604"/>
      <c r="T51" s="604"/>
      <c r="U51" s="604"/>
      <c r="V51" s="604"/>
      <c r="W51" s="604"/>
      <c r="X51" s="604"/>
    </row>
    <row r="52" spans="1:24" ht="15.6" outlineLevel="1">
      <c r="A52" s="632" t="s">
        <v>79</v>
      </c>
      <c r="B52" s="604"/>
      <c r="C52" s="609"/>
      <c r="D52" s="658">
        <v>75430600</v>
      </c>
      <c r="E52" s="658">
        <v>77746000</v>
      </c>
      <c r="F52" s="658">
        <v>81615900</v>
      </c>
      <c r="G52" s="658">
        <v>99685800</v>
      </c>
      <c r="H52" s="658">
        <v>95311000</v>
      </c>
      <c r="I52" s="604">
        <v>95238900.00000003</v>
      </c>
      <c r="J52" s="604">
        <v>87023700.00000003</v>
      </c>
      <c r="K52" s="604">
        <v>78808500.00000003</v>
      </c>
      <c r="L52" s="604">
        <v>70593300.00000006</v>
      </c>
      <c r="M52" s="604">
        <v>62378100.00000006</v>
      </c>
      <c r="N52" s="604">
        <v>54162900</v>
      </c>
      <c r="O52" s="604">
        <v>45947700</v>
      </c>
      <c r="P52" s="604">
        <v>37732500</v>
      </c>
      <c r="Q52" s="604"/>
      <c r="R52" s="604"/>
      <c r="S52" s="604"/>
      <c r="T52" s="604"/>
      <c r="U52" s="604"/>
      <c r="V52" s="604"/>
      <c r="W52" s="604"/>
      <c r="X52" s="604"/>
    </row>
    <row r="53" spans="1:24" ht="15.6" outlineLevel="1">
      <c r="A53" s="636" t="s">
        <v>452</v>
      </c>
      <c r="B53" s="613"/>
      <c r="C53" s="614"/>
      <c r="D53" s="613">
        <f t="shared" ref="D53:M53" si="33">SUM(D51:D52)</f>
        <v>82289600</v>
      </c>
      <c r="E53" s="613">
        <f t="shared" si="33"/>
        <v>83229000</v>
      </c>
      <c r="F53" s="613">
        <f t="shared" si="33"/>
        <v>87079900</v>
      </c>
      <c r="G53" s="613">
        <f t="shared" si="33"/>
        <v>104498800</v>
      </c>
      <c r="H53" s="613">
        <f t="shared" si="33"/>
        <v>101393000</v>
      </c>
      <c r="I53" s="613">
        <f t="shared" si="33"/>
        <v>99337802.897516027</v>
      </c>
      <c r="J53" s="613">
        <f t="shared" si="33"/>
        <v>91122602.897516027</v>
      </c>
      <c r="K53" s="613">
        <f t="shared" si="33"/>
        <v>82907402.897516027</v>
      </c>
      <c r="L53" s="613">
        <f t="shared" si="33"/>
        <v>74692202.897516057</v>
      </c>
      <c r="M53" s="613">
        <f t="shared" si="33"/>
        <v>66477002.897516057</v>
      </c>
      <c r="N53" s="613">
        <f t="shared" ref="N53:P53" si="34">SUM(N51:N52)</f>
        <v>58515115.096582487</v>
      </c>
      <c r="O53" s="613">
        <f t="shared" si="34"/>
        <v>50568881.989551283</v>
      </c>
      <c r="P53" s="613">
        <f t="shared" si="34"/>
        <v>42639271.03650555</v>
      </c>
      <c r="Q53" s="604"/>
      <c r="R53" s="604"/>
      <c r="S53" s="604"/>
      <c r="T53" s="604"/>
      <c r="U53" s="604"/>
      <c r="V53" s="604"/>
      <c r="W53" s="604"/>
      <c r="X53" s="604"/>
    </row>
    <row r="54" spans="1:24" ht="15.6" outlineLevel="1">
      <c r="A54" s="631" t="s">
        <v>453</v>
      </c>
      <c r="B54" s="604"/>
      <c r="C54" s="609"/>
      <c r="D54" s="610"/>
      <c r="E54" s="610"/>
      <c r="F54" s="610"/>
      <c r="G54" s="610"/>
      <c r="H54" s="610"/>
      <c r="I54" s="604"/>
      <c r="J54" s="604"/>
      <c r="K54" s="604"/>
      <c r="L54" s="604"/>
      <c r="M54" s="604"/>
      <c r="N54" s="604"/>
      <c r="O54" s="604"/>
      <c r="P54" s="604"/>
      <c r="Q54" s="604"/>
      <c r="R54" s="604"/>
      <c r="S54" s="604"/>
      <c r="T54" s="604"/>
      <c r="U54" s="604"/>
      <c r="V54" s="604"/>
      <c r="W54" s="604"/>
      <c r="X54" s="604"/>
    </row>
    <row r="55" spans="1:24" ht="15.6" outlineLevel="1">
      <c r="A55" s="632" t="s">
        <v>57</v>
      </c>
      <c r="B55" s="604"/>
      <c r="C55" s="609"/>
      <c r="D55" s="658">
        <v>39556400</v>
      </c>
      <c r="E55" s="658">
        <v>36845500</v>
      </c>
      <c r="F55" s="658">
        <v>38859000</v>
      </c>
      <c r="G55" s="658">
        <v>42347500</v>
      </c>
      <c r="H55" s="658">
        <v>33216699.999999996</v>
      </c>
      <c r="I55" s="604">
        <f t="shared" ref="I55:P55" si="35">H55+I77</f>
        <v>32993699.999999996</v>
      </c>
      <c r="J55" s="604">
        <f t="shared" si="35"/>
        <v>32770699.999999996</v>
      </c>
      <c r="K55" s="604">
        <f t="shared" si="35"/>
        <v>32547699.999999996</v>
      </c>
      <c r="L55" s="604">
        <f t="shared" si="35"/>
        <v>32324699.999999996</v>
      </c>
      <c r="M55" s="604">
        <f t="shared" si="35"/>
        <v>32101699.999999996</v>
      </c>
      <c r="N55" s="604">
        <f t="shared" si="35"/>
        <v>31878699.999999996</v>
      </c>
      <c r="O55" s="604">
        <f t="shared" si="35"/>
        <v>31655699.999999996</v>
      </c>
      <c r="P55" s="604">
        <f t="shared" si="35"/>
        <v>31432699.999999996</v>
      </c>
      <c r="Q55" s="604"/>
      <c r="R55" s="604"/>
      <c r="S55" s="604"/>
      <c r="T55" s="604"/>
      <c r="U55" s="604"/>
      <c r="V55" s="604"/>
      <c r="W55" s="604"/>
      <c r="X55" s="604"/>
    </row>
    <row r="56" spans="1:24" ht="15.6" outlineLevel="1">
      <c r="A56" s="632" t="s">
        <v>454</v>
      </c>
      <c r="B56" s="604"/>
      <c r="C56" s="609"/>
      <c r="D56" s="658">
        <v>24552700</v>
      </c>
      <c r="E56" s="658">
        <v>29458200</v>
      </c>
      <c r="F56" s="658">
        <v>24318500</v>
      </c>
      <c r="G56" s="658">
        <v>32811300.000000004</v>
      </c>
      <c r="H56" s="658">
        <v>15391900</v>
      </c>
      <c r="I56" s="604">
        <f>H56+I38</f>
        <v>41723324.146783575</v>
      </c>
      <c r="J56" s="604">
        <f t="shared" ref="J56:P56" si="36">I56+J38</f>
        <v>71747785.853091806</v>
      </c>
      <c r="K56" s="604">
        <f t="shared" si="36"/>
        <v>103943322.08809343</v>
      </c>
      <c r="L56" s="604">
        <f t="shared" si="36"/>
        <v>138405182.06802064</v>
      </c>
      <c r="M56" s="604">
        <f t="shared" si="36"/>
        <v>175514810.34721673</v>
      </c>
      <c r="N56" s="604">
        <f t="shared" si="36"/>
        <v>215420186.66429108</v>
      </c>
      <c r="O56" s="604">
        <f t="shared" si="36"/>
        <v>258278430.94183463</v>
      </c>
      <c r="P56" s="604">
        <f t="shared" si="36"/>
        <v>304256367.48121953</v>
      </c>
      <c r="Q56" s="604"/>
      <c r="R56" s="604"/>
      <c r="S56" s="604"/>
      <c r="T56" s="604"/>
      <c r="U56" s="604"/>
      <c r="V56" s="604"/>
      <c r="W56" s="604"/>
      <c r="X56" s="604"/>
    </row>
    <row r="57" spans="1:24" ht="15.6" outlineLevel="1">
      <c r="A57" s="637" t="s">
        <v>453</v>
      </c>
      <c r="B57" s="637"/>
      <c r="C57" s="638"/>
      <c r="D57" s="637">
        <f t="shared" ref="D57:M57" si="37">SUM(D55:D56)</f>
        <v>64109100</v>
      </c>
      <c r="E57" s="637">
        <f t="shared" si="37"/>
        <v>66303700</v>
      </c>
      <c r="F57" s="637">
        <f t="shared" si="37"/>
        <v>63177500</v>
      </c>
      <c r="G57" s="637">
        <f t="shared" si="37"/>
        <v>75158800</v>
      </c>
      <c r="H57" s="637">
        <f t="shared" si="37"/>
        <v>48608600</v>
      </c>
      <c r="I57" s="637">
        <f t="shared" si="37"/>
        <v>74717024.146783575</v>
      </c>
      <c r="J57" s="637">
        <f t="shared" si="37"/>
        <v>104518485.85309181</v>
      </c>
      <c r="K57" s="637">
        <f t="shared" si="37"/>
        <v>136491022.08809343</v>
      </c>
      <c r="L57" s="637">
        <f t="shared" si="37"/>
        <v>170729882.06802064</v>
      </c>
      <c r="M57" s="637">
        <f t="shared" si="37"/>
        <v>207616510.34721673</v>
      </c>
      <c r="N57" s="637">
        <f>SUM(N55:N56)</f>
        <v>247298886.66429108</v>
      </c>
      <c r="O57" s="637">
        <f t="shared" ref="O57:P57" si="38">SUM(O55:O56)</f>
        <v>289934130.94183463</v>
      </c>
      <c r="P57" s="637">
        <f t="shared" si="38"/>
        <v>335689067.48121953</v>
      </c>
      <c r="Q57" s="604"/>
      <c r="R57" s="604"/>
      <c r="S57" s="604"/>
      <c r="T57" s="604"/>
      <c r="U57" s="604"/>
      <c r="V57" s="604"/>
      <c r="W57" s="604"/>
      <c r="X57" s="604"/>
    </row>
    <row r="58" spans="1:24" ht="16.2" outlineLevel="1" thickBot="1">
      <c r="A58" s="629" t="s">
        <v>455</v>
      </c>
      <c r="B58" s="629"/>
      <c r="C58" s="630"/>
      <c r="D58" s="629">
        <f t="shared" ref="D58:M58" si="39">D53+D57</f>
        <v>146398700</v>
      </c>
      <c r="E58" s="629">
        <f t="shared" si="39"/>
        <v>149532700</v>
      </c>
      <c r="F58" s="629">
        <f t="shared" si="39"/>
        <v>150257400</v>
      </c>
      <c r="G58" s="629">
        <f t="shared" si="39"/>
        <v>179657600</v>
      </c>
      <c r="H58" s="629">
        <f t="shared" si="39"/>
        <v>150001600</v>
      </c>
      <c r="I58" s="629">
        <f t="shared" si="39"/>
        <v>174054827.0442996</v>
      </c>
      <c r="J58" s="629">
        <f t="shared" si="39"/>
        <v>195641088.75060785</v>
      </c>
      <c r="K58" s="629">
        <f t="shared" si="39"/>
        <v>219398424.98560947</v>
      </c>
      <c r="L58" s="629">
        <f t="shared" si="39"/>
        <v>245422084.96553671</v>
      </c>
      <c r="M58" s="629">
        <f t="shared" si="39"/>
        <v>274093513.2447328</v>
      </c>
      <c r="N58" s="629">
        <f>N53+N57</f>
        <v>305814001.76087356</v>
      </c>
      <c r="O58" s="629">
        <f t="shared" ref="O58:P58" si="40">O53+O57</f>
        <v>340503012.93138593</v>
      </c>
      <c r="P58" s="629">
        <f t="shared" si="40"/>
        <v>378328338.51772511</v>
      </c>
      <c r="Q58" s="604"/>
      <c r="R58" s="604"/>
      <c r="S58" s="604"/>
      <c r="T58" s="604"/>
      <c r="U58" s="604"/>
      <c r="V58" s="604"/>
      <c r="W58" s="604"/>
      <c r="X58" s="604"/>
    </row>
    <row r="59" spans="1:24" ht="16.2" outlineLevel="1" thickTop="1">
      <c r="A59" s="604"/>
      <c r="B59" s="604"/>
      <c r="C59" s="609"/>
      <c r="D59" s="658">
        <v>1000</v>
      </c>
      <c r="E59" s="610"/>
      <c r="F59" s="610"/>
      <c r="G59" s="610"/>
      <c r="H59" s="610"/>
      <c r="I59" s="610"/>
      <c r="J59" s="604"/>
      <c r="K59" s="604"/>
      <c r="L59" s="604"/>
      <c r="M59" s="604"/>
      <c r="N59" s="604"/>
      <c r="O59" s="604"/>
      <c r="P59" s="604"/>
      <c r="Q59" s="604"/>
      <c r="R59" s="604" t="s">
        <v>843</v>
      </c>
      <c r="S59" s="604"/>
      <c r="T59" s="604"/>
      <c r="U59" s="604"/>
      <c r="V59" s="604"/>
      <c r="W59" s="604"/>
      <c r="X59" s="604"/>
    </row>
    <row r="60" spans="1:24" ht="15.6" outlineLevel="1">
      <c r="A60" s="618" t="s">
        <v>456</v>
      </c>
      <c r="B60" s="639"/>
      <c r="C60" s="640"/>
      <c r="D60" s="641">
        <f t="shared" ref="D60:M60" si="41">D58-D48</f>
        <v>0</v>
      </c>
      <c r="E60" s="641">
        <f t="shared" si="41"/>
        <v>0</v>
      </c>
      <c r="F60" s="641">
        <f t="shared" si="41"/>
        <v>0</v>
      </c>
      <c r="G60" s="641">
        <f t="shared" si="41"/>
        <v>0</v>
      </c>
      <c r="H60" s="641">
        <f t="shared" si="41"/>
        <v>0</v>
      </c>
      <c r="I60" s="642">
        <f t="shared" si="41"/>
        <v>0</v>
      </c>
      <c r="J60" s="642">
        <f t="shared" si="41"/>
        <v>0</v>
      </c>
      <c r="K60" s="642">
        <f t="shared" si="41"/>
        <v>0</v>
      </c>
      <c r="L60" s="642">
        <f t="shared" si="41"/>
        <v>0</v>
      </c>
      <c r="M60" s="642">
        <f t="shared" si="41"/>
        <v>0</v>
      </c>
      <c r="N60" s="642">
        <f>N58-N48</f>
        <v>0</v>
      </c>
      <c r="O60" s="642">
        <f t="shared" ref="O60:P60" si="42">O58-O48</f>
        <v>0</v>
      </c>
      <c r="P60" s="642">
        <f t="shared" si="42"/>
        <v>0</v>
      </c>
      <c r="Q60" s="604"/>
      <c r="R60" s="604">
        <f>SUM(D60:P60)</f>
        <v>0</v>
      </c>
      <c r="S60" s="604"/>
      <c r="T60" s="604"/>
      <c r="U60" s="604"/>
      <c r="V60" s="604"/>
      <c r="W60" s="604"/>
      <c r="X60" s="604"/>
    </row>
    <row r="61" spans="1:24" ht="15.6" outlineLevel="1">
      <c r="A61" s="639"/>
      <c r="B61" s="639"/>
      <c r="C61" s="640"/>
      <c r="D61" s="639"/>
      <c r="E61" s="639"/>
      <c r="F61" s="639"/>
      <c r="G61" s="639"/>
      <c r="H61" s="639"/>
      <c r="I61" s="639"/>
      <c r="J61" s="639"/>
      <c r="K61" s="639"/>
      <c r="L61" s="639"/>
      <c r="M61" s="639"/>
      <c r="N61" s="639"/>
      <c r="O61" s="639"/>
      <c r="P61" s="639"/>
      <c r="Q61" s="604"/>
      <c r="R61" s="604"/>
      <c r="S61" s="604"/>
      <c r="T61" s="604"/>
      <c r="U61" s="604"/>
      <c r="V61" s="604"/>
      <c r="W61" s="604"/>
      <c r="X61" s="604"/>
    </row>
    <row r="62" spans="1:24" ht="15.6">
      <c r="A62" s="604"/>
      <c r="B62" s="604"/>
      <c r="C62" s="609"/>
      <c r="D62" s="610"/>
      <c r="E62" s="610"/>
      <c r="F62" s="610"/>
      <c r="G62" s="610"/>
      <c r="H62" s="610"/>
      <c r="I62" s="604"/>
      <c r="J62" s="604"/>
      <c r="K62" s="604"/>
      <c r="L62" s="604"/>
      <c r="M62" s="604"/>
      <c r="N62" s="604"/>
      <c r="O62" s="604"/>
      <c r="P62" s="604"/>
      <c r="Q62" s="604"/>
      <c r="R62" s="604"/>
      <c r="S62" s="604"/>
      <c r="T62" s="604"/>
      <c r="U62" s="604"/>
      <c r="V62" s="604"/>
      <c r="W62" s="604"/>
      <c r="X62" s="604"/>
    </row>
    <row r="63" spans="1:24" ht="21">
      <c r="A63" s="476" t="s">
        <v>457</v>
      </c>
      <c r="B63" s="476"/>
      <c r="C63" s="476"/>
      <c r="D63" s="476"/>
      <c r="E63" s="476"/>
      <c r="F63" s="476"/>
      <c r="G63" s="476"/>
      <c r="H63" s="476"/>
      <c r="I63" s="476"/>
      <c r="J63" s="476"/>
      <c r="K63" s="476"/>
      <c r="L63" s="476"/>
      <c r="M63" s="476"/>
      <c r="N63" s="476"/>
      <c r="O63" s="476"/>
      <c r="P63" s="476"/>
      <c r="Q63" s="604"/>
      <c r="R63" s="604"/>
      <c r="S63" s="604"/>
      <c r="T63" s="604"/>
      <c r="U63" s="604"/>
      <c r="V63" s="604"/>
      <c r="W63" s="604"/>
      <c r="X63" s="604"/>
    </row>
    <row r="64" spans="1:24" ht="15.6" outlineLevel="1">
      <c r="A64" s="611"/>
      <c r="B64" s="604"/>
      <c r="C64" s="609"/>
      <c r="D64" s="623"/>
      <c r="E64" s="610"/>
      <c r="F64" s="610"/>
      <c r="G64" s="610"/>
      <c r="H64" s="610"/>
      <c r="I64" s="604"/>
      <c r="J64" s="604"/>
      <c r="K64" s="604"/>
      <c r="L64" s="604"/>
      <c r="M64" s="604"/>
      <c r="N64" s="604"/>
      <c r="O64" s="604"/>
      <c r="P64" s="604"/>
      <c r="Q64" s="604"/>
      <c r="R64" s="604"/>
      <c r="S64" s="604"/>
      <c r="T64" s="604"/>
      <c r="U64" s="604"/>
      <c r="V64" s="604"/>
      <c r="W64" s="604"/>
      <c r="X64" s="604"/>
    </row>
    <row r="65" spans="1:24" ht="15.6" outlineLevel="1">
      <c r="A65" s="631" t="s">
        <v>458</v>
      </c>
      <c r="B65" s="604"/>
      <c r="C65" s="609"/>
      <c r="D65" s="610"/>
      <c r="E65" s="610"/>
      <c r="F65" s="610"/>
      <c r="G65" s="610"/>
      <c r="H65" s="610"/>
      <c r="I65" s="604"/>
      <c r="J65" s="604"/>
      <c r="K65" s="604"/>
      <c r="L65" s="604"/>
      <c r="M65" s="604"/>
      <c r="N65" s="604"/>
      <c r="O65" s="604"/>
      <c r="P65" s="604"/>
      <c r="Q65" s="604"/>
      <c r="R65" s="604"/>
      <c r="S65" s="604"/>
      <c r="T65" s="604"/>
      <c r="U65" s="604"/>
      <c r="V65" s="604"/>
      <c r="W65" s="604"/>
      <c r="X65" s="604"/>
    </row>
    <row r="66" spans="1:24" ht="15.6" outlineLevel="1">
      <c r="A66" s="632" t="s">
        <v>447</v>
      </c>
      <c r="B66" s="604"/>
      <c r="C66" s="609"/>
      <c r="D66" s="658">
        <v>14479000</v>
      </c>
      <c r="E66" s="658">
        <v>15988000</v>
      </c>
      <c r="F66" s="658">
        <v>12681000</v>
      </c>
      <c r="G66" s="658">
        <v>18437000</v>
      </c>
      <c r="H66" s="658">
        <v>11557000</v>
      </c>
      <c r="I66" s="604">
        <f t="shared" ref="I66:P66" si="43">I38</f>
        <v>26331424.146783575</v>
      </c>
      <c r="J66" s="604">
        <f t="shared" si="43"/>
        <v>30024461.706308238</v>
      </c>
      <c r="K66" s="604">
        <f t="shared" si="43"/>
        <v>32195536.235001624</v>
      </c>
      <c r="L66" s="604">
        <f t="shared" si="43"/>
        <v>34461859.979927219</v>
      </c>
      <c r="M66" s="604">
        <f t="shared" si="43"/>
        <v>37109628.279196084</v>
      </c>
      <c r="N66" s="604">
        <f t="shared" si="43"/>
        <v>39905376.317074351</v>
      </c>
      <c r="O66" s="604">
        <f t="shared" si="43"/>
        <v>42858244.27754353</v>
      </c>
      <c r="P66" s="604">
        <f t="shared" si="43"/>
        <v>45977936.539384931</v>
      </c>
      <c r="Q66" s="604"/>
      <c r="R66" s="604"/>
      <c r="S66" s="604"/>
      <c r="T66" s="604"/>
      <c r="U66" s="604"/>
      <c r="V66" s="604"/>
      <c r="W66" s="604"/>
      <c r="X66" s="604"/>
    </row>
    <row r="67" spans="1:24" ht="15.6" outlineLevel="1">
      <c r="A67" s="632" t="s">
        <v>459</v>
      </c>
      <c r="B67" s="604"/>
      <c r="C67" s="609"/>
      <c r="D67" s="658">
        <v>653000</v>
      </c>
      <c r="E67" s="658">
        <v>696000</v>
      </c>
      <c r="F67" s="658">
        <v>894000</v>
      </c>
      <c r="G67" s="658">
        <v>732000</v>
      </c>
      <c r="H67" s="658">
        <v>816000</v>
      </c>
      <c r="I67" s="604">
        <f>I98</f>
        <v>822398.98872937262</v>
      </c>
      <c r="J67" s="604">
        <f t="shared" ref="J67:P67" si="44">J98</f>
        <v>845145.57008711353</v>
      </c>
      <c r="K67" s="604">
        <f t="shared" si="44"/>
        <v>867762.78033102851</v>
      </c>
      <c r="L67" s="604">
        <f t="shared" si="44"/>
        <v>890251.35525894281</v>
      </c>
      <c r="M67" s="604">
        <f t="shared" si="44"/>
        <v>912612.02648383356</v>
      </c>
      <c r="N67" s="604">
        <f t="shared" si="44"/>
        <v>934845.52145763137</v>
      </c>
      <c r="O67" s="604">
        <f t="shared" si="44"/>
        <v>956952.56349488604</v>
      </c>
      <c r="P67" s="604">
        <f t="shared" si="44"/>
        <v>978933.87179629819</v>
      </c>
      <c r="Q67" s="604"/>
      <c r="R67" s="604"/>
      <c r="S67" s="604"/>
      <c r="T67" s="604"/>
      <c r="U67" s="604"/>
      <c r="V67" s="604"/>
      <c r="W67" s="604"/>
      <c r="X67" s="604"/>
    </row>
    <row r="68" spans="1:24" ht="15.6" outlineLevel="1">
      <c r="A68" s="632" t="s">
        <v>460</v>
      </c>
      <c r="B68" s="604"/>
      <c r="C68" s="609"/>
      <c r="D68" s="658">
        <v>2430000</v>
      </c>
      <c r="E68" s="658">
        <v>-558000</v>
      </c>
      <c r="F68" s="658">
        <v>-9173000</v>
      </c>
      <c r="G68" s="658">
        <v>-3765000</v>
      </c>
      <c r="H68" s="658">
        <v>-3673000</v>
      </c>
      <c r="I68" s="604">
        <f>I93</f>
        <v>3013234.0875422414</v>
      </c>
      <c r="J68" s="604">
        <f t="shared" ref="J68:P68" si="45">J93</f>
        <v>714661.15509830043</v>
      </c>
      <c r="K68" s="604">
        <f t="shared" si="45"/>
        <v>424252.62896403484</v>
      </c>
      <c r="L68" s="604">
        <f t="shared" si="45"/>
        <v>450471.44143401273</v>
      </c>
      <c r="M68" s="604">
        <f t="shared" si="45"/>
        <v>478310.57651463151</v>
      </c>
      <c r="N68" s="604">
        <f t="shared" si="45"/>
        <v>573190.66717439331</v>
      </c>
      <c r="O68" s="604">
        <f t="shared" si="45"/>
        <v>608613.85040576756</v>
      </c>
      <c r="P68" s="604">
        <f t="shared" si="45"/>
        <v>646226.18636084348</v>
      </c>
      <c r="Q68" s="604"/>
      <c r="R68" s="604"/>
      <c r="S68" s="604"/>
      <c r="T68" s="604"/>
      <c r="U68" s="604"/>
      <c r="V68" s="604"/>
      <c r="W68" s="604"/>
      <c r="X68" s="604"/>
    </row>
    <row r="69" spans="1:24" ht="15.6" outlineLevel="1">
      <c r="A69" s="636" t="s">
        <v>461</v>
      </c>
      <c r="B69" s="643"/>
      <c r="C69" s="644"/>
      <c r="D69" s="613">
        <f>D66+D67+D68</f>
        <v>17562000</v>
      </c>
      <c r="E69" s="613">
        <f>E66+E67+E68</f>
        <v>16126000</v>
      </c>
      <c r="F69" s="613">
        <f t="shared" ref="F69:H69" si="46">F66+F67+F68</f>
        <v>4402000</v>
      </c>
      <c r="G69" s="613">
        <f t="shared" si="46"/>
        <v>15404000</v>
      </c>
      <c r="H69" s="613">
        <f t="shared" si="46"/>
        <v>8700000</v>
      </c>
      <c r="I69" s="613">
        <f t="shared" ref="I69:P69" si="47">I66+I67-I68</f>
        <v>24140589.047970705</v>
      </c>
      <c r="J69" s="613">
        <f t="shared" si="47"/>
        <v>30154946.12129705</v>
      </c>
      <c r="K69" s="613">
        <f t="shared" si="47"/>
        <v>32639046.386368617</v>
      </c>
      <c r="L69" s="613">
        <f t="shared" si="47"/>
        <v>34901639.89375215</v>
      </c>
      <c r="M69" s="613">
        <f t="shared" si="47"/>
        <v>37543929.729165286</v>
      </c>
      <c r="N69" s="613">
        <f t="shared" si="47"/>
        <v>40267031.171357594</v>
      </c>
      <c r="O69" s="613">
        <f t="shared" si="47"/>
        <v>43206582.990632646</v>
      </c>
      <c r="P69" s="613">
        <f t="shared" si="47"/>
        <v>46310644.224820383</v>
      </c>
      <c r="Q69" s="604"/>
      <c r="R69" s="604"/>
      <c r="S69" s="604"/>
      <c r="T69" s="604"/>
      <c r="U69" s="604"/>
      <c r="V69" s="604"/>
      <c r="W69" s="604"/>
      <c r="X69" s="604"/>
    </row>
    <row r="70" spans="1:24" ht="15.6" outlineLevel="1">
      <c r="A70" s="631"/>
      <c r="B70" s="604"/>
      <c r="C70" s="609"/>
      <c r="D70" s="623"/>
      <c r="E70" s="623"/>
      <c r="F70" s="623"/>
      <c r="G70" s="623"/>
      <c r="H70" s="623"/>
      <c r="I70" s="611"/>
      <c r="J70" s="611"/>
      <c r="K70" s="611"/>
      <c r="L70" s="611"/>
      <c r="M70" s="611"/>
      <c r="N70" s="611"/>
      <c r="O70" s="611"/>
      <c r="P70" s="611"/>
      <c r="Q70" s="604"/>
      <c r="R70" s="604"/>
      <c r="S70" s="604"/>
      <c r="T70" s="604"/>
      <c r="U70" s="604"/>
      <c r="V70" s="604"/>
      <c r="W70" s="604"/>
      <c r="X70" s="604"/>
    </row>
    <row r="71" spans="1:24" ht="15.6" outlineLevel="1">
      <c r="A71" s="631" t="s">
        <v>462</v>
      </c>
      <c r="B71" s="604"/>
      <c r="C71" s="609"/>
      <c r="D71" s="610"/>
      <c r="E71" s="610"/>
      <c r="F71" s="610"/>
      <c r="G71" s="610"/>
      <c r="H71" s="610"/>
      <c r="I71" s="604"/>
      <c r="J71" s="604"/>
      <c r="K71" s="604"/>
      <c r="L71" s="604"/>
      <c r="M71" s="604"/>
      <c r="N71" s="604"/>
      <c r="O71" s="604"/>
      <c r="P71" s="604"/>
      <c r="Q71" s="604"/>
      <c r="R71" s="604"/>
      <c r="S71" s="604"/>
      <c r="T71" s="604"/>
      <c r="U71" s="604"/>
      <c r="V71" s="604"/>
      <c r="W71" s="604"/>
      <c r="X71" s="604"/>
    </row>
    <row r="72" spans="1:24" ht="15.6" outlineLevel="1">
      <c r="A72" s="632" t="s">
        <v>463</v>
      </c>
      <c r="B72" s="604"/>
      <c r="C72" s="609"/>
      <c r="D72" s="658">
        <v>-4510000</v>
      </c>
      <c r="E72" s="658">
        <v>2157000</v>
      </c>
      <c r="F72" s="658">
        <v>-432000</v>
      </c>
      <c r="G72" s="658">
        <v>-7955000</v>
      </c>
      <c r="H72" s="658">
        <v>-13369000</v>
      </c>
      <c r="I72" s="604">
        <f t="shared" ref="I72:P72" si="48">I97</f>
        <v>-4821800</v>
      </c>
      <c r="J72" s="604">
        <f t="shared" si="48"/>
        <v>-4821800</v>
      </c>
      <c r="K72" s="604">
        <f t="shared" si="48"/>
        <v>-4821800</v>
      </c>
      <c r="L72" s="604">
        <f t="shared" si="48"/>
        <v>-4821800</v>
      </c>
      <c r="M72" s="604">
        <f t="shared" si="48"/>
        <v>-4821800</v>
      </c>
      <c r="N72" s="604">
        <f t="shared" si="48"/>
        <v>-4821800</v>
      </c>
      <c r="O72" s="604">
        <f t="shared" si="48"/>
        <v>-4821800</v>
      </c>
      <c r="P72" s="604">
        <f t="shared" si="48"/>
        <v>-4821800</v>
      </c>
      <c r="Q72" s="604"/>
      <c r="R72" s="604"/>
      <c r="S72" s="604"/>
      <c r="T72" s="604"/>
      <c r="U72" s="604"/>
      <c r="V72" s="604"/>
      <c r="W72" s="604"/>
      <c r="X72" s="604"/>
    </row>
    <row r="73" spans="1:24" ht="15.6" outlineLevel="1">
      <c r="A73" s="636" t="s">
        <v>464</v>
      </c>
      <c r="B73" s="643"/>
      <c r="C73" s="644"/>
      <c r="D73" s="613">
        <f t="shared" ref="D73:M73" si="49">SUM(D72)</f>
        <v>-4510000</v>
      </c>
      <c r="E73" s="613">
        <f t="shared" si="49"/>
        <v>2157000</v>
      </c>
      <c r="F73" s="613">
        <f t="shared" si="49"/>
        <v>-432000</v>
      </c>
      <c r="G73" s="613">
        <f t="shared" si="49"/>
        <v>-7955000</v>
      </c>
      <c r="H73" s="613">
        <f t="shared" si="49"/>
        <v>-13369000</v>
      </c>
      <c r="I73" s="613">
        <f t="shared" si="49"/>
        <v>-4821800</v>
      </c>
      <c r="J73" s="613">
        <f t="shared" si="49"/>
        <v>-4821800</v>
      </c>
      <c r="K73" s="613">
        <f t="shared" si="49"/>
        <v>-4821800</v>
      </c>
      <c r="L73" s="613">
        <f t="shared" si="49"/>
        <v>-4821800</v>
      </c>
      <c r="M73" s="613">
        <f t="shared" si="49"/>
        <v>-4821800</v>
      </c>
      <c r="N73" s="613">
        <f t="shared" ref="N73:P73" si="50">SUM(N72)</f>
        <v>-4821800</v>
      </c>
      <c r="O73" s="613">
        <f t="shared" si="50"/>
        <v>-4821800</v>
      </c>
      <c r="P73" s="613">
        <f t="shared" si="50"/>
        <v>-4821800</v>
      </c>
      <c r="Q73" s="604"/>
      <c r="R73" s="604"/>
      <c r="S73" s="604"/>
      <c r="T73" s="604"/>
      <c r="U73" s="604"/>
      <c r="V73" s="604"/>
      <c r="W73" s="604"/>
      <c r="X73" s="604"/>
    </row>
    <row r="74" spans="1:24" ht="15.6" outlineLevel="1">
      <c r="A74" s="631"/>
      <c r="B74" s="604"/>
      <c r="C74" s="609"/>
      <c r="D74" s="623"/>
      <c r="E74" s="623"/>
      <c r="F74" s="623"/>
      <c r="G74" s="623"/>
      <c r="H74" s="623"/>
      <c r="I74" s="611"/>
      <c r="J74" s="611"/>
      <c r="K74" s="611"/>
      <c r="L74" s="611"/>
      <c r="M74" s="611"/>
      <c r="N74" s="611"/>
      <c r="O74" s="611"/>
      <c r="P74" s="611"/>
      <c r="Q74" s="604"/>
      <c r="R74" s="604"/>
      <c r="S74" s="604"/>
      <c r="T74" s="604"/>
      <c r="U74" s="604"/>
      <c r="V74" s="604"/>
      <c r="W74" s="604"/>
      <c r="X74" s="604"/>
    </row>
    <row r="75" spans="1:24" ht="15.6" outlineLevel="1">
      <c r="A75" s="631" t="s">
        <v>465</v>
      </c>
      <c r="B75" s="604"/>
      <c r="C75" s="609"/>
      <c r="D75" s="610"/>
      <c r="E75" s="610"/>
      <c r="F75" s="610"/>
      <c r="G75" s="610"/>
      <c r="H75" s="610"/>
      <c r="I75" s="604"/>
      <c r="J75" s="604"/>
      <c r="K75" s="604"/>
      <c r="L75" s="604"/>
      <c r="M75" s="604"/>
      <c r="N75" s="604"/>
      <c r="O75" s="604"/>
      <c r="P75" s="604"/>
      <c r="Q75" s="604"/>
      <c r="R75" s="604"/>
      <c r="S75" s="604"/>
      <c r="T75" s="604"/>
      <c r="U75" s="604"/>
      <c r="V75" s="604"/>
      <c r="W75" s="604"/>
      <c r="X75" s="604"/>
    </row>
    <row r="76" spans="1:24" ht="15.6" outlineLevel="1">
      <c r="A76" s="632" t="s">
        <v>466</v>
      </c>
      <c r="B76" s="604"/>
      <c r="C76" s="609"/>
      <c r="D76" s="658">
        <v>-8704000</v>
      </c>
      <c r="E76" s="658">
        <v>-19528000</v>
      </c>
      <c r="F76" s="658">
        <v>-6454000</v>
      </c>
      <c r="G76" s="658">
        <v>-1983000</v>
      </c>
      <c r="H76" s="658">
        <v>-4407000</v>
      </c>
      <c r="I76" s="604">
        <f t="shared" ref="I76:P76" si="51">I103</f>
        <v>-8215200</v>
      </c>
      <c r="J76" s="604">
        <f t="shared" si="51"/>
        <v>-8215200</v>
      </c>
      <c r="K76" s="604">
        <f t="shared" si="51"/>
        <v>-8215200</v>
      </c>
      <c r="L76" s="604">
        <f t="shared" si="51"/>
        <v>-8215200</v>
      </c>
      <c r="M76" s="604">
        <f t="shared" si="51"/>
        <v>-8215200</v>
      </c>
      <c r="N76" s="604">
        <f t="shared" si="51"/>
        <v>-8215200</v>
      </c>
      <c r="O76" s="604">
        <f t="shared" si="51"/>
        <v>-8215200</v>
      </c>
      <c r="P76" s="604">
        <f t="shared" si="51"/>
        <v>-8215200</v>
      </c>
      <c r="Q76" s="604"/>
      <c r="R76" s="604"/>
      <c r="S76" s="604"/>
      <c r="T76" s="604"/>
      <c r="U76" s="604"/>
      <c r="V76" s="604"/>
      <c r="W76" s="604"/>
      <c r="X76" s="604"/>
    </row>
    <row r="77" spans="1:24" ht="15.6" outlineLevel="1">
      <c r="A77" s="632" t="s">
        <v>467</v>
      </c>
      <c r="B77" s="604"/>
      <c r="C77" s="609"/>
      <c r="D77" s="658"/>
      <c r="E77" s="658"/>
      <c r="F77" s="658"/>
      <c r="G77" s="658">
        <v>-735000</v>
      </c>
      <c r="H77" s="658">
        <v>-380000</v>
      </c>
      <c r="I77" s="604">
        <f t="shared" ref="I77:P77" si="52">I20</f>
        <v>-223000</v>
      </c>
      <c r="J77" s="604">
        <f t="shared" si="52"/>
        <v>-223000</v>
      </c>
      <c r="K77" s="604">
        <f t="shared" si="52"/>
        <v>-223000</v>
      </c>
      <c r="L77" s="604">
        <f t="shared" si="52"/>
        <v>-223000</v>
      </c>
      <c r="M77" s="604">
        <f t="shared" si="52"/>
        <v>-223000</v>
      </c>
      <c r="N77" s="604">
        <f t="shared" si="52"/>
        <v>-223000</v>
      </c>
      <c r="O77" s="604">
        <f t="shared" si="52"/>
        <v>-223000</v>
      </c>
      <c r="P77" s="604">
        <f t="shared" si="52"/>
        <v>-223000</v>
      </c>
      <c r="Q77" s="604"/>
      <c r="R77" s="604"/>
      <c r="S77" s="604"/>
      <c r="T77" s="604"/>
      <c r="U77" s="604"/>
      <c r="V77" s="604"/>
      <c r="W77" s="604"/>
      <c r="X77" s="604"/>
    </row>
    <row r="78" spans="1:24" ht="15.6" outlineLevel="1">
      <c r="A78" s="636" t="s">
        <v>468</v>
      </c>
      <c r="B78" s="643"/>
      <c r="C78" s="644"/>
      <c r="D78" s="613">
        <f>SUM(D76:D77)</f>
        <v>-8704000</v>
      </c>
      <c r="E78" s="613">
        <f t="shared" ref="E78:P78" si="53">SUM(E76:E77)</f>
        <v>-19528000</v>
      </c>
      <c r="F78" s="613">
        <f t="shared" si="53"/>
        <v>-6454000</v>
      </c>
      <c r="G78" s="613">
        <f t="shared" si="53"/>
        <v>-2718000</v>
      </c>
      <c r="H78" s="613">
        <f t="shared" si="53"/>
        <v>-4787000</v>
      </c>
      <c r="I78" s="613">
        <f t="shared" si="53"/>
        <v>-8438200</v>
      </c>
      <c r="J78" s="613">
        <f t="shared" si="53"/>
        <v>-8438200</v>
      </c>
      <c r="K78" s="613">
        <f t="shared" si="53"/>
        <v>-8438200</v>
      </c>
      <c r="L78" s="613">
        <f t="shared" si="53"/>
        <v>-8438200</v>
      </c>
      <c r="M78" s="613">
        <f t="shared" si="53"/>
        <v>-8438200</v>
      </c>
      <c r="N78" s="613">
        <f t="shared" si="53"/>
        <v>-8438200</v>
      </c>
      <c r="O78" s="613">
        <f t="shared" si="53"/>
        <v>-8438200</v>
      </c>
      <c r="P78" s="613">
        <f t="shared" si="53"/>
        <v>-8438200</v>
      </c>
      <c r="Q78" s="604"/>
      <c r="R78" s="604"/>
      <c r="S78" s="604"/>
      <c r="T78" s="604"/>
      <c r="U78" s="604"/>
      <c r="V78" s="604"/>
      <c r="W78" s="604"/>
      <c r="X78" s="604"/>
    </row>
    <row r="79" spans="1:24" ht="15.6" outlineLevel="1">
      <c r="A79" s="631"/>
      <c r="B79" s="604"/>
      <c r="C79" s="609"/>
      <c r="D79" s="623"/>
      <c r="E79" s="623"/>
      <c r="F79" s="623"/>
      <c r="G79" s="623"/>
      <c r="H79" s="623"/>
      <c r="I79" s="611"/>
      <c r="J79" s="611"/>
      <c r="K79" s="611"/>
      <c r="L79" s="611"/>
      <c r="M79" s="611"/>
      <c r="N79" s="611"/>
      <c r="O79" s="611"/>
      <c r="P79" s="611"/>
      <c r="Q79" s="604"/>
      <c r="R79" s="604"/>
      <c r="S79" s="604"/>
      <c r="T79" s="604"/>
      <c r="U79" s="604"/>
      <c r="V79" s="604"/>
      <c r="W79" s="604"/>
      <c r="X79" s="604"/>
    </row>
    <row r="80" spans="1:24" ht="15.6" outlineLevel="1">
      <c r="A80" s="632" t="s">
        <v>469</v>
      </c>
      <c r="B80" s="604"/>
      <c r="C80" s="609"/>
      <c r="D80" s="604">
        <f>D69+D73+D78</f>
        <v>4348000</v>
      </c>
      <c r="E80" s="604">
        <f t="shared" ref="E80:M80" si="54">E69+E73+E78</f>
        <v>-1245000</v>
      </c>
      <c r="F80" s="604">
        <f>F69+F73+F78</f>
        <v>-2484000</v>
      </c>
      <c r="G80" s="604">
        <f t="shared" si="54"/>
        <v>4731000</v>
      </c>
      <c r="H80" s="604">
        <f>H69+H73+H78</f>
        <v>-9456000</v>
      </c>
      <c r="I80" s="604">
        <f t="shared" si="54"/>
        <v>10880589.047970705</v>
      </c>
      <c r="J80" s="604">
        <f t="shared" si="54"/>
        <v>16894946.12129705</v>
      </c>
      <c r="K80" s="604">
        <f t="shared" si="54"/>
        <v>19379046.386368617</v>
      </c>
      <c r="L80" s="604">
        <f t="shared" si="54"/>
        <v>21641639.89375215</v>
      </c>
      <c r="M80" s="604">
        <f t="shared" si="54"/>
        <v>24283929.729165286</v>
      </c>
      <c r="N80" s="604">
        <f>N69+N73+N78</f>
        <v>27007031.171357594</v>
      </c>
      <c r="O80" s="604">
        <f t="shared" ref="O80:P80" si="55">O69+O73+O78</f>
        <v>29946582.990632646</v>
      </c>
      <c r="P80" s="604">
        <f t="shared" si="55"/>
        <v>33050644.224820383</v>
      </c>
      <c r="Q80" s="604"/>
      <c r="R80" s="604"/>
      <c r="S80" s="604"/>
      <c r="T80" s="604"/>
      <c r="U80" s="604"/>
      <c r="V80" s="604"/>
      <c r="W80" s="604"/>
      <c r="X80" s="604"/>
    </row>
    <row r="81" spans="1:24" ht="15.6" outlineLevel="1">
      <c r="A81" s="632" t="s">
        <v>470</v>
      </c>
      <c r="B81" s="604"/>
      <c r="C81" s="609"/>
      <c r="D81" s="658">
        <v>7377000</v>
      </c>
      <c r="E81" s="604">
        <f t="shared" ref="E81:P81" si="56">D82</f>
        <v>11725000</v>
      </c>
      <c r="F81" s="604">
        <f t="shared" si="56"/>
        <v>10480000</v>
      </c>
      <c r="G81" s="604">
        <f t="shared" si="56"/>
        <v>7996000</v>
      </c>
      <c r="H81" s="604">
        <f t="shared" si="56"/>
        <v>12727000</v>
      </c>
      <c r="I81" s="604">
        <f t="shared" si="56"/>
        <v>3271000</v>
      </c>
      <c r="J81" s="604">
        <f t="shared" si="56"/>
        <v>14151589.047970705</v>
      </c>
      <c r="K81" s="604">
        <f t="shared" si="56"/>
        <v>31046535.169267755</v>
      </c>
      <c r="L81" s="604">
        <f t="shared" si="56"/>
        <v>50425581.555636376</v>
      </c>
      <c r="M81" s="604">
        <f t="shared" si="56"/>
        <v>72067221.449388534</v>
      </c>
      <c r="N81" s="604">
        <f t="shared" si="56"/>
        <v>96351151.17855382</v>
      </c>
      <c r="O81" s="604">
        <f t="shared" si="56"/>
        <v>123358182.34991142</v>
      </c>
      <c r="P81" s="604">
        <f t="shared" si="56"/>
        <v>153304765.34054407</v>
      </c>
      <c r="Q81" s="604"/>
      <c r="R81" s="604"/>
      <c r="S81" s="604"/>
      <c r="T81" s="604"/>
      <c r="U81" s="604"/>
      <c r="V81" s="604"/>
      <c r="W81" s="604"/>
      <c r="X81" s="604"/>
    </row>
    <row r="82" spans="1:24" ht="15.6" outlineLevel="1">
      <c r="A82" s="613" t="s">
        <v>471</v>
      </c>
      <c r="B82" s="643"/>
      <c r="C82" s="644"/>
      <c r="D82" s="613">
        <f t="shared" ref="D82:M82" si="57">SUM(D80:D81)</f>
        <v>11725000</v>
      </c>
      <c r="E82" s="613">
        <f t="shared" si="57"/>
        <v>10480000</v>
      </c>
      <c r="F82" s="613">
        <f t="shared" si="57"/>
        <v>7996000</v>
      </c>
      <c r="G82" s="613">
        <f t="shared" si="57"/>
        <v>12727000</v>
      </c>
      <c r="H82" s="613">
        <f t="shared" si="57"/>
        <v>3271000</v>
      </c>
      <c r="I82" s="613">
        <f t="shared" si="57"/>
        <v>14151589.047970705</v>
      </c>
      <c r="J82" s="613">
        <f t="shared" si="57"/>
        <v>31046535.169267755</v>
      </c>
      <c r="K82" s="613">
        <f t="shared" si="57"/>
        <v>50425581.555636376</v>
      </c>
      <c r="L82" s="613">
        <f t="shared" si="57"/>
        <v>72067221.449388534</v>
      </c>
      <c r="M82" s="613">
        <f t="shared" si="57"/>
        <v>96351151.17855382</v>
      </c>
      <c r="N82" s="613">
        <f>SUM(N80:N81)</f>
        <v>123358182.34991142</v>
      </c>
      <c r="O82" s="613">
        <f t="shared" ref="O82:P82" si="58">SUM(O80:O81)</f>
        <v>153304765.34054407</v>
      </c>
      <c r="P82" s="613">
        <f t="shared" si="58"/>
        <v>186355409.56536445</v>
      </c>
      <c r="Q82" s="604"/>
      <c r="R82" s="604"/>
      <c r="S82" s="604"/>
      <c r="T82" s="604"/>
      <c r="U82" s="604"/>
      <c r="V82" s="604"/>
      <c r="W82" s="604"/>
      <c r="X82" s="604"/>
    </row>
    <row r="83" spans="1:24" ht="15.6" outlineLevel="1">
      <c r="A83" s="611"/>
      <c r="B83" s="604"/>
      <c r="C83" s="609"/>
      <c r="D83" s="623"/>
      <c r="E83" s="623"/>
      <c r="F83" s="623"/>
      <c r="G83" s="623"/>
      <c r="H83" s="623"/>
      <c r="I83" s="604"/>
      <c r="Q83" s="604"/>
      <c r="R83" s="604"/>
      <c r="S83" s="604"/>
      <c r="T83" s="604"/>
      <c r="U83" s="604"/>
      <c r="V83" s="604"/>
      <c r="W83" s="604"/>
      <c r="X83" s="604"/>
    </row>
    <row r="84" spans="1:24" ht="15.6" outlineLevel="1">
      <c r="A84" s="611"/>
      <c r="B84" s="604"/>
      <c r="C84" s="609"/>
      <c r="D84" s="623"/>
      <c r="E84" s="610"/>
      <c r="F84" s="610"/>
      <c r="G84" s="610"/>
      <c r="H84" s="610"/>
      <c r="I84" s="604"/>
      <c r="J84" s="604"/>
      <c r="K84" s="604"/>
      <c r="L84" s="604"/>
      <c r="M84" s="604"/>
      <c r="N84" s="604"/>
      <c r="O84" s="604"/>
      <c r="P84" s="604"/>
      <c r="Q84" s="604"/>
      <c r="R84" s="604"/>
      <c r="S84" s="604"/>
      <c r="T84" s="604"/>
      <c r="U84" s="604"/>
      <c r="V84" s="604"/>
      <c r="W84" s="604"/>
      <c r="X84" s="604"/>
    </row>
    <row r="85" spans="1:24" ht="15.6">
      <c r="A85" s="604"/>
      <c r="B85" s="604"/>
      <c r="C85" s="609"/>
      <c r="D85" s="610"/>
      <c r="E85" s="610"/>
      <c r="F85" s="610"/>
      <c r="G85" s="610"/>
      <c r="H85" s="610"/>
      <c r="I85" s="604"/>
      <c r="J85" s="604"/>
      <c r="K85" s="604"/>
      <c r="L85" s="604"/>
      <c r="M85" s="604"/>
      <c r="N85" s="604"/>
      <c r="O85" s="604"/>
      <c r="P85" s="604"/>
      <c r="Q85" s="604"/>
      <c r="R85" s="604"/>
      <c r="S85" s="604"/>
      <c r="T85" s="604"/>
      <c r="U85" s="604"/>
      <c r="V85" s="604"/>
      <c r="W85" s="604"/>
      <c r="X85" s="604"/>
    </row>
    <row r="86" spans="1:24" ht="21">
      <c r="A86" s="476" t="s">
        <v>472</v>
      </c>
      <c r="B86" s="476"/>
      <c r="C86" s="476"/>
      <c r="D86" s="476"/>
      <c r="E86" s="476"/>
      <c r="F86" s="476"/>
      <c r="G86" s="476"/>
      <c r="H86" s="476"/>
      <c r="I86" s="476"/>
      <c r="J86" s="476"/>
      <c r="K86" s="476"/>
      <c r="L86" s="476"/>
      <c r="M86" s="476"/>
      <c r="N86" s="476"/>
      <c r="O86" s="476"/>
      <c r="P86" s="476"/>
      <c r="Q86" s="604"/>
      <c r="R86" s="604"/>
      <c r="S86" s="604"/>
      <c r="T86" s="604"/>
      <c r="U86" s="604"/>
      <c r="V86" s="604"/>
      <c r="W86" s="604"/>
      <c r="X86" s="604"/>
    </row>
    <row r="87" spans="1:24" ht="15.6" outlineLevel="1">
      <c r="A87" s="604"/>
      <c r="B87" s="604"/>
      <c r="C87" s="609"/>
      <c r="D87" s="610"/>
      <c r="E87" s="610"/>
      <c r="F87" s="610"/>
      <c r="G87" s="610"/>
      <c r="H87" s="610"/>
      <c r="I87" s="604"/>
      <c r="J87" s="604"/>
      <c r="K87" s="604"/>
      <c r="L87" s="604"/>
      <c r="M87" s="604"/>
      <c r="N87" s="604"/>
      <c r="O87" s="604"/>
      <c r="P87" s="604"/>
      <c r="Q87" s="604"/>
      <c r="R87" s="604"/>
      <c r="S87" s="604"/>
      <c r="T87" s="604"/>
      <c r="U87" s="604"/>
      <c r="V87" s="604"/>
      <c r="W87" s="604"/>
      <c r="X87" s="604"/>
    </row>
    <row r="88" spans="1:24" ht="15.6" outlineLevel="1">
      <c r="A88" s="631" t="s">
        <v>203</v>
      </c>
      <c r="B88" s="604"/>
      <c r="C88" s="609"/>
      <c r="D88" s="610"/>
      <c r="E88" s="610"/>
      <c r="F88" s="610"/>
      <c r="G88" s="610"/>
      <c r="H88" s="610"/>
      <c r="I88" s="604"/>
      <c r="J88" s="604"/>
      <c r="K88" s="604"/>
      <c r="L88" s="604"/>
      <c r="M88" s="604"/>
      <c r="N88" s="604"/>
      <c r="O88" s="604"/>
      <c r="P88" s="604"/>
      <c r="Q88" s="604"/>
      <c r="R88" s="604"/>
      <c r="S88" s="604"/>
      <c r="T88" s="604"/>
      <c r="U88" s="604"/>
      <c r="V88" s="604"/>
      <c r="W88" s="604"/>
      <c r="X88" s="604"/>
    </row>
    <row r="89" spans="1:24" ht="15.6" outlineLevel="1">
      <c r="A89" s="632" t="s">
        <v>89</v>
      </c>
      <c r="B89" s="604"/>
      <c r="C89" s="609"/>
      <c r="D89" s="604">
        <f t="shared" ref="D89:P90" si="59">D45</f>
        <v>4731000</v>
      </c>
      <c r="E89" s="604">
        <f t="shared" si="59"/>
        <v>6368000</v>
      </c>
      <c r="F89" s="604">
        <f t="shared" si="59"/>
        <v>5010000</v>
      </c>
      <c r="G89" s="604">
        <f t="shared" si="59"/>
        <v>6135000</v>
      </c>
      <c r="H89" s="604">
        <f t="shared" si="59"/>
        <v>3566000</v>
      </c>
      <c r="I89" s="604">
        <f t="shared" si="59"/>
        <v>6150268.1161643835</v>
      </c>
      <c r="J89" s="604">
        <f t="shared" si="59"/>
        <v>6864929.2712626848</v>
      </c>
      <c r="K89" s="604">
        <f t="shared" si="59"/>
        <v>7289181.9002267197</v>
      </c>
      <c r="L89" s="604">
        <f t="shared" si="59"/>
        <v>7739653.3416607324</v>
      </c>
      <c r="M89" s="604">
        <f t="shared" si="59"/>
        <v>8217963.9181753639</v>
      </c>
      <c r="N89" s="604">
        <f t="shared" si="59"/>
        <v>8725834.0883186031</v>
      </c>
      <c r="O89" s="604">
        <f t="shared" si="59"/>
        <v>9265090.6349766944</v>
      </c>
      <c r="P89" s="604">
        <f t="shared" si="59"/>
        <v>9837673.236218255</v>
      </c>
      <c r="Q89" s="604"/>
      <c r="R89" s="604"/>
      <c r="S89" s="604"/>
      <c r="T89" s="604"/>
      <c r="U89" s="604"/>
      <c r="V89" s="604"/>
      <c r="W89" s="604"/>
      <c r="X89" s="604"/>
    </row>
    <row r="90" spans="1:24" ht="15.6" outlineLevel="1">
      <c r="A90" s="632" t="s">
        <v>88</v>
      </c>
      <c r="B90" s="604"/>
      <c r="C90" s="609"/>
      <c r="D90" s="604">
        <f t="shared" si="59"/>
        <v>5677000</v>
      </c>
      <c r="E90" s="604">
        <f t="shared" si="59"/>
        <v>7255000</v>
      </c>
      <c r="F90" s="604">
        <f t="shared" si="59"/>
        <v>8779000</v>
      </c>
      <c r="G90" s="604">
        <f t="shared" si="59"/>
        <v>7681000</v>
      </c>
      <c r="H90" s="604">
        <f t="shared" si="59"/>
        <v>6710000</v>
      </c>
      <c r="I90" s="604">
        <f t="shared" si="59"/>
        <v>5155868.8688938525</v>
      </c>
      <c r="J90" s="604">
        <f t="shared" si="59"/>
        <v>5155868.8688938525</v>
      </c>
      <c r="K90" s="604">
        <f t="shared" si="59"/>
        <v>5155868.8688938525</v>
      </c>
      <c r="L90" s="604">
        <f t="shared" si="59"/>
        <v>5155868.8688938525</v>
      </c>
      <c r="M90" s="604">
        <f t="shared" si="59"/>
        <v>5155868.8688938534</v>
      </c>
      <c r="N90" s="604">
        <f t="shared" si="59"/>
        <v>5474501.5649914937</v>
      </c>
      <c r="O90" s="604">
        <f t="shared" si="59"/>
        <v>5812825.761707969</v>
      </c>
      <c r="P90" s="604">
        <f t="shared" si="59"/>
        <v>6172058.3937815223</v>
      </c>
      <c r="Q90" s="604"/>
      <c r="R90" s="604"/>
      <c r="S90" s="604"/>
      <c r="T90" s="604"/>
      <c r="U90" s="604"/>
      <c r="V90" s="604"/>
      <c r="W90" s="604"/>
      <c r="X90" s="604"/>
    </row>
    <row r="91" spans="1:24" ht="15.6" outlineLevel="1">
      <c r="A91" s="632" t="s">
        <v>87</v>
      </c>
      <c r="B91" s="604"/>
      <c r="C91" s="609"/>
      <c r="D91" s="604">
        <f t="shared" ref="D91:P91" si="60">D51</f>
        <v>6859000</v>
      </c>
      <c r="E91" s="604">
        <f t="shared" si="60"/>
        <v>5483000</v>
      </c>
      <c r="F91" s="604">
        <f t="shared" si="60"/>
        <v>5464000</v>
      </c>
      <c r="G91" s="604">
        <f t="shared" si="60"/>
        <v>4813000</v>
      </c>
      <c r="H91" s="604">
        <f t="shared" si="60"/>
        <v>6082000</v>
      </c>
      <c r="I91" s="604">
        <f t="shared" si="60"/>
        <v>4098902.8975159954</v>
      </c>
      <c r="J91" s="604">
        <f t="shared" si="60"/>
        <v>4098902.8975159959</v>
      </c>
      <c r="K91" s="604">
        <f t="shared" si="60"/>
        <v>4098902.8975159959</v>
      </c>
      <c r="L91" s="604">
        <f t="shared" si="60"/>
        <v>4098902.8975159959</v>
      </c>
      <c r="M91" s="604">
        <f t="shared" si="60"/>
        <v>4098902.8975159959</v>
      </c>
      <c r="N91" s="604">
        <f t="shared" si="60"/>
        <v>4352215.0965824835</v>
      </c>
      <c r="O91" s="604">
        <f t="shared" si="60"/>
        <v>4621181.9895512825</v>
      </c>
      <c r="P91" s="604">
        <f t="shared" si="60"/>
        <v>4906771.036505552</v>
      </c>
      <c r="Q91" s="604"/>
      <c r="R91" s="604"/>
      <c r="S91" s="604"/>
      <c r="T91" s="604"/>
      <c r="U91" s="604"/>
      <c r="V91" s="604"/>
      <c r="W91" s="604"/>
      <c r="X91" s="604"/>
    </row>
    <row r="92" spans="1:24" ht="15.6" outlineLevel="1">
      <c r="A92" s="645" t="s">
        <v>473</v>
      </c>
      <c r="B92" s="643"/>
      <c r="C92" s="644"/>
      <c r="D92" s="643">
        <f t="shared" ref="D92:P92" si="61">D89+D90-D91</f>
        <v>3549000</v>
      </c>
      <c r="E92" s="643">
        <f t="shared" si="61"/>
        <v>8140000</v>
      </c>
      <c r="F92" s="643">
        <f t="shared" si="61"/>
        <v>8325000</v>
      </c>
      <c r="G92" s="643">
        <f t="shared" si="61"/>
        <v>9003000</v>
      </c>
      <c r="H92" s="643">
        <f t="shared" si="61"/>
        <v>4194000</v>
      </c>
      <c r="I92" s="643">
        <f t="shared" si="61"/>
        <v>7207234.0875422414</v>
      </c>
      <c r="J92" s="643">
        <f t="shared" si="61"/>
        <v>7921895.2426405419</v>
      </c>
      <c r="K92" s="643">
        <f t="shared" si="61"/>
        <v>8346147.8716045767</v>
      </c>
      <c r="L92" s="643">
        <f t="shared" si="61"/>
        <v>8796619.3130385894</v>
      </c>
      <c r="M92" s="643">
        <f t="shared" si="61"/>
        <v>9274929.8895532209</v>
      </c>
      <c r="N92" s="643">
        <f t="shared" si="61"/>
        <v>9848120.5567276143</v>
      </c>
      <c r="O92" s="643">
        <f t="shared" si="61"/>
        <v>10456734.407133382</v>
      </c>
      <c r="P92" s="643">
        <f t="shared" si="61"/>
        <v>11102960.593494225</v>
      </c>
      <c r="Q92" s="604"/>
      <c r="R92" s="604"/>
      <c r="S92" s="604"/>
      <c r="T92" s="604"/>
      <c r="U92" s="604"/>
      <c r="V92" s="604"/>
      <c r="W92" s="604"/>
      <c r="X92" s="604"/>
    </row>
    <row r="93" spans="1:24" ht="15.6" outlineLevel="1">
      <c r="A93" s="632" t="s">
        <v>474</v>
      </c>
      <c r="B93" s="604"/>
      <c r="C93" s="609"/>
      <c r="D93" s="604">
        <f t="shared" ref="D93:P93" si="62">D92-C92</f>
        <v>3549000</v>
      </c>
      <c r="E93" s="604">
        <f t="shared" si="62"/>
        <v>4591000</v>
      </c>
      <c r="F93" s="604">
        <f t="shared" si="62"/>
        <v>185000</v>
      </c>
      <c r="G93" s="604">
        <f t="shared" si="62"/>
        <v>678000</v>
      </c>
      <c r="H93" s="604">
        <f t="shared" si="62"/>
        <v>-4809000</v>
      </c>
      <c r="I93" s="604">
        <f t="shared" si="62"/>
        <v>3013234.0875422414</v>
      </c>
      <c r="J93" s="604">
        <f t="shared" si="62"/>
        <v>714661.15509830043</v>
      </c>
      <c r="K93" s="604">
        <f t="shared" si="62"/>
        <v>424252.62896403484</v>
      </c>
      <c r="L93" s="604">
        <f t="shared" si="62"/>
        <v>450471.44143401273</v>
      </c>
      <c r="M93" s="604">
        <f t="shared" si="62"/>
        <v>478310.57651463151</v>
      </c>
      <c r="N93" s="604">
        <f t="shared" si="62"/>
        <v>573190.66717439331</v>
      </c>
      <c r="O93" s="604">
        <f t="shared" si="62"/>
        <v>608613.85040576756</v>
      </c>
      <c r="P93" s="604">
        <f t="shared" si="62"/>
        <v>646226.18636084348</v>
      </c>
      <c r="Q93" s="604"/>
      <c r="R93" s="604"/>
      <c r="S93" s="604"/>
      <c r="T93" s="604"/>
      <c r="U93" s="604"/>
      <c r="V93" s="604"/>
      <c r="W93" s="604"/>
      <c r="X93" s="604"/>
    </row>
    <row r="94" spans="1:24" ht="15.6" outlineLevel="1">
      <c r="A94" s="632"/>
      <c r="B94" s="604"/>
      <c r="C94" s="609"/>
      <c r="D94" s="610"/>
      <c r="E94" s="610"/>
      <c r="F94" s="610"/>
      <c r="G94" s="610"/>
      <c r="H94" s="610"/>
      <c r="I94" s="610"/>
      <c r="J94" s="610"/>
      <c r="K94" s="610"/>
      <c r="L94" s="610"/>
      <c r="M94" s="610"/>
      <c r="N94" s="610"/>
      <c r="O94" s="610"/>
      <c r="P94" s="610"/>
      <c r="Q94" s="604"/>
      <c r="R94" s="604"/>
      <c r="S94" s="604"/>
      <c r="T94" s="604"/>
      <c r="U94" s="604"/>
      <c r="V94" s="604"/>
      <c r="W94" s="604"/>
      <c r="X94" s="604"/>
    </row>
    <row r="95" spans="1:24" ht="15.6" outlineLevel="1">
      <c r="A95" s="631" t="s">
        <v>193</v>
      </c>
      <c r="B95" s="604"/>
      <c r="C95" s="609"/>
      <c r="D95" s="610"/>
      <c r="E95" s="610"/>
      <c r="F95" s="610"/>
      <c r="G95" s="610"/>
      <c r="H95" s="610"/>
      <c r="I95" s="610"/>
      <c r="J95" s="610"/>
      <c r="K95" s="610"/>
      <c r="L95" s="610"/>
      <c r="M95" s="610"/>
      <c r="N95" s="610"/>
      <c r="O95" s="610"/>
      <c r="P95" s="610"/>
      <c r="Q95" s="604"/>
      <c r="R95" s="604"/>
      <c r="S95" s="604"/>
      <c r="T95" s="604"/>
      <c r="U95" s="604"/>
      <c r="V95" s="604"/>
      <c r="W95" s="604"/>
      <c r="X95" s="604"/>
    </row>
    <row r="96" spans="1:24" ht="15.6" outlineLevel="1">
      <c r="A96" s="632" t="s">
        <v>475</v>
      </c>
      <c r="B96" s="604"/>
      <c r="C96" s="609"/>
      <c r="D96" s="658">
        <f>D47</f>
        <v>124279700</v>
      </c>
      <c r="E96" s="604">
        <f t="shared" ref="E96:P96" si="63">D99</f>
        <v>128136700</v>
      </c>
      <c r="F96" s="604">
        <f t="shared" si="63"/>
        <v>125283700</v>
      </c>
      <c r="G96" s="604">
        <f t="shared" si="63"/>
        <v>124821700</v>
      </c>
      <c r="H96" s="604">
        <f t="shared" si="63"/>
        <v>132044700</v>
      </c>
      <c r="I96" s="604">
        <f t="shared" si="63"/>
        <v>144597700</v>
      </c>
      <c r="J96" s="604">
        <f t="shared" si="63"/>
        <v>148597101.01127064</v>
      </c>
      <c r="K96" s="604">
        <f t="shared" si="63"/>
        <v>152573755.44118354</v>
      </c>
      <c r="L96" s="604">
        <f t="shared" si="63"/>
        <v>156527792.66085252</v>
      </c>
      <c r="M96" s="604">
        <f t="shared" si="63"/>
        <v>160459341.30559358</v>
      </c>
      <c r="N96" s="604">
        <f t="shared" si="63"/>
        <v>164368529.27910975</v>
      </c>
      <c r="O96" s="604">
        <f t="shared" si="63"/>
        <v>168255483.7576521</v>
      </c>
      <c r="P96" s="604">
        <f t="shared" si="63"/>
        <v>172120331.19415721</v>
      </c>
      <c r="Q96" s="604"/>
      <c r="R96" s="604"/>
      <c r="S96" s="604"/>
      <c r="T96" s="604"/>
      <c r="U96" s="604"/>
      <c r="V96" s="604"/>
      <c r="W96" s="604"/>
      <c r="X96" s="604"/>
    </row>
    <row r="97" spans="1:24" ht="15.6" outlineLevel="1">
      <c r="A97" s="632" t="s">
        <v>476</v>
      </c>
      <c r="B97" s="604"/>
      <c r="C97" s="609"/>
      <c r="D97" s="604">
        <f t="shared" ref="D97:H97" si="64">D72</f>
        <v>-4510000</v>
      </c>
      <c r="E97" s="604">
        <f t="shared" si="64"/>
        <v>2157000</v>
      </c>
      <c r="F97" s="604">
        <f t="shared" si="64"/>
        <v>-432000</v>
      </c>
      <c r="G97" s="604">
        <f t="shared" si="64"/>
        <v>-7955000</v>
      </c>
      <c r="H97" s="604">
        <f t="shared" si="64"/>
        <v>-13369000</v>
      </c>
      <c r="I97" s="604">
        <f t="shared" ref="I97:P97" si="65">I18</f>
        <v>-4821800</v>
      </c>
      <c r="J97" s="604">
        <f t="shared" si="65"/>
        <v>-4821800</v>
      </c>
      <c r="K97" s="604">
        <f t="shared" si="65"/>
        <v>-4821800</v>
      </c>
      <c r="L97" s="604">
        <f t="shared" si="65"/>
        <v>-4821800</v>
      </c>
      <c r="M97" s="604">
        <f t="shared" si="65"/>
        <v>-4821800</v>
      </c>
      <c r="N97" s="604">
        <f t="shared" si="65"/>
        <v>-4821800</v>
      </c>
      <c r="O97" s="604">
        <f t="shared" si="65"/>
        <v>-4821800</v>
      </c>
      <c r="P97" s="604">
        <f t="shared" si="65"/>
        <v>-4821800</v>
      </c>
      <c r="Q97" s="604"/>
      <c r="R97" s="604"/>
      <c r="S97" s="604"/>
      <c r="T97" s="604"/>
      <c r="U97" s="604"/>
      <c r="V97" s="604"/>
      <c r="W97" s="604"/>
      <c r="X97" s="604"/>
    </row>
    <row r="98" spans="1:24" ht="15.6" outlineLevel="1">
      <c r="A98" s="632" t="s">
        <v>477</v>
      </c>
      <c r="B98" s="604"/>
      <c r="C98" s="633"/>
      <c r="D98" s="604">
        <f t="shared" ref="D98:H98" si="66">D67</f>
        <v>653000</v>
      </c>
      <c r="E98" s="604">
        <f t="shared" si="66"/>
        <v>696000</v>
      </c>
      <c r="F98" s="604">
        <f t="shared" si="66"/>
        <v>894000</v>
      </c>
      <c r="G98" s="604">
        <f t="shared" si="66"/>
        <v>732000</v>
      </c>
      <c r="H98" s="604">
        <f t="shared" si="66"/>
        <v>816000</v>
      </c>
      <c r="I98" s="604">
        <f>I96*I12</f>
        <v>822398.98872937262</v>
      </c>
      <c r="J98" s="604">
        <f t="shared" ref="J98:P98" si="67">J96*J12</f>
        <v>845145.57008711353</v>
      </c>
      <c r="K98" s="604">
        <f t="shared" si="67"/>
        <v>867762.78033102851</v>
      </c>
      <c r="L98" s="604">
        <f t="shared" si="67"/>
        <v>890251.35525894281</v>
      </c>
      <c r="M98" s="604">
        <f t="shared" si="67"/>
        <v>912612.02648383356</v>
      </c>
      <c r="N98" s="604">
        <f t="shared" si="67"/>
        <v>934845.52145763137</v>
      </c>
      <c r="O98" s="604">
        <f t="shared" si="67"/>
        <v>956952.56349488604</v>
      </c>
      <c r="P98" s="604">
        <f t="shared" si="67"/>
        <v>978933.87179629819</v>
      </c>
      <c r="Q98" s="604"/>
      <c r="R98" s="604"/>
      <c r="S98" s="604"/>
      <c r="T98" s="604"/>
      <c r="U98" s="604"/>
      <c r="V98" s="604"/>
      <c r="W98" s="604"/>
      <c r="X98" s="604"/>
    </row>
    <row r="99" spans="1:24" ht="15.6" outlineLevel="1">
      <c r="A99" s="645" t="s">
        <v>478</v>
      </c>
      <c r="B99" s="643"/>
      <c r="C99" s="644"/>
      <c r="D99" s="643">
        <f>D96-D97-D98</f>
        <v>128136700</v>
      </c>
      <c r="E99" s="643">
        <f t="shared" ref="E99:H99" si="68">E96-E97-E98</f>
        <v>125283700</v>
      </c>
      <c r="F99" s="643">
        <f t="shared" si="68"/>
        <v>124821700</v>
      </c>
      <c r="G99" s="643">
        <f t="shared" si="68"/>
        <v>132044700</v>
      </c>
      <c r="H99" s="643">
        <f t="shared" si="68"/>
        <v>144597700</v>
      </c>
      <c r="I99" s="643">
        <f>I96-I97-I98</f>
        <v>148597101.01127064</v>
      </c>
      <c r="J99" s="643">
        <f t="shared" ref="J99:P99" si="69">J96-J97-J98</f>
        <v>152573755.44118354</v>
      </c>
      <c r="K99" s="643">
        <f t="shared" si="69"/>
        <v>156527792.66085252</v>
      </c>
      <c r="L99" s="643">
        <f t="shared" si="69"/>
        <v>160459341.30559358</v>
      </c>
      <c r="M99" s="643">
        <f t="shared" si="69"/>
        <v>164368529.27910975</v>
      </c>
      <c r="N99" s="643">
        <f t="shared" si="69"/>
        <v>168255483.7576521</v>
      </c>
      <c r="O99" s="643">
        <f t="shared" si="69"/>
        <v>172120331.19415721</v>
      </c>
      <c r="P99" s="643">
        <f t="shared" si="69"/>
        <v>175963197.3223609</v>
      </c>
      <c r="Q99" s="604"/>
      <c r="R99" s="604"/>
      <c r="S99" s="604"/>
      <c r="T99" s="604"/>
      <c r="U99" s="604"/>
      <c r="V99" s="604"/>
      <c r="W99" s="604"/>
      <c r="X99" s="604"/>
    </row>
    <row r="100" spans="1:24" ht="15.6" outlineLevel="1">
      <c r="A100" s="632"/>
      <c r="B100" s="604"/>
      <c r="C100" s="609"/>
      <c r="D100" s="610"/>
      <c r="E100" s="610"/>
      <c r="F100" s="610"/>
      <c r="G100" s="610"/>
      <c r="H100" s="610"/>
      <c r="I100" s="610"/>
      <c r="J100" s="610"/>
      <c r="K100" s="610"/>
      <c r="L100" s="610"/>
      <c r="M100" s="610"/>
      <c r="N100" s="610"/>
      <c r="O100" s="610"/>
      <c r="P100" s="610"/>
      <c r="Q100" s="604"/>
      <c r="R100" s="604"/>
      <c r="S100" s="604"/>
      <c r="T100" s="604"/>
      <c r="U100" s="604"/>
      <c r="V100" s="604"/>
      <c r="W100" s="604"/>
      <c r="X100" s="604"/>
    </row>
    <row r="101" spans="1:24" ht="15.6" outlineLevel="1">
      <c r="A101" s="631" t="s">
        <v>479</v>
      </c>
      <c r="B101" s="604"/>
      <c r="C101" s="609"/>
      <c r="D101" s="610"/>
      <c r="E101" s="610"/>
      <c r="F101" s="610"/>
      <c r="G101" s="610"/>
      <c r="H101" s="610"/>
      <c r="I101" s="610"/>
      <c r="J101" s="610"/>
      <c r="K101" s="610"/>
      <c r="L101" s="610"/>
      <c r="M101" s="610"/>
      <c r="N101" s="610"/>
      <c r="O101" s="610"/>
      <c r="P101" s="610"/>
      <c r="Q101" s="604"/>
      <c r="R101" s="604"/>
      <c r="S101" s="604"/>
      <c r="T101" s="604"/>
      <c r="U101" s="604"/>
      <c r="V101" s="604"/>
      <c r="W101" s="604"/>
      <c r="X101" s="604"/>
    </row>
    <row r="102" spans="1:24" ht="15.6" outlineLevel="1">
      <c r="A102" s="632" t="s">
        <v>480</v>
      </c>
      <c r="B102" s="604"/>
      <c r="C102" s="609"/>
      <c r="D102" s="658">
        <v>86450000</v>
      </c>
      <c r="E102" s="604">
        <f t="shared" ref="E102:P102" si="70">D104</f>
        <v>77746000</v>
      </c>
      <c r="F102" s="604">
        <f t="shared" si="70"/>
        <v>58218000</v>
      </c>
      <c r="G102" s="604">
        <f t="shared" si="70"/>
        <v>51764000</v>
      </c>
      <c r="H102" s="604">
        <f t="shared" si="70"/>
        <v>49781000</v>
      </c>
      <c r="I102" s="604">
        <f t="shared" si="70"/>
        <v>45374000</v>
      </c>
      <c r="J102" s="604">
        <f t="shared" si="70"/>
        <v>37158800</v>
      </c>
      <c r="K102" s="604">
        <f t="shared" si="70"/>
        <v>28943600</v>
      </c>
      <c r="L102" s="604">
        <f t="shared" si="70"/>
        <v>20728400</v>
      </c>
      <c r="M102" s="604">
        <f t="shared" si="70"/>
        <v>12513200</v>
      </c>
      <c r="N102" s="604">
        <f t="shared" si="70"/>
        <v>4298000</v>
      </c>
      <c r="O102" s="604">
        <f t="shared" si="70"/>
        <v>-3917200</v>
      </c>
      <c r="P102" s="604">
        <f t="shared" si="70"/>
        <v>-12132400</v>
      </c>
      <c r="Q102" s="604"/>
      <c r="R102" s="604"/>
      <c r="S102" s="604"/>
      <c r="T102" s="604"/>
      <c r="U102" s="604"/>
      <c r="V102" s="604"/>
      <c r="W102" s="604"/>
      <c r="X102" s="604"/>
    </row>
    <row r="103" spans="1:24" ht="15.6" outlineLevel="1">
      <c r="A103" s="632" t="s">
        <v>481</v>
      </c>
      <c r="B103" s="604"/>
      <c r="C103" s="609"/>
      <c r="D103" s="604">
        <f t="shared" ref="D103:H103" si="71">D76</f>
        <v>-8704000</v>
      </c>
      <c r="E103" s="604">
        <f t="shared" si="71"/>
        <v>-19528000</v>
      </c>
      <c r="F103" s="604">
        <f t="shared" si="71"/>
        <v>-6454000</v>
      </c>
      <c r="G103" s="604">
        <f t="shared" si="71"/>
        <v>-1983000</v>
      </c>
      <c r="H103" s="604">
        <f t="shared" si="71"/>
        <v>-4407000</v>
      </c>
      <c r="I103" s="604">
        <f>I19</f>
        <v>-8215200</v>
      </c>
      <c r="J103" s="604">
        <f t="shared" ref="J103:P103" si="72">J19</f>
        <v>-8215200</v>
      </c>
      <c r="K103" s="604">
        <f t="shared" si="72"/>
        <v>-8215200</v>
      </c>
      <c r="L103" s="604">
        <f t="shared" si="72"/>
        <v>-8215200</v>
      </c>
      <c r="M103" s="604">
        <f t="shared" si="72"/>
        <v>-8215200</v>
      </c>
      <c r="N103" s="604">
        <f t="shared" si="72"/>
        <v>-8215200</v>
      </c>
      <c r="O103" s="604">
        <f t="shared" si="72"/>
        <v>-8215200</v>
      </c>
      <c r="P103" s="604">
        <f t="shared" si="72"/>
        <v>-8215200</v>
      </c>
      <c r="Q103" s="604"/>
      <c r="R103" s="604"/>
      <c r="S103" s="604"/>
      <c r="T103" s="604"/>
      <c r="U103" s="604"/>
      <c r="V103" s="604"/>
      <c r="W103" s="604"/>
      <c r="X103" s="604"/>
    </row>
    <row r="104" spans="1:24" ht="15.6" outlineLevel="1">
      <c r="A104" s="645" t="s">
        <v>482</v>
      </c>
      <c r="B104" s="643"/>
      <c r="C104" s="644"/>
      <c r="D104" s="643">
        <f t="shared" ref="D104:P104" si="73">D102+D103</f>
        <v>77746000</v>
      </c>
      <c r="E104" s="643">
        <f t="shared" si="73"/>
        <v>58218000</v>
      </c>
      <c r="F104" s="643">
        <f t="shared" si="73"/>
        <v>51764000</v>
      </c>
      <c r="G104" s="643">
        <f t="shared" si="73"/>
        <v>49781000</v>
      </c>
      <c r="H104" s="643">
        <f t="shared" si="73"/>
        <v>45374000</v>
      </c>
      <c r="I104" s="643">
        <f t="shared" si="73"/>
        <v>37158800</v>
      </c>
      <c r="J104" s="643">
        <f t="shared" si="73"/>
        <v>28943600</v>
      </c>
      <c r="K104" s="643">
        <f t="shared" si="73"/>
        <v>20728400</v>
      </c>
      <c r="L104" s="643">
        <f t="shared" si="73"/>
        <v>12513200</v>
      </c>
      <c r="M104" s="643">
        <f t="shared" si="73"/>
        <v>4298000</v>
      </c>
      <c r="N104" s="643">
        <f t="shared" si="73"/>
        <v>-3917200</v>
      </c>
      <c r="O104" s="643">
        <f t="shared" si="73"/>
        <v>-12132400</v>
      </c>
      <c r="P104" s="643">
        <f t="shared" si="73"/>
        <v>-20347600</v>
      </c>
      <c r="Q104" s="604"/>
      <c r="R104" s="604"/>
      <c r="S104" s="604"/>
      <c r="T104" s="604"/>
      <c r="U104" s="604"/>
      <c r="V104" s="604"/>
      <c r="W104" s="604"/>
      <c r="X104" s="604"/>
    </row>
    <row r="105" spans="1:24" ht="15.6" outlineLevel="1">
      <c r="A105" s="604" t="s">
        <v>132</v>
      </c>
      <c r="B105" s="604"/>
      <c r="C105" s="633"/>
      <c r="D105" s="604">
        <f t="shared" ref="D105:H105" si="74">D33</f>
        <v>5692000</v>
      </c>
      <c r="E105" s="604">
        <f t="shared" si="74"/>
        <v>4977000</v>
      </c>
      <c r="F105" s="604">
        <f t="shared" si="74"/>
        <v>2638000</v>
      </c>
      <c r="G105" s="604">
        <f t="shared" si="74"/>
        <v>3620000</v>
      </c>
      <c r="H105" s="604">
        <f t="shared" si="74"/>
        <v>3841000</v>
      </c>
      <c r="I105" s="604">
        <f t="shared" ref="I105:P105" si="75">AVERAGE(I102,I104)*I13</f>
        <v>2050214.8625611083</v>
      </c>
      <c r="J105" s="604">
        <f t="shared" si="75"/>
        <v>1642063.7968293745</v>
      </c>
      <c r="K105" s="604">
        <f t="shared" si="75"/>
        <v>1233912.7310976409</v>
      </c>
      <c r="L105" s="604">
        <f t="shared" si="75"/>
        <v>825761.66536590713</v>
      </c>
      <c r="M105" s="604">
        <f t="shared" si="75"/>
        <v>417610.59963417338</v>
      </c>
      <c r="N105" s="604">
        <f t="shared" si="75"/>
        <v>9459.5339024396362</v>
      </c>
      <c r="O105" s="604">
        <f t="shared" si="75"/>
        <v>-398691.53182929411</v>
      </c>
      <c r="P105" s="604">
        <f t="shared" si="75"/>
        <v>-806842.59756102785</v>
      </c>
      <c r="Q105" s="604"/>
      <c r="R105" s="604"/>
      <c r="S105" s="604"/>
      <c r="T105" s="604"/>
      <c r="U105" s="604"/>
      <c r="V105" s="604"/>
      <c r="W105" s="604"/>
      <c r="X105" s="604"/>
    </row>
    <row r="106" spans="1:24" ht="15.6" outlineLevel="1">
      <c r="A106" s="604"/>
      <c r="B106" s="604"/>
      <c r="C106" s="609"/>
      <c r="D106" s="610"/>
      <c r="E106" s="610"/>
      <c r="F106" s="610"/>
      <c r="G106" s="610"/>
      <c r="H106" s="610"/>
      <c r="I106" s="604"/>
      <c r="J106" s="604"/>
      <c r="K106" s="604"/>
      <c r="L106" s="604"/>
      <c r="M106" s="604"/>
      <c r="N106" s="604"/>
      <c r="O106" s="604"/>
      <c r="P106" s="604"/>
      <c r="Q106" s="604"/>
      <c r="R106" s="604"/>
      <c r="S106" s="604"/>
      <c r="T106" s="604"/>
      <c r="U106" s="604"/>
      <c r="V106" s="604"/>
      <c r="W106" s="604"/>
      <c r="X106" s="604"/>
    </row>
    <row r="107" spans="1:24" ht="15.6" outlineLevel="1">
      <c r="A107" s="604"/>
      <c r="B107" s="604"/>
      <c r="C107" s="609"/>
      <c r="D107" s="610"/>
      <c r="E107" s="610"/>
      <c r="F107" s="610"/>
      <c r="G107" s="610"/>
      <c r="H107" s="610"/>
      <c r="I107" s="604"/>
      <c r="J107" s="604"/>
      <c r="K107" s="604"/>
      <c r="L107" s="604"/>
      <c r="M107" s="604"/>
      <c r="N107" s="604"/>
      <c r="O107" s="604"/>
      <c r="P107" s="604"/>
      <c r="Q107" s="604"/>
      <c r="R107" s="604"/>
      <c r="S107" s="604"/>
      <c r="T107" s="604"/>
      <c r="U107" s="604"/>
      <c r="V107" s="604"/>
      <c r="W107" s="604"/>
      <c r="X107" s="604"/>
    </row>
    <row r="108" spans="1:24" ht="15.6">
      <c r="A108" s="604"/>
      <c r="B108" s="604"/>
      <c r="C108" s="609"/>
      <c r="D108" s="610"/>
      <c r="E108" s="610"/>
      <c r="F108" s="610"/>
      <c r="G108" s="610"/>
      <c r="H108" s="610"/>
      <c r="I108" s="604"/>
      <c r="J108" s="604"/>
      <c r="K108" s="604"/>
      <c r="L108" s="604"/>
      <c r="M108" s="604"/>
      <c r="N108" s="604"/>
      <c r="O108" s="604"/>
      <c r="P108" s="604"/>
      <c r="Q108" s="604"/>
      <c r="R108" s="604"/>
      <c r="S108" s="604"/>
      <c r="T108" s="604"/>
      <c r="U108" s="604"/>
      <c r="V108" s="604"/>
      <c r="W108" s="604"/>
      <c r="X108" s="604"/>
    </row>
    <row r="109" spans="1:24" ht="21">
      <c r="A109" s="476" t="s">
        <v>483</v>
      </c>
      <c r="B109" s="476"/>
      <c r="C109" s="476"/>
      <c r="D109" s="476"/>
      <c r="E109" s="476"/>
      <c r="F109" s="476"/>
      <c r="G109" s="476"/>
      <c r="H109" s="476"/>
      <c r="I109" s="476"/>
      <c r="J109" s="476"/>
      <c r="K109" s="476"/>
      <c r="L109" s="476"/>
      <c r="M109" s="476"/>
      <c r="N109" s="476"/>
      <c r="O109" s="476"/>
      <c r="P109" s="476"/>
      <c r="Q109" s="604"/>
      <c r="R109" s="604"/>
      <c r="S109" s="604"/>
      <c r="T109" s="604"/>
      <c r="U109" s="604"/>
      <c r="V109" s="604"/>
      <c r="W109" s="604"/>
      <c r="X109" s="604"/>
    </row>
    <row r="110" spans="1:24" ht="15.6" outlineLevel="1">
      <c r="A110" s="604"/>
      <c r="B110" s="604"/>
      <c r="C110" s="609"/>
      <c r="D110" s="604"/>
      <c r="E110" s="604"/>
      <c r="F110" s="604"/>
      <c r="G110" s="604"/>
      <c r="H110" s="604"/>
      <c r="I110" s="604"/>
      <c r="J110" s="604"/>
      <c r="K110" s="604"/>
      <c r="L110" s="604"/>
      <c r="M110" s="604"/>
      <c r="N110" s="604"/>
      <c r="O110" s="604"/>
      <c r="P110" s="604"/>
      <c r="Q110" s="604"/>
      <c r="R110" s="604"/>
      <c r="S110" s="604"/>
      <c r="T110" s="604"/>
      <c r="U110" s="604"/>
      <c r="V110" s="604"/>
      <c r="W110" s="604"/>
      <c r="X110" s="604"/>
    </row>
    <row r="111" spans="1:24" ht="15.6" outlineLevel="1">
      <c r="A111" s="604" t="s">
        <v>202</v>
      </c>
      <c r="B111" s="604"/>
      <c r="C111" s="609"/>
      <c r="D111" s="604">
        <f>D26</f>
        <v>53683000</v>
      </c>
      <c r="E111" s="604">
        <f t="shared" ref="E111:P111" si="76">E26</f>
        <v>83966000</v>
      </c>
      <c r="F111" s="604">
        <f t="shared" si="76"/>
        <v>124474000</v>
      </c>
      <c r="G111" s="604">
        <f t="shared" si="76"/>
        <v>102409000</v>
      </c>
      <c r="H111" s="604">
        <f t="shared" si="76"/>
        <v>91416000</v>
      </c>
      <c r="I111" s="604">
        <f t="shared" si="76"/>
        <v>102038539.2</v>
      </c>
      <c r="J111" s="604">
        <f t="shared" si="76"/>
        <v>113895417.45504001</v>
      </c>
      <c r="K111" s="604">
        <f t="shared" si="76"/>
        <v>120934154.25376149</v>
      </c>
      <c r="L111" s="604">
        <f t="shared" si="76"/>
        <v>128407884.98664396</v>
      </c>
      <c r="M111" s="604">
        <f t="shared" si="76"/>
        <v>136343492.27881855</v>
      </c>
      <c r="N111" s="604">
        <f t="shared" si="76"/>
        <v>144769520.10164955</v>
      </c>
      <c r="O111" s="604">
        <f t="shared" si="76"/>
        <v>153716276.44393152</v>
      </c>
      <c r="P111" s="604">
        <f t="shared" si="76"/>
        <v>163215942.32816651</v>
      </c>
      <c r="Q111" s="604"/>
      <c r="R111" s="604"/>
      <c r="S111" s="604"/>
      <c r="T111" s="604"/>
      <c r="U111" s="604"/>
      <c r="V111" s="604"/>
      <c r="W111" s="604"/>
      <c r="X111" s="604"/>
    </row>
    <row r="112" spans="1:24" ht="15.6" outlineLevel="1">
      <c r="A112" s="604" t="s">
        <v>484</v>
      </c>
      <c r="B112" s="604"/>
      <c r="C112" s="609"/>
      <c r="D112" s="617">
        <f t="shared" ref="D112:P112" si="77">D28/D26</f>
        <v>0.45615930555296835</v>
      </c>
      <c r="E112" s="617">
        <f t="shared" si="77"/>
        <v>0.48593478312650357</v>
      </c>
      <c r="F112" s="617">
        <f t="shared" si="77"/>
        <v>0.52210100101225954</v>
      </c>
      <c r="G112" s="617">
        <f t="shared" si="77"/>
        <v>0.52704352156548739</v>
      </c>
      <c r="H112" s="617">
        <f t="shared" si="77"/>
        <v>0.50288789708584936</v>
      </c>
      <c r="I112" s="617">
        <f>I28/I26</f>
        <v>0.49882530166861366</v>
      </c>
      <c r="J112" s="617">
        <f t="shared" si="77"/>
        <v>0.49882530166861372</v>
      </c>
      <c r="K112" s="617">
        <f t="shared" si="77"/>
        <v>0.49882530166861372</v>
      </c>
      <c r="L112" s="617">
        <f t="shared" si="77"/>
        <v>0.49882530166861372</v>
      </c>
      <c r="M112" s="617">
        <f t="shared" si="77"/>
        <v>0.49882530166861366</v>
      </c>
      <c r="N112" s="617">
        <f t="shared" si="77"/>
        <v>0.49882530166861377</v>
      </c>
      <c r="O112" s="617">
        <f t="shared" si="77"/>
        <v>0.49882530166861372</v>
      </c>
      <c r="P112" s="617">
        <f t="shared" si="77"/>
        <v>0.49882530166861377</v>
      </c>
      <c r="Q112" s="604"/>
      <c r="R112" s="604"/>
      <c r="S112" s="604"/>
      <c r="T112" s="604"/>
      <c r="U112" s="604"/>
      <c r="V112" s="604"/>
      <c r="W112" s="604"/>
      <c r="X112" s="604"/>
    </row>
    <row r="113" spans="1:24" ht="15.6" outlineLevel="1">
      <c r="A113" s="604"/>
      <c r="B113" s="604"/>
      <c r="C113" s="609"/>
      <c r="D113" s="604"/>
      <c r="E113" s="604"/>
      <c r="F113" s="604"/>
      <c r="G113" s="604"/>
      <c r="H113" s="604"/>
      <c r="I113" s="604"/>
      <c r="J113" s="604"/>
      <c r="K113" s="604"/>
      <c r="L113" s="604"/>
      <c r="M113" s="604"/>
      <c r="N113" s="604"/>
      <c r="O113" s="604"/>
      <c r="P113" s="604"/>
      <c r="Q113" s="604"/>
      <c r="R113" s="604"/>
      <c r="S113" s="604"/>
      <c r="T113" s="604"/>
      <c r="U113" s="604"/>
      <c r="V113" s="604"/>
      <c r="W113" s="604"/>
      <c r="X113" s="604"/>
    </row>
    <row r="114" spans="1:24" ht="15.6" outlineLevel="1">
      <c r="A114" s="604" t="s">
        <v>458</v>
      </c>
      <c r="B114" s="604"/>
      <c r="C114" s="609"/>
      <c r="D114" s="604">
        <f t="shared" ref="D114:P114" si="78">D69</f>
        <v>17562000</v>
      </c>
      <c r="E114" s="604">
        <f t="shared" si="78"/>
        <v>16126000</v>
      </c>
      <c r="F114" s="604">
        <f t="shared" si="78"/>
        <v>4402000</v>
      </c>
      <c r="G114" s="604">
        <f t="shared" si="78"/>
        <v>15404000</v>
      </c>
      <c r="H114" s="604">
        <f t="shared" si="78"/>
        <v>8700000</v>
      </c>
      <c r="I114" s="604">
        <f t="shared" si="78"/>
        <v>24140589.047970705</v>
      </c>
      <c r="J114" s="604">
        <f t="shared" si="78"/>
        <v>30154946.12129705</v>
      </c>
      <c r="K114" s="604">
        <f t="shared" si="78"/>
        <v>32639046.386368617</v>
      </c>
      <c r="L114" s="604">
        <f t="shared" si="78"/>
        <v>34901639.89375215</v>
      </c>
      <c r="M114" s="604">
        <f t="shared" si="78"/>
        <v>37543929.729165286</v>
      </c>
      <c r="N114" s="604">
        <f t="shared" si="78"/>
        <v>40267031.171357594</v>
      </c>
      <c r="O114" s="604">
        <f t="shared" si="78"/>
        <v>43206582.990632646</v>
      </c>
      <c r="P114" s="604">
        <f t="shared" si="78"/>
        <v>46310644.224820383</v>
      </c>
      <c r="Q114" s="604"/>
      <c r="R114" s="604"/>
      <c r="S114" s="604"/>
      <c r="T114" s="604"/>
      <c r="U114" s="604"/>
      <c r="V114" s="604"/>
      <c r="W114" s="604"/>
      <c r="X114" s="604"/>
    </row>
    <row r="115" spans="1:24" ht="15.6" outlineLevel="1">
      <c r="A115" s="604" t="s">
        <v>462</v>
      </c>
      <c r="B115" s="604"/>
      <c r="C115" s="609"/>
      <c r="D115" s="604">
        <f t="shared" ref="D115:P115" si="79">-D73</f>
        <v>4510000</v>
      </c>
      <c r="E115" s="604">
        <f t="shared" si="79"/>
        <v>-2157000</v>
      </c>
      <c r="F115" s="604">
        <f t="shared" si="79"/>
        <v>432000</v>
      </c>
      <c r="G115" s="604">
        <f t="shared" si="79"/>
        <v>7955000</v>
      </c>
      <c r="H115" s="604">
        <f t="shared" si="79"/>
        <v>13369000</v>
      </c>
      <c r="I115" s="604">
        <f t="shared" si="79"/>
        <v>4821800</v>
      </c>
      <c r="J115" s="604">
        <f t="shared" si="79"/>
        <v>4821800</v>
      </c>
      <c r="K115" s="604">
        <f t="shared" si="79"/>
        <v>4821800</v>
      </c>
      <c r="L115" s="604">
        <f t="shared" si="79"/>
        <v>4821800</v>
      </c>
      <c r="M115" s="604">
        <f t="shared" si="79"/>
        <v>4821800</v>
      </c>
      <c r="N115" s="604">
        <f t="shared" si="79"/>
        <v>4821800</v>
      </c>
      <c r="O115" s="604">
        <f t="shared" si="79"/>
        <v>4821800</v>
      </c>
      <c r="P115" s="604">
        <f t="shared" si="79"/>
        <v>4821800</v>
      </c>
      <c r="Q115" s="604"/>
      <c r="R115" s="604"/>
      <c r="S115" s="604"/>
      <c r="T115" s="604"/>
      <c r="U115" s="604"/>
      <c r="V115" s="604"/>
      <c r="W115" s="604"/>
      <c r="X115" s="604"/>
    </row>
    <row r="116" spans="1:24" ht="15.6" outlineLevel="1">
      <c r="A116" s="604" t="s">
        <v>465</v>
      </c>
      <c r="B116" s="604"/>
      <c r="C116" s="609"/>
      <c r="D116" s="604">
        <f t="shared" ref="D116:P116" si="80">D78</f>
        <v>-8704000</v>
      </c>
      <c r="E116" s="604">
        <f t="shared" si="80"/>
        <v>-19528000</v>
      </c>
      <c r="F116" s="604">
        <f t="shared" si="80"/>
        <v>-6454000</v>
      </c>
      <c r="G116" s="604">
        <f t="shared" si="80"/>
        <v>-2718000</v>
      </c>
      <c r="H116" s="604">
        <f t="shared" si="80"/>
        <v>-4787000</v>
      </c>
      <c r="I116" s="604">
        <f t="shared" si="80"/>
        <v>-8438200</v>
      </c>
      <c r="J116" s="604">
        <f t="shared" si="80"/>
        <v>-8438200</v>
      </c>
      <c r="K116" s="604">
        <f t="shared" si="80"/>
        <v>-8438200</v>
      </c>
      <c r="L116" s="604">
        <f t="shared" si="80"/>
        <v>-8438200</v>
      </c>
      <c r="M116" s="604">
        <f t="shared" si="80"/>
        <v>-8438200</v>
      </c>
      <c r="N116" s="604">
        <f t="shared" si="80"/>
        <v>-8438200</v>
      </c>
      <c r="O116" s="604">
        <f t="shared" si="80"/>
        <v>-8438200</v>
      </c>
      <c r="P116" s="604">
        <f t="shared" si="80"/>
        <v>-8438200</v>
      </c>
      <c r="Q116" s="604"/>
      <c r="R116" s="604"/>
      <c r="S116" s="604"/>
      <c r="T116" s="604"/>
      <c r="U116" s="604"/>
      <c r="V116" s="604"/>
      <c r="W116" s="604"/>
      <c r="X116" s="604"/>
    </row>
    <row r="117" spans="1:24" ht="15.6" outlineLevel="1">
      <c r="A117" s="604"/>
      <c r="B117" s="604"/>
      <c r="C117" s="609"/>
      <c r="D117" s="604"/>
      <c r="E117" s="604"/>
      <c r="F117" s="604"/>
      <c r="G117" s="604"/>
      <c r="H117" s="604"/>
      <c r="I117" s="604"/>
      <c r="J117" s="604"/>
      <c r="K117" s="604"/>
      <c r="L117" s="604"/>
      <c r="M117" s="604"/>
      <c r="N117" s="604"/>
      <c r="O117" s="604"/>
      <c r="P117" s="604"/>
      <c r="Q117" s="604"/>
      <c r="R117" s="604"/>
      <c r="S117" s="604"/>
      <c r="T117" s="604"/>
      <c r="U117" s="604"/>
      <c r="V117" s="604"/>
      <c r="W117" s="604"/>
      <c r="X117" s="604"/>
    </row>
    <row r="118" spans="1:24" ht="15.6" outlineLevel="1">
      <c r="A118" s="604"/>
      <c r="B118" s="604"/>
      <c r="C118" s="609"/>
      <c r="D118" s="604"/>
      <c r="E118" s="604"/>
      <c r="F118" s="604"/>
      <c r="G118" s="604"/>
      <c r="H118" s="604"/>
      <c r="I118" s="604"/>
      <c r="J118" s="604"/>
      <c r="K118" s="604"/>
      <c r="L118" s="604"/>
      <c r="M118" s="604"/>
      <c r="N118" s="604"/>
      <c r="O118" s="604"/>
      <c r="P118" s="604"/>
      <c r="Q118" s="604"/>
      <c r="R118" s="604"/>
      <c r="S118" s="604"/>
      <c r="T118" s="604"/>
      <c r="U118" s="604"/>
      <c r="V118" s="604"/>
      <c r="W118" s="604"/>
      <c r="X118" s="604"/>
    </row>
    <row r="119" spans="1:24" ht="15.6" outlineLevel="1">
      <c r="A119" s="604"/>
      <c r="B119" s="604"/>
      <c r="C119" s="609"/>
      <c r="D119" s="604"/>
      <c r="E119" s="604"/>
      <c r="F119" s="604"/>
      <c r="G119" s="604"/>
      <c r="H119" s="604"/>
      <c r="I119" s="604"/>
      <c r="J119" s="604"/>
      <c r="K119" s="604"/>
      <c r="L119" s="604"/>
      <c r="M119" s="604"/>
      <c r="N119" s="604"/>
      <c r="O119" s="604"/>
      <c r="P119" s="604"/>
      <c r="Q119" s="604"/>
      <c r="R119" s="604"/>
      <c r="S119" s="604"/>
      <c r="T119" s="604"/>
      <c r="U119" s="604"/>
      <c r="V119" s="604"/>
      <c r="W119" s="604"/>
      <c r="X119" s="604"/>
    </row>
    <row r="120" spans="1:24" ht="15.6" outlineLevel="1">
      <c r="A120" s="604"/>
      <c r="B120" s="604"/>
      <c r="C120" s="609"/>
      <c r="D120" s="604"/>
      <c r="E120" s="604"/>
      <c r="F120" s="604"/>
      <c r="G120" s="604"/>
      <c r="H120" s="604"/>
      <c r="I120" s="604"/>
      <c r="J120" s="604"/>
      <c r="K120" s="604"/>
      <c r="L120" s="604"/>
      <c r="M120" s="604"/>
      <c r="N120" s="604"/>
      <c r="O120" s="604"/>
      <c r="P120" s="604"/>
      <c r="Q120" s="604"/>
      <c r="R120" s="604"/>
      <c r="S120" s="604"/>
      <c r="T120" s="604"/>
      <c r="U120" s="604"/>
      <c r="V120" s="604"/>
      <c r="W120" s="604"/>
      <c r="X120" s="604"/>
    </row>
    <row r="121" spans="1:24" ht="15.6" outlineLevel="1">
      <c r="A121" s="604"/>
      <c r="B121" s="604"/>
      <c r="C121" s="609"/>
      <c r="D121" s="604"/>
      <c r="E121" s="604"/>
      <c r="F121" s="604"/>
      <c r="G121" s="604"/>
      <c r="H121" s="604"/>
      <c r="I121" s="604"/>
      <c r="J121" s="604"/>
      <c r="K121" s="604"/>
      <c r="L121" s="604"/>
      <c r="M121" s="604"/>
      <c r="N121" s="604"/>
      <c r="O121" s="604"/>
      <c r="P121" s="604"/>
      <c r="Q121" s="604"/>
      <c r="R121" s="604"/>
      <c r="S121" s="604"/>
      <c r="T121" s="604"/>
      <c r="U121" s="604"/>
      <c r="V121" s="604"/>
      <c r="W121" s="604"/>
      <c r="X121" s="604"/>
    </row>
    <row r="122" spans="1:24" ht="15.6" outlineLevel="1">
      <c r="A122" s="604"/>
      <c r="B122" s="604"/>
      <c r="C122" s="609"/>
      <c r="D122" s="604"/>
      <c r="E122" s="604"/>
      <c r="F122" s="604"/>
      <c r="G122" s="604"/>
      <c r="H122" s="604"/>
      <c r="I122" s="604"/>
      <c r="J122" s="604"/>
      <c r="K122" s="604"/>
      <c r="L122" s="604"/>
      <c r="M122" s="604"/>
      <c r="N122" s="604"/>
      <c r="O122" s="604"/>
      <c r="P122" s="604"/>
      <c r="Q122" s="604"/>
      <c r="R122" s="604"/>
      <c r="S122" s="604"/>
      <c r="T122" s="604"/>
      <c r="U122" s="604"/>
      <c r="V122" s="604"/>
      <c r="W122" s="604"/>
      <c r="X122" s="604"/>
    </row>
    <row r="123" spans="1:24" ht="15.6" outlineLevel="1">
      <c r="A123" s="604"/>
      <c r="B123" s="604"/>
      <c r="C123" s="609"/>
      <c r="D123" s="604"/>
      <c r="E123" s="604"/>
      <c r="F123" s="604"/>
      <c r="G123" s="604"/>
      <c r="H123" s="604"/>
      <c r="I123" s="604"/>
      <c r="J123" s="604"/>
      <c r="K123" s="604"/>
      <c r="L123" s="604"/>
      <c r="M123" s="604"/>
      <c r="N123" s="604"/>
      <c r="O123" s="604"/>
      <c r="P123" s="604"/>
      <c r="Q123" s="604"/>
      <c r="R123" s="604"/>
      <c r="S123" s="604"/>
      <c r="T123" s="604"/>
      <c r="U123" s="604"/>
      <c r="V123" s="604"/>
      <c r="W123" s="604"/>
      <c r="X123" s="604"/>
    </row>
    <row r="124" spans="1:24" ht="15.6" outlineLevel="1">
      <c r="A124" s="604"/>
      <c r="B124" s="604"/>
      <c r="C124" s="609"/>
      <c r="D124" s="604"/>
      <c r="E124" s="604"/>
      <c r="F124" s="604"/>
      <c r="G124" s="604"/>
      <c r="H124" s="604"/>
      <c r="I124" s="604"/>
      <c r="J124" s="604"/>
      <c r="K124" s="604"/>
      <c r="L124" s="604"/>
      <c r="M124" s="604"/>
      <c r="N124" s="604"/>
      <c r="O124" s="604"/>
      <c r="P124" s="604"/>
      <c r="Q124" s="604"/>
      <c r="R124" s="604"/>
      <c r="S124" s="604"/>
      <c r="T124" s="604"/>
      <c r="U124" s="604"/>
      <c r="V124" s="604"/>
      <c r="W124" s="604"/>
      <c r="X124" s="604"/>
    </row>
    <row r="125" spans="1:24" ht="15.6" outlineLevel="1">
      <c r="A125" s="604"/>
      <c r="B125" s="604"/>
      <c r="C125" s="609"/>
      <c r="D125" s="604"/>
      <c r="E125" s="604"/>
      <c r="F125" s="604"/>
      <c r="G125" s="604"/>
      <c r="H125" s="604"/>
      <c r="I125" s="604"/>
      <c r="J125" s="604"/>
      <c r="K125" s="604"/>
      <c r="L125" s="604"/>
      <c r="M125" s="604"/>
      <c r="N125" s="604"/>
      <c r="O125" s="604"/>
      <c r="P125" s="604"/>
      <c r="Q125" s="604"/>
      <c r="R125" s="604"/>
      <c r="S125" s="604"/>
      <c r="T125" s="604"/>
      <c r="U125" s="604"/>
      <c r="V125" s="604"/>
      <c r="W125" s="604"/>
      <c r="X125" s="604"/>
    </row>
    <row r="126" spans="1:24" ht="15.6" outlineLevel="1">
      <c r="A126" s="604"/>
      <c r="B126" s="604"/>
      <c r="C126" s="609"/>
      <c r="D126" s="604"/>
      <c r="E126" s="604"/>
      <c r="F126" s="604"/>
      <c r="G126" s="604"/>
      <c r="H126" s="604"/>
      <c r="I126" s="604"/>
      <c r="J126" s="604"/>
      <c r="K126" s="604"/>
      <c r="L126" s="604"/>
      <c r="M126" s="604"/>
      <c r="N126" s="604"/>
      <c r="O126" s="604"/>
      <c r="P126" s="604"/>
      <c r="Q126" s="604"/>
      <c r="R126" s="604"/>
      <c r="S126" s="604"/>
      <c r="T126" s="604"/>
      <c r="U126" s="604"/>
      <c r="V126" s="604"/>
      <c r="W126" s="604"/>
      <c r="X126" s="604"/>
    </row>
    <row r="127" spans="1:24" ht="15.6" outlineLevel="1">
      <c r="A127" s="604"/>
      <c r="B127" s="604"/>
      <c r="C127" s="609"/>
      <c r="D127" s="604"/>
      <c r="E127" s="604"/>
      <c r="F127" s="604"/>
      <c r="G127" s="604"/>
      <c r="H127" s="604"/>
      <c r="I127" s="604"/>
      <c r="J127" s="604"/>
      <c r="K127" s="604"/>
      <c r="L127" s="604"/>
      <c r="M127" s="604"/>
      <c r="N127" s="604"/>
      <c r="O127" s="604"/>
      <c r="P127" s="604"/>
      <c r="Q127" s="604"/>
      <c r="R127" s="604"/>
      <c r="S127" s="604"/>
      <c r="T127" s="604"/>
      <c r="U127" s="604"/>
      <c r="V127" s="604"/>
      <c r="W127" s="604"/>
      <c r="X127" s="604"/>
    </row>
    <row r="128" spans="1:24" ht="15.6" outlineLevel="1">
      <c r="A128" s="604"/>
      <c r="B128" s="604"/>
      <c r="C128" s="609"/>
      <c r="D128" s="604"/>
      <c r="E128" s="604"/>
      <c r="F128" s="604"/>
      <c r="G128" s="604"/>
      <c r="H128" s="604"/>
      <c r="I128" s="604"/>
      <c r="J128" s="604"/>
      <c r="K128" s="604"/>
      <c r="L128" s="604"/>
      <c r="M128" s="604"/>
      <c r="N128" s="604"/>
      <c r="O128" s="604"/>
      <c r="P128" s="604"/>
      <c r="Q128" s="604"/>
      <c r="R128" s="604"/>
      <c r="S128" s="604"/>
      <c r="T128" s="604"/>
      <c r="U128" s="604"/>
      <c r="V128" s="604"/>
      <c r="W128" s="604"/>
      <c r="X128" s="604"/>
    </row>
    <row r="129" spans="1:24" ht="15.6" outlineLevel="1">
      <c r="A129" s="604"/>
      <c r="B129" s="604"/>
      <c r="C129" s="609"/>
      <c r="D129" s="604"/>
      <c r="E129" s="604"/>
      <c r="F129" s="604"/>
      <c r="G129" s="604"/>
      <c r="H129" s="604"/>
      <c r="I129" s="604"/>
      <c r="J129" s="604"/>
      <c r="K129" s="604"/>
      <c r="L129" s="604"/>
      <c r="M129" s="604"/>
      <c r="N129" s="604"/>
      <c r="O129" s="604"/>
      <c r="P129" s="604"/>
      <c r="Q129" s="604"/>
      <c r="R129" s="604"/>
      <c r="S129" s="604"/>
      <c r="T129" s="604"/>
      <c r="U129" s="604"/>
      <c r="V129" s="604"/>
      <c r="W129" s="604"/>
      <c r="X129" s="604"/>
    </row>
    <row r="130" spans="1:24" ht="15.6" outlineLevel="1">
      <c r="A130" s="604"/>
      <c r="B130" s="604"/>
      <c r="C130" s="609"/>
      <c r="D130" s="604"/>
      <c r="E130" s="604"/>
      <c r="F130" s="604"/>
      <c r="G130" s="604"/>
      <c r="H130" s="604"/>
      <c r="I130" s="604"/>
      <c r="J130" s="604"/>
      <c r="K130" s="604"/>
      <c r="L130" s="604"/>
      <c r="M130" s="604"/>
      <c r="N130" s="604"/>
      <c r="O130" s="604"/>
      <c r="P130" s="604"/>
      <c r="Q130" s="604"/>
      <c r="R130" s="604"/>
      <c r="S130" s="604"/>
      <c r="T130" s="604"/>
      <c r="U130" s="604"/>
      <c r="V130" s="604"/>
      <c r="W130" s="604"/>
      <c r="X130" s="604"/>
    </row>
    <row r="131" spans="1:24" ht="15.6" outlineLevel="1">
      <c r="A131" s="604"/>
      <c r="B131" s="604"/>
      <c r="C131" s="609"/>
      <c r="D131" s="604"/>
      <c r="E131" s="604"/>
      <c r="F131" s="604"/>
      <c r="G131" s="604"/>
      <c r="H131" s="604"/>
      <c r="I131" s="604"/>
      <c r="J131" s="604"/>
      <c r="K131" s="604"/>
      <c r="L131" s="604"/>
      <c r="M131" s="604"/>
      <c r="N131" s="604"/>
      <c r="O131" s="604"/>
      <c r="P131" s="604"/>
      <c r="Q131" s="604"/>
      <c r="R131" s="604"/>
      <c r="S131" s="604"/>
      <c r="T131" s="604"/>
      <c r="U131" s="604"/>
      <c r="V131" s="604"/>
      <c r="W131" s="604"/>
      <c r="X131" s="604"/>
    </row>
    <row r="132" spans="1:24" ht="15.6" outlineLevel="1">
      <c r="A132" s="604"/>
      <c r="B132" s="604"/>
      <c r="C132" s="609"/>
      <c r="D132" s="604"/>
      <c r="E132" s="604"/>
      <c r="F132" s="604"/>
      <c r="G132" s="604"/>
      <c r="H132" s="604"/>
      <c r="I132" s="604"/>
      <c r="J132" s="604"/>
      <c r="K132" s="604"/>
      <c r="L132" s="604"/>
      <c r="M132" s="604"/>
      <c r="N132" s="604"/>
      <c r="O132" s="604"/>
      <c r="P132" s="604"/>
      <c r="Q132" s="604"/>
      <c r="R132" s="604"/>
      <c r="S132" s="604"/>
      <c r="T132" s="604"/>
      <c r="U132" s="604"/>
      <c r="V132" s="604"/>
      <c r="W132" s="604"/>
      <c r="X132" s="604"/>
    </row>
    <row r="133" spans="1:24" ht="15.6" outlineLevel="1">
      <c r="A133" s="604"/>
      <c r="B133" s="604"/>
      <c r="C133" s="609"/>
      <c r="D133" s="604"/>
      <c r="E133" s="604"/>
      <c r="F133" s="604"/>
      <c r="G133" s="604"/>
      <c r="H133" s="604"/>
      <c r="I133" s="604"/>
      <c r="J133" s="604"/>
      <c r="K133" s="604"/>
      <c r="L133" s="604"/>
      <c r="M133" s="604"/>
      <c r="N133" s="604"/>
      <c r="O133" s="604"/>
      <c r="P133" s="604"/>
      <c r="Q133" s="604"/>
      <c r="R133" s="604"/>
      <c r="S133" s="604"/>
      <c r="T133" s="604"/>
      <c r="U133" s="604"/>
      <c r="V133" s="604"/>
      <c r="W133" s="604"/>
      <c r="X133" s="604"/>
    </row>
    <row r="134" spans="1:24" ht="15.6">
      <c r="A134" s="604"/>
      <c r="B134" s="604"/>
      <c r="C134" s="609"/>
      <c r="D134" s="604"/>
      <c r="E134" s="604"/>
      <c r="F134" s="604"/>
      <c r="G134" s="604"/>
      <c r="H134" s="604"/>
      <c r="I134" s="604"/>
      <c r="J134" s="604"/>
      <c r="K134" s="604"/>
      <c r="L134" s="604"/>
      <c r="M134" s="604"/>
      <c r="N134" s="604"/>
      <c r="O134" s="604"/>
      <c r="P134" s="604"/>
      <c r="Q134" s="604"/>
      <c r="R134" s="604"/>
      <c r="S134" s="604"/>
      <c r="T134" s="604"/>
      <c r="U134" s="604"/>
      <c r="V134" s="604"/>
      <c r="W134" s="604"/>
      <c r="X134" s="604"/>
    </row>
    <row r="135" spans="1:24" ht="15.6">
      <c r="A135" s="604"/>
      <c r="B135" s="604"/>
      <c r="C135" s="609"/>
      <c r="D135" s="604"/>
      <c r="E135" s="604"/>
      <c r="F135" s="604"/>
      <c r="G135" s="604"/>
      <c r="H135" s="604"/>
      <c r="I135" s="604"/>
      <c r="J135" s="604"/>
      <c r="K135" s="604"/>
      <c r="L135" s="604"/>
      <c r="M135" s="604"/>
      <c r="N135" s="604"/>
      <c r="O135" s="604"/>
      <c r="P135" s="604"/>
      <c r="Q135" s="604"/>
      <c r="R135" s="604"/>
      <c r="S135" s="604"/>
      <c r="T135" s="604"/>
      <c r="U135" s="604"/>
      <c r="V135" s="604"/>
      <c r="W135" s="604"/>
      <c r="X135" s="604"/>
    </row>
    <row r="136" spans="1:24" ht="15.6">
      <c r="A136" s="604"/>
      <c r="B136" s="604"/>
      <c r="C136" s="609"/>
      <c r="D136" s="604"/>
      <c r="E136" s="604"/>
      <c r="F136" s="604"/>
      <c r="G136" s="604"/>
      <c r="H136" s="604"/>
      <c r="I136" s="604"/>
      <c r="J136" s="604"/>
      <c r="K136" s="604"/>
      <c r="L136" s="604"/>
      <c r="M136" s="604"/>
      <c r="N136" s="604"/>
      <c r="O136" s="604"/>
      <c r="P136" s="604"/>
      <c r="Q136" s="604"/>
      <c r="R136" s="604"/>
      <c r="S136" s="604"/>
      <c r="T136" s="604"/>
      <c r="U136" s="604"/>
      <c r="V136" s="604"/>
      <c r="W136" s="604"/>
      <c r="X136" s="604"/>
    </row>
    <row r="137" spans="1:24" ht="15.6">
      <c r="A137" s="604"/>
      <c r="B137" s="604"/>
      <c r="C137" s="609"/>
      <c r="D137" s="604"/>
      <c r="E137" s="604"/>
      <c r="F137" s="604"/>
      <c r="G137" s="604"/>
      <c r="H137" s="604"/>
      <c r="I137" s="604"/>
      <c r="J137" s="604"/>
      <c r="K137" s="604"/>
      <c r="L137" s="604"/>
      <c r="M137" s="604"/>
      <c r="N137" s="604"/>
      <c r="O137" s="604"/>
      <c r="P137" s="604"/>
      <c r="Q137" s="604"/>
      <c r="R137" s="604"/>
      <c r="S137" s="604"/>
      <c r="T137" s="604"/>
      <c r="U137" s="604"/>
      <c r="V137" s="604"/>
      <c r="W137" s="604"/>
      <c r="X137" s="604"/>
    </row>
    <row r="138" spans="1:24" ht="15.6">
      <c r="A138" s="604"/>
      <c r="B138" s="604"/>
      <c r="C138" s="609"/>
      <c r="D138" s="604"/>
      <c r="E138" s="604"/>
      <c r="F138" s="604"/>
      <c r="G138" s="604"/>
      <c r="H138" s="604"/>
      <c r="I138" s="604"/>
      <c r="J138" s="604"/>
      <c r="K138" s="604"/>
      <c r="L138" s="604"/>
      <c r="M138" s="604"/>
      <c r="N138" s="604"/>
      <c r="O138" s="604"/>
      <c r="P138" s="604"/>
      <c r="Q138" s="604"/>
      <c r="R138" s="604"/>
      <c r="S138" s="604"/>
      <c r="T138" s="604"/>
      <c r="U138" s="604"/>
      <c r="V138" s="604"/>
      <c r="W138" s="604"/>
      <c r="X138" s="604"/>
    </row>
    <row r="139" spans="1:24" ht="15.6">
      <c r="A139" s="604"/>
      <c r="B139" s="604"/>
      <c r="C139" s="609"/>
      <c r="D139" s="604"/>
      <c r="E139" s="604"/>
      <c r="F139" s="604"/>
      <c r="G139" s="604"/>
      <c r="H139" s="604"/>
      <c r="I139" s="604"/>
      <c r="J139" s="604"/>
      <c r="K139" s="604"/>
      <c r="L139" s="604"/>
      <c r="M139" s="604"/>
      <c r="N139" s="604"/>
      <c r="O139" s="604"/>
      <c r="P139" s="604"/>
      <c r="Q139" s="604"/>
      <c r="R139" s="604"/>
      <c r="S139" s="604"/>
      <c r="T139" s="604"/>
      <c r="U139" s="604"/>
      <c r="V139" s="604"/>
      <c r="W139" s="604"/>
      <c r="X139" s="604"/>
    </row>
    <row r="140" spans="1:24" ht="15.6">
      <c r="A140" s="604"/>
      <c r="B140" s="604"/>
      <c r="C140" s="609"/>
      <c r="D140" s="604"/>
      <c r="E140" s="604"/>
      <c r="F140" s="604"/>
      <c r="G140" s="604"/>
      <c r="H140" s="604"/>
      <c r="I140" s="604"/>
      <c r="J140" s="604"/>
      <c r="K140" s="604"/>
      <c r="L140" s="604"/>
      <c r="M140" s="604"/>
      <c r="N140" s="604"/>
      <c r="O140" s="604"/>
      <c r="P140" s="604"/>
      <c r="Q140" s="604"/>
      <c r="R140" s="604"/>
      <c r="S140" s="604"/>
      <c r="T140" s="604"/>
      <c r="U140" s="604"/>
      <c r="V140" s="604"/>
      <c r="W140" s="604"/>
      <c r="X140" s="604"/>
    </row>
    <row r="141" spans="1:24" ht="15.6">
      <c r="A141" s="604"/>
      <c r="B141" s="604"/>
      <c r="C141" s="609"/>
      <c r="D141" s="604"/>
      <c r="E141" s="604"/>
      <c r="F141" s="604"/>
      <c r="G141" s="604"/>
      <c r="H141" s="604"/>
      <c r="I141" s="604"/>
      <c r="J141" s="604"/>
      <c r="K141" s="604"/>
      <c r="L141" s="604"/>
      <c r="M141" s="604"/>
      <c r="N141" s="604"/>
      <c r="O141" s="604"/>
      <c r="P141" s="604"/>
      <c r="Q141" s="604"/>
      <c r="R141" s="604"/>
      <c r="S141" s="604"/>
      <c r="T141" s="604"/>
      <c r="U141" s="604"/>
      <c r="V141" s="604"/>
      <c r="W141" s="604"/>
      <c r="X141" s="604"/>
    </row>
    <row r="142" spans="1:24" ht="15.6">
      <c r="A142" s="604"/>
      <c r="B142" s="604"/>
      <c r="C142" s="609"/>
      <c r="D142" s="604"/>
      <c r="E142" s="604"/>
      <c r="F142" s="604"/>
      <c r="G142" s="604"/>
      <c r="H142" s="604"/>
      <c r="I142" s="604"/>
      <c r="J142" s="604"/>
      <c r="K142" s="604"/>
      <c r="L142" s="604"/>
      <c r="M142" s="604"/>
      <c r="N142" s="604"/>
      <c r="O142" s="604"/>
      <c r="P142" s="604"/>
      <c r="Q142" s="604"/>
      <c r="R142" s="604"/>
      <c r="S142" s="604"/>
      <c r="T142" s="604"/>
      <c r="U142" s="604"/>
      <c r="V142" s="604"/>
      <c r="W142" s="604"/>
      <c r="X142" s="604"/>
    </row>
    <row r="143" spans="1:24" ht="15.6">
      <c r="A143" s="604"/>
      <c r="B143" s="604"/>
      <c r="C143" s="609"/>
      <c r="D143" s="604"/>
      <c r="E143" s="604"/>
      <c r="F143" s="604"/>
      <c r="G143" s="604"/>
      <c r="H143" s="604"/>
      <c r="I143" s="604"/>
      <c r="J143" s="604"/>
      <c r="K143" s="604"/>
      <c r="L143" s="604"/>
      <c r="M143" s="604"/>
      <c r="N143" s="604"/>
      <c r="O143" s="604"/>
      <c r="P143" s="604"/>
      <c r="Q143" s="604"/>
      <c r="R143" s="604"/>
      <c r="S143" s="604"/>
      <c r="T143" s="604"/>
      <c r="U143" s="604"/>
      <c r="V143" s="604"/>
      <c r="W143" s="604"/>
      <c r="X143" s="604"/>
    </row>
    <row r="144" spans="1:24" ht="15.6">
      <c r="A144" s="604"/>
      <c r="B144" s="604"/>
      <c r="C144" s="609"/>
      <c r="D144" s="604"/>
      <c r="E144" s="604"/>
      <c r="F144" s="604"/>
      <c r="G144" s="604"/>
      <c r="H144" s="604"/>
      <c r="I144" s="604"/>
      <c r="J144" s="604"/>
      <c r="K144" s="604"/>
      <c r="L144" s="604"/>
      <c r="M144" s="604"/>
      <c r="N144" s="604"/>
      <c r="O144" s="604"/>
      <c r="P144" s="604"/>
      <c r="Q144" s="604"/>
      <c r="R144" s="604"/>
      <c r="S144" s="604"/>
      <c r="T144" s="604"/>
      <c r="U144" s="604"/>
      <c r="V144" s="604"/>
      <c r="W144" s="604"/>
      <c r="X144" s="604"/>
    </row>
    <row r="145" spans="1:24" ht="15.6">
      <c r="A145" s="604"/>
      <c r="B145" s="604"/>
      <c r="C145" s="609"/>
      <c r="D145" s="604"/>
      <c r="E145" s="604"/>
      <c r="F145" s="604"/>
      <c r="G145" s="604"/>
      <c r="H145" s="604"/>
      <c r="I145" s="604"/>
      <c r="J145" s="604"/>
      <c r="K145" s="604"/>
      <c r="L145" s="604"/>
      <c r="M145" s="604"/>
      <c r="N145" s="604"/>
      <c r="O145" s="604"/>
      <c r="P145" s="604"/>
      <c r="Q145" s="604"/>
      <c r="R145" s="604"/>
      <c r="S145" s="604"/>
      <c r="T145" s="604"/>
      <c r="U145" s="604"/>
      <c r="V145" s="604"/>
      <c r="W145" s="604"/>
      <c r="X145" s="604"/>
    </row>
    <row r="146" spans="1:24" ht="15.6">
      <c r="A146" s="604"/>
      <c r="B146" s="604"/>
      <c r="C146" s="609"/>
      <c r="D146" s="604"/>
      <c r="E146" s="604"/>
      <c r="F146" s="604"/>
      <c r="G146" s="604"/>
      <c r="H146" s="604"/>
      <c r="I146" s="604"/>
      <c r="J146" s="604"/>
      <c r="K146" s="604"/>
      <c r="L146" s="604"/>
      <c r="M146" s="604"/>
      <c r="N146" s="604"/>
      <c r="O146" s="604"/>
      <c r="P146" s="604"/>
      <c r="Q146" s="604"/>
      <c r="R146" s="604"/>
      <c r="S146" s="604"/>
      <c r="T146" s="604"/>
      <c r="U146" s="604"/>
      <c r="V146" s="604"/>
      <c r="W146" s="604"/>
      <c r="X146" s="604"/>
    </row>
    <row r="147" spans="1:24" ht="15.6">
      <c r="A147" s="604"/>
      <c r="B147" s="604"/>
      <c r="C147" s="609"/>
      <c r="D147" s="604"/>
      <c r="E147" s="604"/>
      <c r="F147" s="604"/>
      <c r="G147" s="604"/>
      <c r="H147" s="604"/>
      <c r="I147" s="604"/>
      <c r="J147" s="604"/>
      <c r="K147" s="604"/>
      <c r="L147" s="604"/>
      <c r="M147" s="604"/>
      <c r="N147" s="604"/>
      <c r="O147" s="604"/>
      <c r="P147" s="604"/>
      <c r="Q147" s="604"/>
      <c r="R147" s="604"/>
      <c r="S147" s="604"/>
      <c r="T147" s="604"/>
      <c r="U147" s="604"/>
      <c r="V147" s="604"/>
      <c r="W147" s="604"/>
      <c r="X147" s="604"/>
    </row>
    <row r="148" spans="1:24" ht="15.6">
      <c r="A148" s="604"/>
      <c r="B148" s="604"/>
      <c r="C148" s="609"/>
      <c r="D148" s="604"/>
      <c r="E148" s="604"/>
      <c r="F148" s="604"/>
      <c r="G148" s="604"/>
      <c r="H148" s="604"/>
      <c r="I148" s="604"/>
      <c r="J148" s="604"/>
      <c r="K148" s="604"/>
      <c r="L148" s="604"/>
      <c r="M148" s="604"/>
      <c r="N148" s="604"/>
      <c r="O148" s="604"/>
      <c r="P148" s="604"/>
      <c r="Q148" s="604"/>
      <c r="R148" s="604"/>
      <c r="S148" s="604"/>
      <c r="T148" s="604"/>
      <c r="U148" s="604"/>
      <c r="V148" s="604"/>
      <c r="W148" s="604"/>
      <c r="X148" s="604"/>
    </row>
    <row r="149" spans="1:24" ht="15.6">
      <c r="A149" s="604"/>
      <c r="B149" s="604"/>
      <c r="C149" s="609"/>
      <c r="D149" s="604"/>
      <c r="E149" s="604"/>
      <c r="F149" s="604"/>
      <c r="G149" s="604"/>
      <c r="H149" s="604"/>
      <c r="I149" s="604"/>
      <c r="J149" s="604"/>
      <c r="K149" s="604"/>
      <c r="L149" s="604"/>
      <c r="M149" s="604"/>
      <c r="N149" s="604"/>
      <c r="O149" s="604"/>
      <c r="P149" s="604"/>
      <c r="Q149" s="604"/>
      <c r="R149" s="604"/>
      <c r="S149" s="604"/>
      <c r="T149" s="604"/>
      <c r="U149" s="604"/>
      <c r="V149" s="604"/>
      <c r="W149" s="604"/>
      <c r="X149" s="604"/>
    </row>
    <row r="150" spans="1:24" ht="15.6">
      <c r="A150" s="604"/>
      <c r="B150" s="604"/>
      <c r="C150" s="609"/>
      <c r="D150" s="604"/>
      <c r="E150" s="604"/>
      <c r="F150" s="604"/>
      <c r="G150" s="604"/>
      <c r="H150" s="604"/>
      <c r="I150" s="604"/>
      <c r="J150" s="604"/>
      <c r="K150" s="604"/>
      <c r="L150" s="604"/>
      <c r="M150" s="604"/>
      <c r="N150" s="604"/>
      <c r="O150" s="604"/>
      <c r="P150" s="604"/>
      <c r="Q150" s="604"/>
      <c r="R150" s="604"/>
      <c r="S150" s="604"/>
      <c r="T150" s="604"/>
      <c r="U150" s="604"/>
      <c r="V150" s="604"/>
      <c r="W150" s="604"/>
      <c r="X150" s="604"/>
    </row>
    <row r="151" spans="1:24" ht="15.6">
      <c r="A151" s="604"/>
      <c r="B151" s="604"/>
      <c r="C151" s="609"/>
      <c r="D151" s="604"/>
      <c r="E151" s="604"/>
      <c r="F151" s="604"/>
      <c r="G151" s="604"/>
      <c r="H151" s="604"/>
      <c r="I151" s="604"/>
      <c r="J151" s="604"/>
      <c r="K151" s="604"/>
      <c r="L151" s="604"/>
      <c r="M151" s="604"/>
      <c r="N151" s="604"/>
      <c r="O151" s="604"/>
      <c r="P151" s="604"/>
      <c r="Q151" s="604"/>
      <c r="R151" s="604"/>
      <c r="S151" s="604"/>
      <c r="T151" s="604"/>
      <c r="U151" s="604"/>
      <c r="V151" s="604"/>
      <c r="W151" s="604"/>
      <c r="X151" s="604"/>
    </row>
    <row r="152" spans="1:24" ht="15.6">
      <c r="A152" s="604"/>
      <c r="B152" s="604"/>
      <c r="C152" s="609"/>
      <c r="D152" s="604"/>
      <c r="E152" s="604"/>
      <c r="F152" s="604"/>
      <c r="G152" s="604"/>
      <c r="H152" s="604"/>
      <c r="I152" s="604"/>
      <c r="J152" s="604"/>
      <c r="K152" s="604"/>
      <c r="L152" s="604"/>
      <c r="M152" s="604"/>
      <c r="N152" s="604"/>
      <c r="O152" s="604"/>
      <c r="P152" s="604"/>
      <c r="Q152" s="604"/>
      <c r="R152" s="604"/>
      <c r="S152" s="604"/>
      <c r="T152" s="604"/>
      <c r="U152" s="604"/>
      <c r="V152" s="604"/>
      <c r="W152" s="604"/>
      <c r="X152" s="604"/>
    </row>
    <row r="153" spans="1:24" ht="15.6">
      <c r="A153" s="604"/>
      <c r="B153" s="604"/>
      <c r="C153" s="609"/>
      <c r="D153" s="604"/>
      <c r="E153" s="604"/>
      <c r="F153" s="604"/>
      <c r="G153" s="604"/>
      <c r="H153" s="604"/>
      <c r="I153" s="604"/>
      <c r="J153" s="604"/>
      <c r="K153" s="604"/>
      <c r="L153" s="604"/>
      <c r="M153" s="604"/>
      <c r="N153" s="604"/>
      <c r="O153" s="604"/>
      <c r="P153" s="604"/>
      <c r="Q153" s="604"/>
      <c r="R153" s="604"/>
      <c r="S153" s="604"/>
      <c r="T153" s="604"/>
      <c r="U153" s="604"/>
      <c r="V153" s="604"/>
      <c r="W153" s="604"/>
      <c r="X153" s="604"/>
    </row>
    <row r="154" spans="1:24" ht="15.6">
      <c r="A154" s="604"/>
      <c r="B154" s="604"/>
      <c r="C154" s="609"/>
      <c r="D154" s="604"/>
      <c r="E154" s="604"/>
      <c r="F154" s="604"/>
      <c r="G154" s="604"/>
      <c r="H154" s="604"/>
      <c r="I154" s="604"/>
      <c r="J154" s="604"/>
      <c r="K154" s="604"/>
      <c r="L154" s="604"/>
      <c r="M154" s="604"/>
      <c r="N154" s="604"/>
      <c r="O154" s="604"/>
      <c r="P154" s="604"/>
      <c r="Q154" s="604"/>
      <c r="R154" s="604"/>
      <c r="S154" s="604"/>
      <c r="T154" s="604"/>
      <c r="U154" s="604"/>
      <c r="V154" s="604"/>
      <c r="W154" s="604"/>
      <c r="X154" s="604"/>
    </row>
    <row r="155" spans="1:24" ht="15.6">
      <c r="A155" s="604"/>
      <c r="B155" s="604"/>
      <c r="C155" s="609"/>
      <c r="D155" s="604"/>
      <c r="E155" s="604"/>
      <c r="F155" s="604"/>
      <c r="G155" s="604"/>
      <c r="H155" s="604"/>
      <c r="I155" s="604"/>
      <c r="J155" s="604"/>
      <c r="K155" s="604"/>
      <c r="L155" s="604"/>
      <c r="M155" s="604"/>
      <c r="N155" s="604"/>
      <c r="O155" s="604"/>
      <c r="P155" s="604"/>
      <c r="Q155" s="604"/>
      <c r="R155" s="604"/>
      <c r="S155" s="604"/>
      <c r="T155" s="604"/>
      <c r="U155" s="604"/>
      <c r="V155" s="604"/>
      <c r="W155" s="604"/>
      <c r="X155" s="604"/>
    </row>
    <row r="156" spans="1:24" ht="15.6">
      <c r="A156" s="604"/>
      <c r="B156" s="604"/>
      <c r="C156" s="609"/>
      <c r="D156" s="604"/>
      <c r="E156" s="604"/>
      <c r="F156" s="604"/>
      <c r="G156" s="604"/>
      <c r="H156" s="604"/>
      <c r="I156" s="604"/>
      <c r="J156" s="604"/>
      <c r="K156" s="604"/>
      <c r="L156" s="604"/>
      <c r="M156" s="604"/>
      <c r="N156" s="604"/>
      <c r="O156" s="604"/>
      <c r="P156" s="604"/>
      <c r="Q156" s="604"/>
      <c r="R156" s="604"/>
      <c r="S156" s="604"/>
      <c r="T156" s="604"/>
      <c r="U156" s="604"/>
      <c r="V156" s="604"/>
      <c r="W156" s="604"/>
      <c r="X156" s="604"/>
    </row>
    <row r="157" spans="1:24" ht="15.6">
      <c r="A157" s="604"/>
      <c r="B157" s="604"/>
      <c r="C157" s="609"/>
      <c r="D157" s="604"/>
      <c r="E157" s="604"/>
      <c r="F157" s="604"/>
      <c r="G157" s="604"/>
      <c r="H157" s="604"/>
      <c r="I157" s="604"/>
      <c r="J157" s="604"/>
      <c r="K157" s="604"/>
      <c r="L157" s="604"/>
      <c r="M157" s="604"/>
      <c r="N157" s="604"/>
      <c r="O157" s="604"/>
      <c r="P157" s="604"/>
      <c r="Q157" s="604"/>
      <c r="R157" s="604"/>
      <c r="S157" s="604"/>
      <c r="T157" s="604"/>
      <c r="U157" s="604"/>
      <c r="V157" s="604"/>
      <c r="W157" s="604"/>
      <c r="X157" s="604"/>
    </row>
    <row r="158" spans="1:24" ht="15.6">
      <c r="A158" s="604"/>
      <c r="B158" s="604"/>
      <c r="C158" s="609"/>
      <c r="D158" s="604"/>
      <c r="E158" s="604"/>
      <c r="F158" s="604"/>
      <c r="G158" s="604"/>
      <c r="H158" s="604"/>
      <c r="I158" s="604"/>
      <c r="J158" s="604"/>
      <c r="K158" s="604"/>
      <c r="L158" s="604"/>
      <c r="M158" s="604"/>
      <c r="N158" s="604"/>
      <c r="O158" s="604"/>
      <c r="P158" s="604"/>
      <c r="Q158" s="604"/>
      <c r="R158" s="604"/>
      <c r="S158" s="604"/>
      <c r="T158" s="604"/>
      <c r="U158" s="604"/>
      <c r="V158" s="604"/>
      <c r="W158" s="604"/>
      <c r="X158" s="604"/>
    </row>
    <row r="159" spans="1:24" ht="15.6">
      <c r="A159" s="604"/>
      <c r="B159" s="604"/>
      <c r="C159" s="609"/>
      <c r="D159" s="604"/>
      <c r="E159" s="604"/>
      <c r="F159" s="604"/>
      <c r="G159" s="604"/>
      <c r="H159" s="604"/>
      <c r="I159" s="604"/>
      <c r="J159" s="604"/>
      <c r="K159" s="604"/>
      <c r="L159" s="604"/>
      <c r="M159" s="604"/>
      <c r="N159" s="604"/>
      <c r="O159" s="604"/>
      <c r="P159" s="604"/>
      <c r="Q159" s="604"/>
      <c r="R159" s="604"/>
      <c r="S159" s="604"/>
      <c r="T159" s="604"/>
      <c r="U159" s="604"/>
      <c r="V159" s="604"/>
      <c r="W159" s="604"/>
      <c r="X159" s="604"/>
    </row>
    <row r="160" spans="1:24" ht="15.6">
      <c r="A160" s="604"/>
      <c r="B160" s="604"/>
      <c r="C160" s="609"/>
      <c r="D160" s="604"/>
      <c r="E160" s="604"/>
      <c r="F160" s="604"/>
      <c r="G160" s="604"/>
      <c r="H160" s="604"/>
      <c r="I160" s="604"/>
      <c r="J160" s="604"/>
      <c r="K160" s="604"/>
      <c r="L160" s="604"/>
      <c r="M160" s="604"/>
      <c r="N160" s="604"/>
      <c r="O160" s="604"/>
      <c r="P160" s="604"/>
      <c r="Q160" s="604"/>
      <c r="R160" s="604"/>
      <c r="S160" s="604"/>
      <c r="T160" s="604"/>
      <c r="U160" s="604"/>
      <c r="V160" s="604"/>
      <c r="W160" s="604"/>
      <c r="X160" s="604"/>
    </row>
    <row r="161" spans="1:24" ht="15.6">
      <c r="A161" s="604"/>
      <c r="B161" s="604"/>
      <c r="C161" s="609"/>
      <c r="D161" s="604"/>
      <c r="E161" s="604"/>
      <c r="F161" s="604"/>
      <c r="G161" s="604"/>
      <c r="H161" s="604"/>
      <c r="I161" s="604"/>
      <c r="J161" s="604"/>
      <c r="K161" s="604"/>
      <c r="L161" s="604"/>
      <c r="M161" s="604"/>
      <c r="N161" s="604"/>
      <c r="O161" s="604"/>
      <c r="P161" s="604"/>
      <c r="Q161" s="604"/>
      <c r="R161" s="604"/>
      <c r="S161" s="604"/>
      <c r="T161" s="604"/>
      <c r="U161" s="604"/>
      <c r="V161" s="604"/>
      <c r="W161" s="604"/>
      <c r="X161" s="604"/>
    </row>
    <row r="162" spans="1:24" ht="15.6">
      <c r="A162" s="604"/>
      <c r="B162" s="604"/>
      <c r="C162" s="609"/>
      <c r="D162" s="604"/>
      <c r="E162" s="604"/>
      <c r="F162" s="604"/>
      <c r="G162" s="604"/>
      <c r="H162" s="604"/>
      <c r="I162" s="604"/>
      <c r="J162" s="604"/>
      <c r="K162" s="604"/>
      <c r="L162" s="604"/>
      <c r="M162" s="604"/>
      <c r="N162" s="604"/>
      <c r="O162" s="604"/>
      <c r="P162" s="604"/>
      <c r="Q162" s="604"/>
      <c r="R162" s="604"/>
      <c r="S162" s="604"/>
      <c r="T162" s="604"/>
      <c r="U162" s="604"/>
      <c r="V162" s="604"/>
      <c r="W162" s="604"/>
      <c r="X162" s="604"/>
    </row>
    <row r="163" spans="1:24" ht="15.6">
      <c r="A163" s="604"/>
      <c r="B163" s="604"/>
      <c r="C163" s="609"/>
      <c r="D163" s="604"/>
      <c r="E163" s="604"/>
      <c r="F163" s="604"/>
      <c r="G163" s="604"/>
      <c r="H163" s="604"/>
      <c r="I163" s="604"/>
      <c r="J163" s="604"/>
      <c r="K163" s="604"/>
      <c r="L163" s="604"/>
      <c r="M163" s="604"/>
      <c r="N163" s="604"/>
      <c r="O163" s="604"/>
      <c r="P163" s="604"/>
      <c r="Q163" s="604"/>
      <c r="R163" s="604"/>
      <c r="S163" s="604"/>
      <c r="T163" s="604"/>
      <c r="U163" s="604"/>
      <c r="V163" s="604"/>
      <c r="W163" s="604"/>
      <c r="X163" s="604"/>
    </row>
    <row r="164" spans="1:24" ht="15.6">
      <c r="A164" s="604"/>
      <c r="B164" s="604"/>
      <c r="C164" s="609"/>
      <c r="D164" s="604"/>
      <c r="E164" s="604"/>
      <c r="F164" s="604"/>
      <c r="G164" s="604"/>
      <c r="H164" s="604"/>
      <c r="I164" s="604"/>
      <c r="J164" s="604"/>
      <c r="K164" s="604"/>
      <c r="L164" s="604"/>
      <c r="M164" s="604"/>
      <c r="N164" s="604"/>
      <c r="O164" s="604"/>
      <c r="P164" s="604"/>
      <c r="Q164" s="604"/>
      <c r="R164" s="604"/>
      <c r="S164" s="604"/>
      <c r="T164" s="604"/>
      <c r="U164" s="604"/>
      <c r="V164" s="604"/>
      <c r="W164" s="604"/>
      <c r="X164" s="604"/>
    </row>
    <row r="165" spans="1:24" ht="15.6">
      <c r="A165" s="604"/>
      <c r="B165" s="604"/>
      <c r="C165" s="609"/>
      <c r="D165" s="604"/>
      <c r="E165" s="604"/>
      <c r="F165" s="604"/>
      <c r="G165" s="604"/>
      <c r="H165" s="604"/>
      <c r="I165" s="604"/>
      <c r="J165" s="604"/>
      <c r="K165" s="604"/>
      <c r="L165" s="604"/>
      <c r="M165" s="604"/>
      <c r="N165" s="604"/>
      <c r="O165" s="604"/>
      <c r="P165" s="604"/>
      <c r="Q165" s="604"/>
      <c r="R165" s="604"/>
      <c r="S165" s="604"/>
      <c r="T165" s="604"/>
      <c r="U165" s="604"/>
      <c r="V165" s="604"/>
      <c r="W165" s="604"/>
      <c r="X165" s="604"/>
    </row>
    <row r="166" spans="1:24" ht="15.6">
      <c r="A166" s="604"/>
      <c r="B166" s="604"/>
      <c r="C166" s="609"/>
      <c r="D166" s="604"/>
      <c r="E166" s="604"/>
      <c r="F166" s="604"/>
      <c r="G166" s="604"/>
      <c r="H166" s="604"/>
      <c r="I166" s="604"/>
      <c r="J166" s="604"/>
      <c r="K166" s="604"/>
      <c r="L166" s="604"/>
      <c r="M166" s="604"/>
      <c r="N166" s="604"/>
      <c r="O166" s="604"/>
      <c r="P166" s="604"/>
      <c r="Q166" s="604"/>
      <c r="R166" s="604"/>
      <c r="S166" s="604"/>
      <c r="T166" s="604"/>
      <c r="U166" s="604"/>
      <c r="V166" s="604"/>
      <c r="W166" s="604"/>
      <c r="X166" s="604"/>
    </row>
    <row r="167" spans="1:24" ht="15.6">
      <c r="A167" s="604"/>
      <c r="B167" s="604"/>
      <c r="C167" s="609"/>
      <c r="D167" s="604"/>
      <c r="E167" s="604"/>
      <c r="F167" s="604"/>
      <c r="G167" s="604"/>
      <c r="H167" s="604"/>
      <c r="I167" s="604"/>
      <c r="J167" s="604"/>
      <c r="K167" s="604"/>
      <c r="L167" s="604"/>
      <c r="M167" s="604"/>
      <c r="N167" s="604"/>
      <c r="O167" s="604"/>
      <c r="P167" s="604"/>
      <c r="Q167" s="604"/>
      <c r="R167" s="604"/>
      <c r="S167" s="604"/>
      <c r="T167" s="604"/>
      <c r="U167" s="604"/>
      <c r="V167" s="604"/>
      <c r="W167" s="604"/>
      <c r="X167" s="604"/>
    </row>
    <row r="168" spans="1:24" ht="15.6">
      <c r="A168" s="604"/>
      <c r="B168" s="604"/>
      <c r="C168" s="609"/>
      <c r="D168" s="604"/>
      <c r="E168" s="604"/>
      <c r="F168" s="604"/>
      <c r="G168" s="604"/>
      <c r="H168" s="604"/>
      <c r="I168" s="604"/>
      <c r="J168" s="604"/>
      <c r="K168" s="604"/>
      <c r="L168" s="604"/>
      <c r="M168" s="604"/>
      <c r="N168" s="604"/>
      <c r="O168" s="604"/>
      <c r="P168" s="604"/>
      <c r="Q168" s="604"/>
      <c r="R168" s="604"/>
      <c r="S168" s="604"/>
      <c r="T168" s="604"/>
      <c r="U168" s="604"/>
      <c r="V168" s="604"/>
      <c r="W168" s="604"/>
      <c r="X168" s="604"/>
    </row>
    <row r="169" spans="1:24" ht="15.6">
      <c r="A169" s="604"/>
      <c r="B169" s="604"/>
      <c r="C169" s="609"/>
      <c r="D169" s="604"/>
      <c r="E169" s="604"/>
      <c r="F169" s="604"/>
      <c r="G169" s="604"/>
      <c r="H169" s="604"/>
      <c r="I169" s="604"/>
      <c r="J169" s="604"/>
      <c r="K169" s="604"/>
      <c r="L169" s="604"/>
      <c r="M169" s="604"/>
      <c r="N169" s="604"/>
      <c r="O169" s="604"/>
      <c r="P169" s="604"/>
      <c r="Q169" s="604"/>
      <c r="R169" s="604"/>
      <c r="S169" s="604"/>
      <c r="T169" s="604"/>
      <c r="U169" s="604"/>
      <c r="V169" s="604"/>
      <c r="W169" s="604"/>
      <c r="X169" s="604"/>
    </row>
    <row r="170" spans="1:24" ht="15.6">
      <c r="A170" s="604"/>
      <c r="B170" s="604"/>
      <c r="C170" s="609"/>
      <c r="D170" s="604"/>
      <c r="E170" s="604"/>
      <c r="F170" s="604"/>
      <c r="G170" s="604"/>
      <c r="H170" s="604"/>
      <c r="I170" s="604"/>
      <c r="J170" s="604"/>
      <c r="K170" s="604"/>
      <c r="L170" s="604"/>
      <c r="M170" s="604"/>
      <c r="N170" s="604"/>
      <c r="O170" s="604"/>
      <c r="P170" s="604"/>
      <c r="Q170" s="604"/>
      <c r="R170" s="604"/>
      <c r="S170" s="604"/>
      <c r="T170" s="604"/>
      <c r="U170" s="604"/>
      <c r="V170" s="604"/>
      <c r="W170" s="604"/>
      <c r="X170" s="604"/>
    </row>
    <row r="171" spans="1:24" ht="15.6">
      <c r="A171" s="604"/>
      <c r="B171" s="604"/>
      <c r="C171" s="609"/>
      <c r="D171" s="604"/>
      <c r="E171" s="604"/>
      <c r="F171" s="604"/>
      <c r="G171" s="604"/>
      <c r="H171" s="604"/>
      <c r="I171" s="604"/>
      <c r="J171" s="604"/>
      <c r="K171" s="604"/>
      <c r="L171" s="604"/>
      <c r="M171" s="604"/>
      <c r="N171" s="604"/>
      <c r="O171" s="604"/>
      <c r="P171" s="604"/>
      <c r="Q171" s="604"/>
      <c r="R171" s="604"/>
      <c r="S171" s="604"/>
      <c r="T171" s="604"/>
      <c r="U171" s="604"/>
      <c r="V171" s="604"/>
      <c r="W171" s="604"/>
      <c r="X171" s="604"/>
    </row>
    <row r="172" spans="1:24" ht="15.6">
      <c r="A172" s="604"/>
      <c r="B172" s="604"/>
      <c r="C172" s="609"/>
      <c r="D172" s="604"/>
      <c r="E172" s="604"/>
      <c r="F172" s="604"/>
      <c r="G172" s="604"/>
      <c r="H172" s="604"/>
      <c r="I172" s="604"/>
      <c r="J172" s="604"/>
      <c r="K172" s="604"/>
      <c r="L172" s="604"/>
      <c r="M172" s="604"/>
      <c r="N172" s="604"/>
      <c r="O172" s="604"/>
      <c r="P172" s="604"/>
      <c r="Q172" s="604"/>
      <c r="R172" s="604"/>
      <c r="S172" s="604"/>
      <c r="T172" s="604"/>
      <c r="U172" s="604"/>
      <c r="V172" s="604"/>
      <c r="W172" s="604"/>
      <c r="X172" s="604"/>
    </row>
    <row r="173" spans="1:24" ht="15.6">
      <c r="A173" s="604"/>
      <c r="B173" s="604"/>
      <c r="C173" s="609"/>
      <c r="D173" s="604"/>
      <c r="E173" s="604"/>
      <c r="F173" s="604"/>
      <c r="G173" s="604"/>
      <c r="H173" s="604"/>
      <c r="I173" s="604"/>
      <c r="J173" s="604"/>
      <c r="K173" s="604"/>
      <c r="L173" s="604"/>
      <c r="M173" s="604"/>
      <c r="N173" s="604"/>
      <c r="O173" s="604"/>
      <c r="P173" s="604"/>
      <c r="Q173" s="604"/>
      <c r="R173" s="604"/>
      <c r="S173" s="604"/>
      <c r="T173" s="604"/>
      <c r="U173" s="604"/>
      <c r="V173" s="604"/>
      <c r="W173" s="604"/>
      <c r="X173" s="604"/>
    </row>
    <row r="174" spans="1:24" ht="15.6">
      <c r="A174" s="604"/>
      <c r="B174" s="604"/>
      <c r="C174" s="609"/>
      <c r="D174" s="604"/>
      <c r="E174" s="604"/>
      <c r="F174" s="604"/>
      <c r="G174" s="604"/>
      <c r="H174" s="604"/>
      <c r="I174" s="604"/>
      <c r="J174" s="604"/>
      <c r="K174" s="604"/>
      <c r="L174" s="604"/>
      <c r="M174" s="604"/>
      <c r="N174" s="604"/>
      <c r="O174" s="604"/>
      <c r="P174" s="604"/>
      <c r="Q174" s="604"/>
      <c r="R174" s="604"/>
      <c r="S174" s="604"/>
      <c r="T174" s="604"/>
      <c r="U174" s="604"/>
      <c r="V174" s="604"/>
      <c r="W174" s="604"/>
      <c r="X174" s="604"/>
    </row>
    <row r="175" spans="1:24" ht="15.6">
      <c r="A175" s="604"/>
      <c r="B175" s="604"/>
      <c r="C175" s="609"/>
      <c r="D175" s="604"/>
      <c r="E175" s="604"/>
      <c r="F175" s="604"/>
      <c r="G175" s="604"/>
      <c r="H175" s="604"/>
      <c r="I175" s="604"/>
      <c r="J175" s="604"/>
      <c r="K175" s="604"/>
      <c r="L175" s="604"/>
      <c r="M175" s="604"/>
      <c r="N175" s="604"/>
      <c r="O175" s="604"/>
      <c r="P175" s="604"/>
      <c r="Q175" s="604"/>
      <c r="R175" s="604"/>
      <c r="S175" s="604"/>
      <c r="T175" s="604"/>
      <c r="U175" s="604"/>
      <c r="V175" s="604"/>
      <c r="W175" s="604"/>
      <c r="X175" s="604"/>
    </row>
    <row r="176" spans="1:24" ht="15.6">
      <c r="A176" s="604"/>
      <c r="B176" s="604"/>
      <c r="C176" s="609"/>
      <c r="D176" s="604"/>
      <c r="E176" s="604"/>
      <c r="F176" s="604"/>
      <c r="G176" s="604"/>
      <c r="H176" s="604"/>
      <c r="I176" s="604"/>
      <c r="J176" s="604"/>
      <c r="K176" s="604"/>
      <c r="L176" s="604"/>
      <c r="M176" s="604"/>
      <c r="N176" s="604"/>
      <c r="O176" s="604"/>
      <c r="P176" s="604"/>
      <c r="Q176" s="604"/>
      <c r="R176" s="604"/>
      <c r="S176" s="604"/>
      <c r="T176" s="604"/>
      <c r="U176" s="604"/>
      <c r="V176" s="604"/>
      <c r="W176" s="604"/>
      <c r="X176" s="604"/>
    </row>
    <row r="177" spans="1:24" ht="15.6">
      <c r="A177" s="604"/>
      <c r="B177" s="604"/>
      <c r="C177" s="609"/>
      <c r="D177" s="604"/>
      <c r="E177" s="604"/>
      <c r="F177" s="604"/>
      <c r="G177" s="604"/>
      <c r="H177" s="604"/>
      <c r="I177" s="604"/>
      <c r="J177" s="604"/>
      <c r="K177" s="604"/>
      <c r="L177" s="604"/>
      <c r="M177" s="604"/>
      <c r="N177" s="604"/>
      <c r="O177" s="604"/>
      <c r="P177" s="604"/>
      <c r="Q177" s="604"/>
      <c r="R177" s="604"/>
      <c r="S177" s="604"/>
      <c r="T177" s="604"/>
      <c r="U177" s="604"/>
      <c r="V177" s="604"/>
      <c r="W177" s="604"/>
      <c r="X177" s="604"/>
    </row>
    <row r="178" spans="1:24" ht="15.6">
      <c r="A178" s="604"/>
      <c r="B178" s="604"/>
      <c r="C178" s="609"/>
      <c r="D178" s="604"/>
      <c r="E178" s="604"/>
      <c r="F178" s="604"/>
      <c r="G178" s="604"/>
      <c r="H178" s="604"/>
      <c r="I178" s="604"/>
      <c r="J178" s="604"/>
      <c r="K178" s="604"/>
      <c r="L178" s="604"/>
      <c r="M178" s="604"/>
      <c r="N178" s="604"/>
      <c r="O178" s="604"/>
      <c r="P178" s="604"/>
      <c r="Q178" s="604"/>
      <c r="R178" s="604"/>
      <c r="S178" s="604"/>
      <c r="T178" s="604"/>
      <c r="U178" s="604"/>
      <c r="V178" s="604"/>
      <c r="W178" s="604"/>
      <c r="X178" s="604"/>
    </row>
    <row r="179" spans="1:24" ht="15.6">
      <c r="A179" s="604"/>
      <c r="B179" s="604"/>
      <c r="C179" s="609"/>
      <c r="D179" s="604"/>
      <c r="E179" s="604"/>
      <c r="F179" s="604"/>
      <c r="G179" s="604"/>
      <c r="H179" s="604"/>
      <c r="I179" s="604"/>
      <c r="J179" s="604"/>
      <c r="K179" s="604"/>
      <c r="L179" s="604"/>
      <c r="M179" s="604"/>
      <c r="N179" s="604"/>
      <c r="O179" s="604"/>
      <c r="P179" s="604"/>
      <c r="Q179" s="604"/>
      <c r="R179" s="604"/>
      <c r="S179" s="604"/>
      <c r="T179" s="604"/>
      <c r="U179" s="604"/>
      <c r="V179" s="604"/>
      <c r="W179" s="604"/>
      <c r="X179" s="604"/>
    </row>
    <row r="180" spans="1:24" ht="15.6">
      <c r="A180" s="604"/>
      <c r="B180" s="604"/>
      <c r="C180" s="609"/>
      <c r="D180" s="604"/>
      <c r="E180" s="604"/>
      <c r="F180" s="604"/>
      <c r="G180" s="604"/>
      <c r="H180" s="604"/>
      <c r="I180" s="604"/>
      <c r="J180" s="604"/>
      <c r="K180" s="604"/>
      <c r="L180" s="604"/>
      <c r="M180" s="604"/>
      <c r="N180" s="604"/>
      <c r="O180" s="604"/>
      <c r="P180" s="604"/>
      <c r="Q180" s="604"/>
      <c r="R180" s="604"/>
      <c r="S180" s="604"/>
      <c r="T180" s="604"/>
      <c r="U180" s="604"/>
      <c r="V180" s="604"/>
      <c r="W180" s="604"/>
      <c r="X180" s="604"/>
    </row>
    <row r="181" spans="1:24" ht="15.6">
      <c r="A181" s="604"/>
      <c r="B181" s="604"/>
      <c r="C181" s="609"/>
      <c r="D181" s="604"/>
      <c r="E181" s="604"/>
      <c r="F181" s="604"/>
      <c r="G181" s="604"/>
      <c r="H181" s="604"/>
      <c r="I181" s="604"/>
      <c r="J181" s="604"/>
      <c r="K181" s="604"/>
      <c r="L181" s="604"/>
      <c r="M181" s="604"/>
      <c r="N181" s="604"/>
      <c r="O181" s="604"/>
      <c r="P181" s="604"/>
      <c r="Q181" s="604"/>
      <c r="R181" s="604"/>
      <c r="S181" s="604"/>
      <c r="T181" s="604"/>
      <c r="U181" s="604"/>
      <c r="V181" s="604"/>
      <c r="W181" s="604"/>
      <c r="X181" s="604"/>
    </row>
    <row r="182" spans="1:24" ht="15.6">
      <c r="A182" s="604"/>
      <c r="B182" s="604"/>
      <c r="C182" s="609"/>
      <c r="D182" s="604"/>
      <c r="E182" s="604"/>
      <c r="F182" s="604"/>
      <c r="G182" s="604"/>
      <c r="H182" s="604"/>
      <c r="I182" s="604"/>
      <c r="J182" s="604"/>
      <c r="K182" s="604"/>
      <c r="L182" s="604"/>
      <c r="M182" s="604"/>
      <c r="N182" s="604"/>
      <c r="O182" s="604"/>
      <c r="P182" s="604"/>
      <c r="Q182" s="604"/>
      <c r="R182" s="604"/>
      <c r="S182" s="604"/>
      <c r="T182" s="604"/>
      <c r="U182" s="604"/>
      <c r="V182" s="604"/>
      <c r="W182" s="604"/>
      <c r="X182" s="604"/>
    </row>
    <row r="183" spans="1:24" ht="15.6">
      <c r="A183" s="604"/>
      <c r="B183" s="604"/>
      <c r="C183" s="609"/>
      <c r="D183" s="604"/>
      <c r="E183" s="604"/>
      <c r="F183" s="604"/>
      <c r="G183" s="604"/>
      <c r="H183" s="604"/>
      <c r="I183" s="604"/>
      <c r="J183" s="604"/>
      <c r="K183" s="604"/>
      <c r="L183" s="604"/>
      <c r="M183" s="604"/>
      <c r="N183" s="604"/>
      <c r="O183" s="604"/>
      <c r="P183" s="604"/>
      <c r="Q183" s="604"/>
      <c r="R183" s="604"/>
      <c r="S183" s="604"/>
      <c r="T183" s="604"/>
      <c r="U183" s="604"/>
      <c r="V183" s="604"/>
      <c r="W183" s="604"/>
      <c r="X183" s="604"/>
    </row>
    <row r="184" spans="1:24" ht="15.6">
      <c r="A184" s="604"/>
      <c r="B184" s="604"/>
      <c r="C184" s="609"/>
      <c r="D184" s="604"/>
      <c r="E184" s="604"/>
      <c r="F184" s="604"/>
      <c r="G184" s="604"/>
      <c r="H184" s="604"/>
      <c r="I184" s="604"/>
      <c r="J184" s="604"/>
      <c r="K184" s="604"/>
      <c r="L184" s="604"/>
      <c r="M184" s="604"/>
      <c r="N184" s="604"/>
      <c r="O184" s="604"/>
      <c r="P184" s="604"/>
      <c r="Q184" s="604"/>
      <c r="R184" s="604"/>
      <c r="S184" s="604"/>
      <c r="T184" s="604"/>
      <c r="U184" s="604"/>
      <c r="V184" s="604"/>
      <c r="W184" s="604"/>
      <c r="X184" s="604"/>
    </row>
    <row r="185" spans="1:24" ht="15.6">
      <c r="A185" s="604"/>
      <c r="B185" s="604"/>
      <c r="C185" s="609"/>
      <c r="D185" s="604"/>
      <c r="E185" s="604"/>
      <c r="F185" s="604"/>
      <c r="G185" s="604"/>
      <c r="H185" s="604"/>
      <c r="I185" s="604"/>
      <c r="J185" s="604"/>
      <c r="K185" s="604"/>
      <c r="L185" s="604"/>
      <c r="M185" s="604"/>
      <c r="N185" s="604"/>
      <c r="O185" s="604"/>
      <c r="P185" s="604"/>
      <c r="Q185" s="604"/>
      <c r="R185" s="604"/>
      <c r="S185" s="604"/>
      <c r="T185" s="604"/>
      <c r="U185" s="604"/>
      <c r="V185" s="604"/>
      <c r="W185" s="604"/>
      <c r="X185" s="604"/>
    </row>
    <row r="186" spans="1:24" ht="15.6">
      <c r="A186" s="604"/>
      <c r="B186" s="604"/>
      <c r="C186" s="609"/>
      <c r="D186" s="604"/>
      <c r="E186" s="604"/>
      <c r="F186" s="604"/>
      <c r="G186" s="604"/>
      <c r="H186" s="604"/>
      <c r="I186" s="604"/>
      <c r="J186" s="604"/>
      <c r="K186" s="604"/>
      <c r="L186" s="604"/>
      <c r="M186" s="604"/>
      <c r="N186" s="604"/>
      <c r="O186" s="604"/>
      <c r="P186" s="604"/>
      <c r="Q186" s="604"/>
      <c r="R186" s="604"/>
      <c r="S186" s="604"/>
      <c r="T186" s="604"/>
      <c r="U186" s="604"/>
      <c r="V186" s="604"/>
      <c r="W186" s="604"/>
      <c r="X186" s="604"/>
    </row>
    <row r="187" spans="1:24" ht="15.6">
      <c r="A187" s="604"/>
      <c r="B187" s="604"/>
      <c r="C187" s="609"/>
      <c r="D187" s="604"/>
      <c r="E187" s="604"/>
      <c r="F187" s="604"/>
      <c r="G187" s="604"/>
      <c r="H187" s="604"/>
      <c r="I187" s="604"/>
      <c r="J187" s="604"/>
      <c r="K187" s="604"/>
      <c r="L187" s="604"/>
      <c r="M187" s="604"/>
      <c r="N187" s="604"/>
      <c r="O187" s="604"/>
      <c r="P187" s="604"/>
      <c r="Q187" s="604"/>
      <c r="R187" s="604"/>
      <c r="S187" s="604"/>
      <c r="T187" s="604"/>
      <c r="U187" s="604"/>
      <c r="V187" s="604"/>
      <c r="W187" s="604"/>
      <c r="X187" s="604"/>
    </row>
    <row r="188" spans="1:24" ht="15.6">
      <c r="A188" s="604"/>
      <c r="B188" s="604"/>
      <c r="C188" s="609"/>
      <c r="D188" s="604"/>
      <c r="E188" s="604"/>
      <c r="F188" s="604"/>
      <c r="G188" s="604"/>
      <c r="H188" s="604"/>
      <c r="I188" s="604"/>
      <c r="J188" s="604"/>
      <c r="K188" s="604"/>
      <c r="L188" s="604"/>
      <c r="M188" s="604"/>
      <c r="N188" s="604"/>
      <c r="O188" s="604"/>
      <c r="P188" s="604"/>
      <c r="Q188" s="604"/>
      <c r="R188" s="604"/>
      <c r="S188" s="604"/>
      <c r="T188" s="604"/>
      <c r="U188" s="604"/>
      <c r="V188" s="604"/>
      <c r="W188" s="604"/>
      <c r="X188" s="604"/>
    </row>
    <row r="189" spans="1:24" ht="15.6">
      <c r="A189" s="604"/>
      <c r="B189" s="604"/>
      <c r="C189" s="609"/>
      <c r="D189" s="604"/>
      <c r="E189" s="604"/>
      <c r="F189" s="604"/>
      <c r="G189" s="604"/>
      <c r="H189" s="604"/>
      <c r="I189" s="604"/>
      <c r="J189" s="604"/>
      <c r="K189" s="604"/>
      <c r="L189" s="604"/>
      <c r="M189" s="604"/>
      <c r="N189" s="604"/>
      <c r="O189" s="604"/>
      <c r="P189" s="604"/>
      <c r="Q189" s="604"/>
      <c r="R189" s="604"/>
      <c r="S189" s="604"/>
      <c r="T189" s="604"/>
      <c r="U189" s="604"/>
      <c r="V189" s="604"/>
      <c r="W189" s="604"/>
      <c r="X189" s="604"/>
    </row>
    <row r="190" spans="1:24" ht="15.6">
      <c r="A190" s="604"/>
      <c r="B190" s="604"/>
      <c r="C190" s="609"/>
      <c r="D190" s="604"/>
      <c r="E190" s="604"/>
      <c r="F190" s="604"/>
      <c r="G190" s="604"/>
      <c r="H190" s="604"/>
      <c r="I190" s="604"/>
      <c r="J190" s="604"/>
      <c r="K190" s="604"/>
      <c r="L190" s="604"/>
      <c r="M190" s="604"/>
      <c r="N190" s="604"/>
      <c r="O190" s="604"/>
      <c r="P190" s="604"/>
      <c r="Q190" s="604"/>
      <c r="R190" s="604"/>
      <c r="S190" s="604"/>
      <c r="T190" s="604"/>
      <c r="U190" s="604"/>
      <c r="V190" s="604"/>
      <c r="W190" s="604"/>
      <c r="X190" s="604"/>
    </row>
    <row r="191" spans="1:24" ht="15.6">
      <c r="A191" s="604"/>
      <c r="B191" s="604"/>
      <c r="C191" s="609"/>
      <c r="D191" s="604"/>
      <c r="E191" s="604"/>
      <c r="F191" s="604"/>
      <c r="G191" s="604"/>
      <c r="H191" s="604"/>
      <c r="I191" s="604"/>
      <c r="J191" s="604"/>
      <c r="K191" s="604"/>
      <c r="L191" s="604"/>
      <c r="M191" s="604"/>
      <c r="N191" s="604"/>
      <c r="O191" s="604"/>
      <c r="P191" s="604"/>
      <c r="Q191" s="604"/>
      <c r="R191" s="604"/>
      <c r="S191" s="604"/>
      <c r="T191" s="604"/>
      <c r="U191" s="604"/>
      <c r="V191" s="604"/>
      <c r="W191" s="604"/>
      <c r="X191" s="604"/>
    </row>
    <row r="192" spans="1:24" ht="15.6">
      <c r="A192" s="604"/>
      <c r="B192" s="604"/>
      <c r="C192" s="609"/>
      <c r="D192" s="604"/>
      <c r="E192" s="604"/>
      <c r="F192" s="604"/>
      <c r="G192" s="604"/>
      <c r="H192" s="604"/>
      <c r="I192" s="604"/>
      <c r="J192" s="604"/>
      <c r="K192" s="604"/>
      <c r="L192" s="604"/>
      <c r="M192" s="604"/>
      <c r="N192" s="604"/>
      <c r="O192" s="604"/>
      <c r="P192" s="604"/>
      <c r="Q192" s="604"/>
      <c r="R192" s="604"/>
      <c r="S192" s="604"/>
      <c r="T192" s="604"/>
      <c r="U192" s="604"/>
      <c r="V192" s="604"/>
      <c r="W192" s="604"/>
      <c r="X192" s="604"/>
    </row>
    <row r="193" spans="1:24" ht="15.6">
      <c r="A193" s="604"/>
      <c r="B193" s="604"/>
      <c r="C193" s="609"/>
      <c r="D193" s="604"/>
      <c r="E193" s="604"/>
      <c r="F193" s="604"/>
      <c r="G193" s="604"/>
      <c r="H193" s="604"/>
      <c r="I193" s="604"/>
      <c r="J193" s="604"/>
      <c r="K193" s="604"/>
      <c r="L193" s="604"/>
      <c r="M193" s="604"/>
      <c r="N193" s="604"/>
      <c r="O193" s="604"/>
      <c r="P193" s="604"/>
      <c r="Q193" s="604"/>
      <c r="R193" s="604"/>
      <c r="S193" s="604"/>
      <c r="T193" s="604"/>
      <c r="U193" s="604"/>
      <c r="V193" s="604"/>
      <c r="W193" s="604"/>
      <c r="X193" s="604"/>
    </row>
    <row r="194" spans="1:24" ht="15.6">
      <c r="A194" s="604"/>
      <c r="B194" s="604"/>
      <c r="C194" s="609"/>
      <c r="D194" s="604"/>
      <c r="E194" s="604"/>
      <c r="F194" s="604"/>
      <c r="G194" s="604"/>
      <c r="H194" s="604"/>
      <c r="I194" s="604"/>
      <c r="J194" s="604"/>
      <c r="K194" s="604"/>
      <c r="L194" s="604"/>
      <c r="M194" s="604"/>
      <c r="N194" s="604"/>
      <c r="O194" s="604"/>
      <c r="P194" s="604"/>
      <c r="Q194" s="604"/>
      <c r="R194" s="604"/>
      <c r="S194" s="604"/>
      <c r="T194" s="604"/>
      <c r="U194" s="604"/>
      <c r="V194" s="604"/>
      <c r="W194" s="604"/>
      <c r="X194" s="604"/>
    </row>
    <row r="195" spans="1:24" ht="15.6">
      <c r="A195" s="604"/>
      <c r="B195" s="604"/>
      <c r="C195" s="609"/>
      <c r="D195" s="604"/>
      <c r="E195" s="604"/>
      <c r="F195" s="604"/>
      <c r="G195" s="604"/>
      <c r="H195" s="604"/>
      <c r="I195" s="604"/>
      <c r="J195" s="604"/>
      <c r="K195" s="604"/>
      <c r="L195" s="604"/>
      <c r="M195" s="604"/>
      <c r="N195" s="604"/>
      <c r="O195" s="604"/>
      <c r="P195" s="604"/>
      <c r="Q195" s="604"/>
      <c r="R195" s="604"/>
      <c r="S195" s="604"/>
      <c r="T195" s="604"/>
      <c r="U195" s="604"/>
      <c r="V195" s="604"/>
      <c r="W195" s="604"/>
      <c r="X195" s="604"/>
    </row>
    <row r="196" spans="1:24" ht="15.6">
      <c r="A196" s="604"/>
      <c r="B196" s="604"/>
      <c r="C196" s="609"/>
      <c r="D196" s="604"/>
      <c r="E196" s="604"/>
      <c r="F196" s="604"/>
      <c r="G196" s="604"/>
      <c r="H196" s="604"/>
      <c r="I196" s="604"/>
      <c r="J196" s="604"/>
      <c r="K196" s="604"/>
      <c r="L196" s="604"/>
      <c r="M196" s="604"/>
      <c r="N196" s="604"/>
      <c r="O196" s="604"/>
      <c r="P196" s="604"/>
      <c r="Q196" s="604"/>
      <c r="R196" s="604"/>
      <c r="S196" s="604"/>
      <c r="T196" s="604"/>
      <c r="U196" s="604"/>
      <c r="V196" s="604"/>
      <c r="W196" s="604"/>
      <c r="X196" s="604"/>
    </row>
    <row r="197" spans="1:24" ht="15.6">
      <c r="A197" s="604"/>
      <c r="B197" s="604"/>
      <c r="C197" s="609"/>
      <c r="D197" s="604"/>
      <c r="E197" s="604"/>
      <c r="F197" s="604"/>
      <c r="G197" s="604"/>
      <c r="H197" s="604"/>
      <c r="I197" s="604"/>
      <c r="J197" s="604"/>
      <c r="K197" s="604"/>
      <c r="L197" s="604"/>
      <c r="M197" s="604"/>
      <c r="N197" s="604"/>
      <c r="O197" s="604"/>
      <c r="P197" s="604"/>
      <c r="Q197" s="604"/>
      <c r="R197" s="604"/>
      <c r="S197" s="604"/>
      <c r="T197" s="604"/>
      <c r="U197" s="604"/>
      <c r="V197" s="604"/>
      <c r="W197" s="604"/>
      <c r="X197" s="604"/>
    </row>
    <row r="198" spans="1:24" ht="15.6">
      <c r="A198" s="604"/>
      <c r="B198" s="604"/>
      <c r="C198" s="609"/>
      <c r="D198" s="604"/>
      <c r="E198" s="604"/>
      <c r="F198" s="604"/>
      <c r="G198" s="604"/>
      <c r="H198" s="604"/>
      <c r="I198" s="604"/>
      <c r="J198" s="604"/>
      <c r="K198" s="604"/>
      <c r="L198" s="604"/>
      <c r="M198" s="604"/>
      <c r="N198" s="604"/>
      <c r="O198" s="604"/>
      <c r="P198" s="604"/>
      <c r="Q198" s="604"/>
      <c r="R198" s="604"/>
      <c r="S198" s="604"/>
      <c r="T198" s="604"/>
      <c r="U198" s="604"/>
      <c r="V198" s="604"/>
      <c r="W198" s="604"/>
      <c r="X198" s="604"/>
    </row>
    <row r="199" spans="1:24" ht="15.6">
      <c r="A199" s="604"/>
      <c r="B199" s="604"/>
      <c r="C199" s="609"/>
      <c r="D199" s="604"/>
      <c r="E199" s="604"/>
      <c r="F199" s="604"/>
      <c r="G199" s="604"/>
      <c r="H199" s="604"/>
      <c r="I199" s="604"/>
      <c r="J199" s="604"/>
      <c r="K199" s="604"/>
      <c r="L199" s="604"/>
      <c r="M199" s="604"/>
      <c r="N199" s="604"/>
      <c r="O199" s="604"/>
      <c r="P199" s="604"/>
      <c r="Q199" s="604"/>
      <c r="R199" s="604"/>
      <c r="S199" s="604"/>
      <c r="T199" s="604"/>
      <c r="U199" s="604"/>
      <c r="V199" s="604"/>
      <c r="W199" s="604"/>
      <c r="X199" s="604"/>
    </row>
    <row r="200" spans="1:24" ht="15.6">
      <c r="A200" s="604"/>
      <c r="B200" s="604"/>
      <c r="C200" s="609"/>
      <c r="D200" s="604"/>
      <c r="E200" s="604"/>
      <c r="F200" s="604"/>
      <c r="G200" s="604"/>
      <c r="H200" s="604"/>
      <c r="I200" s="604"/>
      <c r="J200" s="604"/>
      <c r="K200" s="604"/>
      <c r="L200" s="604"/>
      <c r="M200" s="604"/>
      <c r="N200" s="604"/>
      <c r="O200" s="604"/>
      <c r="P200" s="604"/>
      <c r="Q200" s="604"/>
      <c r="R200" s="604"/>
      <c r="S200" s="604"/>
      <c r="T200" s="604"/>
      <c r="U200" s="604"/>
      <c r="V200" s="604"/>
      <c r="W200" s="604"/>
      <c r="X200" s="604"/>
    </row>
    <row r="201" spans="1:24" ht="15.6">
      <c r="A201" s="604"/>
      <c r="B201" s="604"/>
      <c r="C201" s="609"/>
      <c r="D201" s="604"/>
      <c r="E201" s="604"/>
      <c r="F201" s="604"/>
      <c r="G201" s="604"/>
      <c r="H201" s="604"/>
      <c r="I201" s="604"/>
      <c r="J201" s="604"/>
      <c r="K201" s="604"/>
      <c r="L201" s="604"/>
      <c r="M201" s="604"/>
      <c r="N201" s="604"/>
      <c r="O201" s="604"/>
      <c r="P201" s="604"/>
      <c r="Q201" s="604"/>
      <c r="R201" s="604"/>
      <c r="S201" s="604"/>
      <c r="T201" s="604"/>
      <c r="U201" s="604"/>
      <c r="V201" s="604"/>
      <c r="W201" s="604"/>
      <c r="X201" s="604"/>
    </row>
    <row r="202" spans="1:24" ht="15.6">
      <c r="A202" s="604"/>
      <c r="B202" s="604"/>
      <c r="C202" s="609"/>
      <c r="D202" s="604"/>
      <c r="E202" s="604"/>
      <c r="F202" s="604"/>
      <c r="G202" s="604"/>
      <c r="H202" s="604"/>
      <c r="I202" s="604"/>
      <c r="J202" s="604"/>
      <c r="K202" s="604"/>
      <c r="L202" s="604"/>
      <c r="M202" s="604"/>
      <c r="N202" s="604"/>
      <c r="O202" s="604"/>
      <c r="P202" s="604"/>
      <c r="Q202" s="604"/>
      <c r="R202" s="604"/>
      <c r="S202" s="604"/>
      <c r="T202" s="604"/>
      <c r="U202" s="604"/>
      <c r="V202" s="604"/>
      <c r="W202" s="604"/>
      <c r="X202" s="604"/>
    </row>
    <row r="203" spans="1:24" ht="15.6">
      <c r="A203" s="604"/>
      <c r="B203" s="604"/>
      <c r="C203" s="609"/>
      <c r="D203" s="604"/>
      <c r="E203" s="604"/>
      <c r="F203" s="604"/>
      <c r="G203" s="604"/>
      <c r="H203" s="604"/>
      <c r="I203" s="604"/>
      <c r="J203" s="604"/>
      <c r="K203" s="604"/>
      <c r="L203" s="604"/>
      <c r="M203" s="604"/>
      <c r="N203" s="604"/>
      <c r="O203" s="604"/>
      <c r="P203" s="604"/>
      <c r="Q203" s="604"/>
      <c r="R203" s="604"/>
      <c r="S203" s="604"/>
      <c r="T203" s="604"/>
      <c r="U203" s="604"/>
      <c r="V203" s="604"/>
      <c r="W203" s="604"/>
      <c r="X203" s="604"/>
    </row>
    <row r="204" spans="1:24" ht="15.6">
      <c r="A204" s="604"/>
      <c r="B204" s="604"/>
      <c r="C204" s="609"/>
      <c r="D204" s="604"/>
      <c r="E204" s="604"/>
      <c r="F204" s="604"/>
      <c r="G204" s="604"/>
      <c r="H204" s="604"/>
      <c r="I204" s="604"/>
      <c r="J204" s="604"/>
      <c r="K204" s="604"/>
      <c r="L204" s="604"/>
      <c r="M204" s="604"/>
      <c r="N204" s="604"/>
      <c r="O204" s="604"/>
      <c r="P204" s="604"/>
      <c r="Q204" s="604"/>
      <c r="R204" s="604"/>
      <c r="S204" s="604"/>
      <c r="T204" s="604"/>
      <c r="U204" s="604"/>
      <c r="V204" s="604"/>
      <c r="W204" s="604"/>
      <c r="X204" s="604"/>
    </row>
    <row r="205" spans="1:24" ht="15.6">
      <c r="A205" s="604"/>
      <c r="B205" s="604"/>
      <c r="C205" s="609"/>
      <c r="D205" s="604"/>
      <c r="E205" s="604"/>
      <c r="F205" s="604"/>
      <c r="G205" s="604"/>
      <c r="H205" s="604"/>
      <c r="I205" s="604"/>
      <c r="J205" s="604"/>
      <c r="K205" s="604"/>
      <c r="L205" s="604"/>
      <c r="M205" s="604"/>
      <c r="N205" s="604"/>
      <c r="O205" s="604"/>
      <c r="P205" s="604"/>
      <c r="Q205" s="604"/>
      <c r="R205" s="604"/>
      <c r="S205" s="604"/>
      <c r="T205" s="604"/>
      <c r="U205" s="604"/>
      <c r="V205" s="604"/>
      <c r="W205" s="604"/>
      <c r="X205" s="604"/>
    </row>
    <row r="206" spans="1:24" ht="15.6">
      <c r="A206" s="604"/>
      <c r="B206" s="604"/>
      <c r="C206" s="609"/>
      <c r="D206" s="604"/>
      <c r="E206" s="604"/>
      <c r="F206" s="604"/>
      <c r="G206" s="604"/>
      <c r="H206" s="604"/>
      <c r="I206" s="604"/>
      <c r="J206" s="604"/>
      <c r="K206" s="604"/>
      <c r="L206" s="604"/>
      <c r="M206" s="604"/>
      <c r="N206" s="604"/>
      <c r="O206" s="604"/>
      <c r="P206" s="604"/>
      <c r="Q206" s="604"/>
      <c r="R206" s="604"/>
      <c r="S206" s="604"/>
      <c r="T206" s="604"/>
      <c r="U206" s="604"/>
      <c r="V206" s="604"/>
      <c r="W206" s="604"/>
      <c r="X206" s="604"/>
    </row>
    <row r="207" spans="1:24" ht="15.6">
      <c r="A207" s="604"/>
      <c r="B207" s="604"/>
      <c r="C207" s="609"/>
      <c r="D207" s="604"/>
      <c r="E207" s="604"/>
      <c r="F207" s="604"/>
      <c r="G207" s="604"/>
      <c r="H207" s="604"/>
      <c r="I207" s="604"/>
      <c r="J207" s="604"/>
      <c r="K207" s="604"/>
      <c r="L207" s="604"/>
      <c r="M207" s="604"/>
      <c r="N207" s="604"/>
      <c r="O207" s="604"/>
      <c r="P207" s="604"/>
      <c r="Q207" s="604"/>
      <c r="R207" s="604"/>
      <c r="S207" s="604"/>
      <c r="T207" s="604"/>
      <c r="U207" s="604"/>
      <c r="V207" s="604"/>
      <c r="W207" s="604"/>
      <c r="X207" s="604"/>
    </row>
    <row r="208" spans="1:24" ht="15.6">
      <c r="A208" s="604"/>
      <c r="B208" s="604"/>
      <c r="C208" s="609"/>
      <c r="D208" s="604"/>
      <c r="E208" s="604"/>
      <c r="F208" s="604"/>
      <c r="G208" s="604"/>
      <c r="H208" s="604"/>
      <c r="I208" s="604"/>
      <c r="J208" s="604"/>
      <c r="K208" s="604"/>
      <c r="L208" s="604"/>
      <c r="M208" s="604"/>
      <c r="N208" s="604"/>
      <c r="O208" s="604"/>
      <c r="P208" s="604"/>
      <c r="Q208" s="604"/>
      <c r="R208" s="604"/>
      <c r="S208" s="604"/>
      <c r="T208" s="604"/>
      <c r="U208" s="604"/>
      <c r="V208" s="604"/>
      <c r="W208" s="604"/>
      <c r="X208" s="604"/>
    </row>
    <row r="209" spans="1:24" ht="15.6">
      <c r="A209" s="604"/>
      <c r="B209" s="604"/>
      <c r="C209" s="609"/>
      <c r="D209" s="604"/>
      <c r="E209" s="604"/>
      <c r="F209" s="604"/>
      <c r="G209" s="604"/>
      <c r="H209" s="604"/>
      <c r="I209" s="604"/>
      <c r="J209" s="604"/>
      <c r="K209" s="604"/>
      <c r="L209" s="604"/>
      <c r="M209" s="604"/>
      <c r="N209" s="604"/>
      <c r="O209" s="604"/>
      <c r="P209" s="604"/>
      <c r="Q209" s="604"/>
      <c r="R209" s="604"/>
      <c r="S209" s="604"/>
      <c r="T209" s="604"/>
      <c r="U209" s="604"/>
      <c r="V209" s="604"/>
      <c r="W209" s="604"/>
      <c r="X209" s="604"/>
    </row>
    <row r="210" spans="1:24" ht="15.6">
      <c r="A210" s="604"/>
      <c r="B210" s="604"/>
      <c r="C210" s="609"/>
      <c r="D210" s="604"/>
      <c r="E210" s="604"/>
      <c r="F210" s="604"/>
      <c r="G210" s="604"/>
      <c r="H210" s="604"/>
      <c r="I210" s="604"/>
      <c r="J210" s="604"/>
      <c r="K210" s="604"/>
      <c r="L210" s="604"/>
      <c r="M210" s="604"/>
      <c r="N210" s="604"/>
      <c r="O210" s="604"/>
      <c r="P210" s="604"/>
      <c r="Q210" s="604"/>
      <c r="R210" s="604"/>
      <c r="S210" s="604"/>
      <c r="T210" s="604"/>
      <c r="U210" s="604"/>
      <c r="V210" s="604"/>
      <c r="W210" s="604"/>
      <c r="X210" s="604"/>
    </row>
    <row r="211" spans="1:24" ht="15.6">
      <c r="A211" s="604"/>
      <c r="B211" s="604"/>
      <c r="C211" s="609"/>
      <c r="D211" s="604"/>
      <c r="E211" s="604"/>
      <c r="F211" s="604"/>
      <c r="G211" s="604"/>
      <c r="H211" s="604"/>
      <c r="I211" s="604"/>
      <c r="J211" s="604"/>
      <c r="K211" s="604"/>
      <c r="L211" s="604"/>
      <c r="M211" s="604"/>
      <c r="N211" s="604"/>
      <c r="O211" s="604"/>
      <c r="P211" s="604"/>
      <c r="Q211" s="604"/>
      <c r="R211" s="604"/>
      <c r="S211" s="604"/>
      <c r="T211" s="604"/>
      <c r="U211" s="604"/>
      <c r="V211" s="604"/>
      <c r="W211" s="604"/>
      <c r="X211" s="604"/>
    </row>
    <row r="212" spans="1:24" ht="15.6">
      <c r="A212" s="604"/>
      <c r="B212" s="604"/>
      <c r="C212" s="609"/>
      <c r="D212" s="604"/>
      <c r="E212" s="604"/>
      <c r="F212" s="604"/>
      <c r="G212" s="604"/>
      <c r="H212" s="604"/>
      <c r="I212" s="604"/>
      <c r="J212" s="604"/>
      <c r="K212" s="604"/>
      <c r="L212" s="604"/>
      <c r="M212" s="604"/>
      <c r="N212" s="604"/>
      <c r="O212" s="604"/>
      <c r="P212" s="604"/>
      <c r="Q212" s="604"/>
      <c r="R212" s="604"/>
      <c r="S212" s="604"/>
      <c r="T212" s="604"/>
      <c r="U212" s="604"/>
      <c r="V212" s="604"/>
      <c r="W212" s="604"/>
      <c r="X212" s="604"/>
    </row>
    <row r="213" spans="1:24" ht="15.6">
      <c r="A213" s="604"/>
      <c r="B213" s="604"/>
      <c r="C213" s="609"/>
      <c r="D213" s="604"/>
      <c r="E213" s="604"/>
      <c r="F213" s="604"/>
      <c r="G213" s="604"/>
      <c r="H213" s="604"/>
      <c r="I213" s="604"/>
      <c r="J213" s="604"/>
      <c r="K213" s="604"/>
      <c r="L213" s="604"/>
      <c r="M213" s="604"/>
      <c r="N213" s="604"/>
      <c r="O213" s="604"/>
      <c r="P213" s="604"/>
      <c r="Q213" s="604"/>
      <c r="R213" s="604"/>
      <c r="S213" s="604"/>
      <c r="T213" s="604"/>
      <c r="U213" s="604"/>
      <c r="V213" s="604"/>
      <c r="W213" s="604"/>
      <c r="X213" s="604"/>
    </row>
    <row r="214" spans="1:24" ht="15.6">
      <c r="A214" s="604"/>
      <c r="B214" s="604"/>
      <c r="C214" s="609"/>
      <c r="D214" s="604"/>
      <c r="E214" s="604"/>
      <c r="F214" s="604"/>
      <c r="G214" s="604"/>
      <c r="H214" s="604"/>
      <c r="I214" s="604"/>
      <c r="J214" s="604"/>
      <c r="K214" s="604"/>
      <c r="L214" s="604"/>
      <c r="M214" s="604"/>
      <c r="N214" s="604"/>
      <c r="O214" s="604"/>
      <c r="P214" s="604"/>
      <c r="Q214" s="604"/>
      <c r="R214" s="604"/>
      <c r="S214" s="604"/>
      <c r="T214" s="604"/>
      <c r="U214" s="604"/>
      <c r="V214" s="604"/>
      <c r="W214" s="604"/>
      <c r="X214" s="604"/>
    </row>
    <row r="215" spans="1:24" ht="15.6">
      <c r="A215" s="604"/>
      <c r="B215" s="604"/>
      <c r="C215" s="609"/>
      <c r="D215" s="604"/>
      <c r="E215" s="604"/>
      <c r="F215" s="604"/>
      <c r="G215" s="604"/>
      <c r="H215" s="604"/>
      <c r="I215" s="604"/>
      <c r="J215" s="604"/>
      <c r="K215" s="604"/>
      <c r="L215" s="604"/>
      <c r="M215" s="604"/>
      <c r="N215" s="604"/>
      <c r="O215" s="604"/>
      <c r="P215" s="604"/>
      <c r="Q215" s="604"/>
      <c r="R215" s="604"/>
      <c r="S215" s="604"/>
      <c r="T215" s="604"/>
      <c r="U215" s="604"/>
      <c r="V215" s="604"/>
      <c r="W215" s="604"/>
      <c r="X215" s="604"/>
    </row>
    <row r="216" spans="1:24" ht="15.6">
      <c r="A216" s="604"/>
      <c r="B216" s="604"/>
      <c r="C216" s="609"/>
      <c r="D216" s="604"/>
      <c r="E216" s="604"/>
      <c r="F216" s="604"/>
      <c r="G216" s="604"/>
      <c r="H216" s="604"/>
      <c r="I216" s="604"/>
      <c r="J216" s="604"/>
      <c r="K216" s="604"/>
      <c r="L216" s="604"/>
      <c r="M216" s="604"/>
      <c r="N216" s="604"/>
      <c r="O216" s="604"/>
      <c r="P216" s="604"/>
      <c r="Q216" s="604"/>
      <c r="R216" s="604"/>
      <c r="S216" s="604"/>
      <c r="T216" s="604"/>
      <c r="U216" s="604"/>
      <c r="V216" s="604"/>
      <c r="W216" s="604"/>
      <c r="X216" s="604"/>
    </row>
    <row r="217" spans="1:24" ht="15.6">
      <c r="A217" s="604"/>
      <c r="B217" s="604"/>
      <c r="C217" s="609"/>
      <c r="D217" s="604"/>
      <c r="E217" s="604"/>
      <c r="F217" s="604"/>
      <c r="G217" s="604"/>
      <c r="H217" s="604"/>
      <c r="I217" s="604"/>
      <c r="J217" s="604"/>
      <c r="K217" s="604"/>
      <c r="L217" s="604"/>
      <c r="M217" s="604"/>
      <c r="N217" s="604"/>
      <c r="O217" s="604"/>
      <c r="P217" s="604"/>
      <c r="Q217" s="604"/>
      <c r="R217" s="604"/>
      <c r="S217" s="604"/>
      <c r="T217" s="604"/>
      <c r="U217" s="604"/>
      <c r="V217" s="604"/>
      <c r="W217" s="604"/>
      <c r="X217" s="604"/>
    </row>
    <row r="218" spans="1:24" ht="15.6">
      <c r="A218" s="604"/>
      <c r="B218" s="604"/>
      <c r="C218" s="609"/>
      <c r="D218" s="604"/>
      <c r="E218" s="604"/>
      <c r="F218" s="604"/>
      <c r="G218" s="604"/>
      <c r="H218" s="604"/>
      <c r="I218" s="604"/>
      <c r="J218" s="604"/>
      <c r="K218" s="604"/>
      <c r="L218" s="604"/>
      <c r="M218" s="604"/>
      <c r="N218" s="604"/>
      <c r="O218" s="604"/>
      <c r="P218" s="604"/>
      <c r="Q218" s="604"/>
      <c r="R218" s="604"/>
      <c r="S218" s="604"/>
      <c r="T218" s="604"/>
      <c r="U218" s="604"/>
      <c r="V218" s="604"/>
      <c r="W218" s="604"/>
      <c r="X218" s="604"/>
    </row>
    <row r="219" spans="1:24" ht="15.6">
      <c r="A219" s="604"/>
      <c r="B219" s="604"/>
      <c r="C219" s="609"/>
      <c r="D219" s="604"/>
      <c r="E219" s="604"/>
      <c r="F219" s="604"/>
      <c r="G219" s="604"/>
      <c r="H219" s="604"/>
      <c r="I219" s="604"/>
      <c r="J219" s="604"/>
      <c r="K219" s="604"/>
      <c r="L219" s="604"/>
      <c r="M219" s="604"/>
      <c r="N219" s="604"/>
      <c r="O219" s="604"/>
      <c r="P219" s="604"/>
      <c r="Q219" s="604"/>
      <c r="R219" s="604"/>
      <c r="S219" s="604"/>
      <c r="T219" s="604"/>
      <c r="U219" s="604"/>
      <c r="V219" s="604"/>
      <c r="W219" s="604"/>
      <c r="X219" s="604"/>
    </row>
    <row r="220" spans="1:24" ht="15.6">
      <c r="A220" s="604"/>
      <c r="B220" s="604"/>
      <c r="C220" s="609"/>
      <c r="D220" s="604"/>
      <c r="E220" s="604"/>
      <c r="F220" s="604"/>
      <c r="G220" s="604"/>
      <c r="H220" s="604"/>
      <c r="I220" s="604"/>
      <c r="J220" s="604"/>
      <c r="K220" s="604"/>
      <c r="L220" s="604"/>
      <c r="M220" s="604"/>
      <c r="N220" s="604"/>
      <c r="O220" s="604"/>
      <c r="P220" s="604"/>
      <c r="Q220" s="604"/>
      <c r="R220" s="604"/>
      <c r="S220" s="604"/>
      <c r="T220" s="604"/>
      <c r="U220" s="604"/>
      <c r="V220" s="604"/>
      <c r="W220" s="604"/>
      <c r="X220" s="604"/>
    </row>
    <row r="221" spans="1:24" ht="15.6">
      <c r="A221" s="604"/>
      <c r="B221" s="604"/>
      <c r="C221" s="609"/>
      <c r="D221" s="604"/>
      <c r="E221" s="604"/>
      <c r="F221" s="604"/>
      <c r="G221" s="604"/>
      <c r="H221" s="604"/>
      <c r="I221" s="604"/>
      <c r="J221" s="604"/>
      <c r="K221" s="604"/>
      <c r="L221" s="604"/>
      <c r="M221" s="604"/>
      <c r="N221" s="604"/>
      <c r="O221" s="604"/>
      <c r="P221" s="604"/>
      <c r="Q221" s="604"/>
      <c r="R221" s="604"/>
      <c r="S221" s="604"/>
      <c r="T221" s="604"/>
      <c r="U221" s="604"/>
      <c r="V221" s="604"/>
      <c r="W221" s="604"/>
      <c r="X221" s="604"/>
    </row>
    <row r="222" spans="1:24" ht="15.6">
      <c r="A222" s="604"/>
      <c r="B222" s="604"/>
      <c r="C222" s="609"/>
      <c r="D222" s="604"/>
      <c r="E222" s="604"/>
      <c r="F222" s="604"/>
      <c r="G222" s="604"/>
      <c r="H222" s="604"/>
      <c r="I222" s="604"/>
      <c r="J222" s="604"/>
      <c r="K222" s="604"/>
      <c r="L222" s="604"/>
      <c r="M222" s="604"/>
      <c r="N222" s="604"/>
      <c r="O222" s="604"/>
      <c r="P222" s="604"/>
      <c r="Q222" s="604"/>
      <c r="R222" s="604"/>
      <c r="S222" s="604"/>
      <c r="T222" s="604"/>
      <c r="U222" s="604"/>
      <c r="V222" s="604"/>
      <c r="W222" s="604"/>
      <c r="X222" s="604"/>
    </row>
    <row r="223" spans="1:24" ht="15.6">
      <c r="A223" s="604"/>
      <c r="B223" s="604"/>
      <c r="C223" s="609"/>
      <c r="D223" s="604"/>
      <c r="E223" s="604"/>
      <c r="F223" s="604"/>
      <c r="G223" s="604"/>
      <c r="H223" s="604"/>
      <c r="I223" s="604"/>
      <c r="J223" s="604"/>
      <c r="K223" s="604"/>
      <c r="L223" s="604"/>
      <c r="M223" s="604"/>
      <c r="N223" s="604"/>
      <c r="O223" s="604"/>
      <c r="P223" s="604"/>
      <c r="Q223" s="604"/>
      <c r="R223" s="604"/>
      <c r="S223" s="604"/>
      <c r="T223" s="604"/>
      <c r="U223" s="604"/>
      <c r="V223" s="604"/>
      <c r="W223" s="604"/>
      <c r="X223" s="604"/>
    </row>
    <row r="224" spans="1:24" ht="15.6">
      <c r="A224" s="604"/>
      <c r="B224" s="604"/>
      <c r="C224" s="609"/>
      <c r="D224" s="604"/>
      <c r="E224" s="604"/>
      <c r="F224" s="604"/>
      <c r="G224" s="604"/>
      <c r="H224" s="604"/>
      <c r="I224" s="604"/>
      <c r="J224" s="604"/>
      <c r="K224" s="604"/>
      <c r="L224" s="604"/>
      <c r="M224" s="604"/>
      <c r="N224" s="604"/>
      <c r="O224" s="604"/>
      <c r="P224" s="604"/>
      <c r="Q224" s="604"/>
      <c r="R224" s="604"/>
      <c r="S224" s="604"/>
      <c r="T224" s="604"/>
      <c r="U224" s="604"/>
      <c r="V224" s="604"/>
      <c r="W224" s="604"/>
      <c r="X224" s="604"/>
    </row>
    <row r="225" spans="1:24" ht="15.6">
      <c r="A225" s="604"/>
      <c r="B225" s="604"/>
      <c r="C225" s="609"/>
      <c r="D225" s="604"/>
      <c r="E225" s="604"/>
      <c r="F225" s="604"/>
      <c r="G225" s="604"/>
      <c r="H225" s="604"/>
      <c r="I225" s="604"/>
      <c r="J225" s="604"/>
      <c r="K225" s="604"/>
      <c r="L225" s="604"/>
      <c r="M225" s="604"/>
      <c r="N225" s="604"/>
      <c r="O225" s="604"/>
      <c r="P225" s="604"/>
      <c r="Q225" s="604"/>
      <c r="R225" s="604"/>
      <c r="S225" s="604"/>
      <c r="T225" s="604"/>
      <c r="U225" s="604"/>
      <c r="V225" s="604"/>
      <c r="W225" s="604"/>
      <c r="X225" s="604"/>
    </row>
    <row r="226" spans="1:24" ht="15.6">
      <c r="A226" s="604"/>
      <c r="B226" s="604"/>
      <c r="C226" s="609"/>
      <c r="D226" s="604"/>
      <c r="E226" s="604"/>
      <c r="F226" s="604"/>
      <c r="G226" s="604"/>
      <c r="H226" s="604"/>
      <c r="I226" s="604"/>
      <c r="J226" s="604"/>
      <c r="K226" s="604"/>
      <c r="L226" s="604"/>
      <c r="M226" s="604"/>
      <c r="N226" s="604"/>
      <c r="O226" s="604"/>
      <c r="P226" s="604"/>
      <c r="Q226" s="604"/>
      <c r="R226" s="604"/>
      <c r="S226" s="604"/>
      <c r="T226" s="604"/>
      <c r="U226" s="604"/>
      <c r="V226" s="604"/>
      <c r="W226" s="604"/>
      <c r="X226" s="604"/>
    </row>
    <row r="227" spans="1:24" ht="15.6">
      <c r="A227" s="604"/>
      <c r="B227" s="604"/>
      <c r="C227" s="609"/>
      <c r="D227" s="604"/>
      <c r="E227" s="604"/>
      <c r="F227" s="604"/>
      <c r="G227" s="604"/>
      <c r="H227" s="604"/>
      <c r="I227" s="604"/>
      <c r="J227" s="604"/>
      <c r="K227" s="604"/>
      <c r="L227" s="604"/>
      <c r="M227" s="604"/>
      <c r="N227" s="604"/>
      <c r="O227" s="604"/>
      <c r="P227" s="604"/>
      <c r="Q227" s="604"/>
      <c r="R227" s="604"/>
      <c r="S227" s="604"/>
      <c r="T227" s="604"/>
      <c r="U227" s="604"/>
      <c r="V227" s="604"/>
      <c r="W227" s="604"/>
      <c r="X227" s="604"/>
    </row>
    <row r="228" spans="1:24" ht="15.6">
      <c r="A228" s="604"/>
      <c r="B228" s="604"/>
      <c r="C228" s="609"/>
      <c r="D228" s="604"/>
      <c r="E228" s="604"/>
      <c r="F228" s="604"/>
      <c r="G228" s="604"/>
      <c r="H228" s="604"/>
      <c r="I228" s="604"/>
      <c r="J228" s="604"/>
      <c r="K228" s="604"/>
      <c r="L228" s="604"/>
      <c r="M228" s="604"/>
      <c r="N228" s="604"/>
      <c r="O228" s="604"/>
      <c r="P228" s="604"/>
      <c r="Q228" s="604"/>
      <c r="R228" s="604"/>
      <c r="S228" s="604"/>
      <c r="T228" s="604"/>
      <c r="U228" s="604"/>
      <c r="V228" s="604"/>
      <c r="W228" s="604"/>
      <c r="X228" s="604"/>
    </row>
    <row r="229" spans="1:24" ht="15.6">
      <c r="A229" s="604"/>
      <c r="B229" s="604"/>
      <c r="C229" s="609"/>
      <c r="D229" s="604"/>
      <c r="E229" s="604"/>
      <c r="F229" s="604"/>
      <c r="G229" s="604"/>
      <c r="H229" s="604"/>
      <c r="I229" s="604"/>
      <c r="J229" s="604"/>
      <c r="K229" s="604"/>
      <c r="L229" s="604"/>
      <c r="M229" s="604"/>
      <c r="N229" s="604"/>
      <c r="O229" s="604"/>
      <c r="P229" s="604"/>
      <c r="Q229" s="604"/>
      <c r="R229" s="604"/>
      <c r="S229" s="604"/>
      <c r="T229" s="604"/>
      <c r="U229" s="604"/>
      <c r="V229" s="604"/>
      <c r="W229" s="604"/>
      <c r="X229" s="604"/>
    </row>
    <row r="230" spans="1:24" ht="15.6">
      <c r="A230" s="604"/>
      <c r="B230" s="604"/>
      <c r="C230" s="609"/>
      <c r="D230" s="604"/>
      <c r="E230" s="604"/>
      <c r="F230" s="604"/>
      <c r="G230" s="604"/>
      <c r="H230" s="604"/>
      <c r="I230" s="604"/>
      <c r="J230" s="604"/>
      <c r="K230" s="604"/>
      <c r="L230" s="604"/>
      <c r="M230" s="604"/>
      <c r="N230" s="604"/>
      <c r="O230" s="604"/>
      <c r="P230" s="604"/>
      <c r="Q230" s="604"/>
      <c r="R230" s="604"/>
      <c r="S230" s="604"/>
      <c r="T230" s="604"/>
      <c r="U230" s="604"/>
      <c r="V230" s="604"/>
      <c r="W230" s="604"/>
      <c r="X230" s="604"/>
    </row>
    <row r="231" spans="1:24" ht="15.6">
      <c r="A231" s="604"/>
      <c r="B231" s="604"/>
      <c r="C231" s="609"/>
      <c r="D231" s="604"/>
      <c r="E231" s="604"/>
      <c r="F231" s="604"/>
      <c r="G231" s="604"/>
      <c r="H231" s="604"/>
      <c r="I231" s="604"/>
      <c r="J231" s="604"/>
      <c r="K231" s="604"/>
      <c r="L231" s="604"/>
      <c r="M231" s="604"/>
      <c r="N231" s="604"/>
      <c r="O231" s="604"/>
      <c r="P231" s="604"/>
      <c r="Q231" s="604"/>
      <c r="R231" s="604"/>
      <c r="S231" s="604"/>
      <c r="T231" s="604"/>
      <c r="U231" s="604"/>
      <c r="V231" s="604"/>
      <c r="W231" s="604"/>
      <c r="X231" s="604"/>
    </row>
    <row r="232" spans="1:24" ht="15.6">
      <c r="A232" s="604"/>
      <c r="B232" s="604"/>
      <c r="C232" s="609"/>
      <c r="D232" s="604"/>
      <c r="E232" s="604"/>
      <c r="F232" s="604"/>
      <c r="G232" s="604"/>
      <c r="H232" s="604"/>
      <c r="I232" s="604"/>
      <c r="J232" s="604"/>
      <c r="K232" s="604"/>
      <c r="L232" s="604"/>
      <c r="M232" s="604"/>
      <c r="N232" s="604"/>
      <c r="O232" s="604"/>
      <c r="P232" s="604"/>
      <c r="Q232" s="604"/>
      <c r="R232" s="604"/>
      <c r="S232" s="604"/>
      <c r="T232" s="604"/>
      <c r="U232" s="604"/>
      <c r="V232" s="604"/>
      <c r="W232" s="604"/>
      <c r="X232" s="604"/>
    </row>
    <row r="233" spans="1:24" ht="15.6">
      <c r="A233" s="604"/>
      <c r="B233" s="604"/>
      <c r="C233" s="609"/>
      <c r="D233" s="604"/>
      <c r="E233" s="604"/>
      <c r="F233" s="604"/>
      <c r="G233" s="604"/>
      <c r="H233" s="604"/>
      <c r="I233" s="604"/>
      <c r="J233" s="604"/>
      <c r="K233" s="604"/>
      <c r="L233" s="604"/>
      <c r="M233" s="604"/>
      <c r="N233" s="604"/>
      <c r="O233" s="604"/>
      <c r="P233" s="604"/>
      <c r="Q233" s="604"/>
      <c r="R233" s="604"/>
      <c r="S233" s="604"/>
      <c r="T233" s="604"/>
      <c r="U233" s="604"/>
      <c r="V233" s="604"/>
      <c r="W233" s="604"/>
      <c r="X233" s="604"/>
    </row>
    <row r="234" spans="1:24" ht="15.6">
      <c r="A234" s="604"/>
      <c r="B234" s="604"/>
      <c r="C234" s="609"/>
      <c r="D234" s="604"/>
      <c r="E234" s="604"/>
      <c r="F234" s="604"/>
      <c r="G234" s="604"/>
      <c r="H234" s="604"/>
      <c r="I234" s="604"/>
      <c r="J234" s="604"/>
      <c r="K234" s="604"/>
      <c r="L234" s="604"/>
      <c r="M234" s="604"/>
      <c r="N234" s="604"/>
      <c r="O234" s="604"/>
      <c r="P234" s="604"/>
      <c r="Q234" s="604"/>
      <c r="R234" s="604"/>
      <c r="S234" s="604"/>
      <c r="T234" s="604"/>
      <c r="U234" s="604"/>
      <c r="V234" s="604"/>
      <c r="W234" s="604"/>
      <c r="X234" s="604"/>
    </row>
    <row r="235" spans="1:24" ht="15.6">
      <c r="A235" s="604"/>
      <c r="B235" s="604"/>
      <c r="C235" s="609"/>
      <c r="D235" s="604"/>
      <c r="E235" s="604"/>
      <c r="F235" s="604"/>
      <c r="G235" s="604"/>
      <c r="H235" s="604"/>
      <c r="I235" s="604"/>
      <c r="J235" s="604"/>
      <c r="K235" s="604"/>
      <c r="L235" s="604"/>
      <c r="M235" s="604"/>
      <c r="N235" s="604"/>
      <c r="O235" s="604"/>
      <c r="P235" s="604"/>
      <c r="Q235" s="604"/>
      <c r="R235" s="604"/>
      <c r="S235" s="604"/>
      <c r="T235" s="604"/>
      <c r="U235" s="604"/>
      <c r="V235" s="604"/>
      <c r="W235" s="604"/>
      <c r="X235" s="604"/>
    </row>
    <row r="236" spans="1:24" ht="15.6">
      <c r="A236" s="604"/>
      <c r="B236" s="604"/>
      <c r="C236" s="609"/>
      <c r="D236" s="604"/>
      <c r="E236" s="604"/>
      <c r="F236" s="604"/>
      <c r="G236" s="604"/>
      <c r="H236" s="604"/>
      <c r="I236" s="604"/>
      <c r="J236" s="604"/>
      <c r="K236" s="604"/>
      <c r="L236" s="604"/>
      <c r="M236" s="604"/>
      <c r="N236" s="604"/>
      <c r="O236" s="604"/>
      <c r="P236" s="604"/>
      <c r="Q236" s="604"/>
      <c r="R236" s="604"/>
      <c r="S236" s="604"/>
      <c r="T236" s="604"/>
      <c r="U236" s="604"/>
      <c r="V236" s="604"/>
      <c r="W236" s="604"/>
      <c r="X236" s="604"/>
    </row>
    <row r="237" spans="1:24" ht="15.6">
      <c r="A237" s="604"/>
      <c r="B237" s="604"/>
      <c r="C237" s="609"/>
      <c r="D237" s="604"/>
      <c r="E237" s="604"/>
      <c r="F237" s="604"/>
      <c r="G237" s="604"/>
      <c r="H237" s="604"/>
      <c r="I237" s="604"/>
      <c r="J237" s="604"/>
      <c r="K237" s="604"/>
      <c r="L237" s="604"/>
      <c r="M237" s="604"/>
      <c r="N237" s="604"/>
      <c r="O237" s="604"/>
      <c r="P237" s="604"/>
      <c r="Q237" s="604"/>
      <c r="R237" s="604"/>
      <c r="S237" s="604"/>
      <c r="T237" s="604"/>
      <c r="U237" s="604"/>
      <c r="V237" s="604"/>
      <c r="W237" s="604"/>
      <c r="X237" s="604"/>
    </row>
    <row r="238" spans="1:24" ht="15.6">
      <c r="A238" s="604"/>
      <c r="B238" s="604"/>
      <c r="C238" s="609"/>
      <c r="D238" s="604"/>
      <c r="E238" s="604"/>
      <c r="F238" s="604"/>
      <c r="G238" s="604"/>
      <c r="H238" s="604"/>
      <c r="I238" s="604"/>
      <c r="J238" s="604"/>
      <c r="K238" s="604"/>
      <c r="L238" s="604"/>
      <c r="M238" s="604"/>
      <c r="N238" s="604"/>
      <c r="O238" s="604"/>
      <c r="P238" s="604"/>
      <c r="Q238" s="604"/>
      <c r="R238" s="604"/>
      <c r="S238" s="604"/>
      <c r="T238" s="604"/>
      <c r="U238" s="604"/>
      <c r="V238" s="604"/>
      <c r="W238" s="604"/>
      <c r="X238" s="604"/>
    </row>
    <row r="239" spans="1:24" ht="15.6">
      <c r="A239" s="604"/>
      <c r="B239" s="604"/>
      <c r="C239" s="609"/>
      <c r="D239" s="604"/>
      <c r="E239" s="604"/>
      <c r="F239" s="604"/>
      <c r="G239" s="604"/>
      <c r="H239" s="604"/>
      <c r="I239" s="604"/>
      <c r="J239" s="604"/>
      <c r="K239" s="604"/>
      <c r="L239" s="604"/>
      <c r="M239" s="604"/>
      <c r="N239" s="604"/>
      <c r="O239" s="604"/>
      <c r="P239" s="604"/>
      <c r="Q239" s="604"/>
      <c r="R239" s="604"/>
      <c r="S239" s="604"/>
      <c r="T239" s="604"/>
      <c r="U239" s="604"/>
      <c r="V239" s="604"/>
      <c r="W239" s="604"/>
      <c r="X239" s="604"/>
    </row>
    <row r="240" spans="1:24" ht="15.6">
      <c r="A240" s="604"/>
      <c r="B240" s="604"/>
      <c r="C240" s="609"/>
      <c r="D240" s="604"/>
      <c r="E240" s="604"/>
      <c r="F240" s="604"/>
      <c r="G240" s="604"/>
      <c r="H240" s="604"/>
      <c r="I240" s="604"/>
      <c r="J240" s="604"/>
      <c r="K240" s="604"/>
      <c r="L240" s="604"/>
      <c r="M240" s="604"/>
      <c r="N240" s="604"/>
      <c r="O240" s="604"/>
      <c r="P240" s="604"/>
      <c r="Q240" s="604"/>
      <c r="R240" s="604"/>
      <c r="S240" s="604"/>
      <c r="T240" s="604"/>
      <c r="U240" s="604"/>
      <c r="V240" s="604"/>
      <c r="W240" s="604"/>
      <c r="X240" s="604"/>
    </row>
    <row r="241" spans="1:24" ht="15.6">
      <c r="A241" s="604"/>
      <c r="B241" s="604"/>
      <c r="C241" s="609"/>
      <c r="D241" s="604"/>
      <c r="E241" s="604"/>
      <c r="F241" s="604"/>
      <c r="G241" s="604"/>
      <c r="H241" s="604"/>
      <c r="I241" s="604"/>
      <c r="J241" s="604"/>
      <c r="K241" s="604"/>
      <c r="L241" s="604"/>
      <c r="M241" s="604"/>
      <c r="N241" s="604"/>
      <c r="O241" s="604"/>
      <c r="P241" s="604"/>
      <c r="Q241" s="604"/>
      <c r="R241" s="604"/>
      <c r="S241" s="604"/>
      <c r="T241" s="604"/>
      <c r="U241" s="604"/>
      <c r="V241" s="604"/>
      <c r="W241" s="604"/>
      <c r="X241" s="604"/>
    </row>
    <row r="242" spans="1:24" ht="15.6">
      <c r="A242" s="604"/>
      <c r="B242" s="604"/>
      <c r="C242" s="609"/>
      <c r="D242" s="604"/>
      <c r="E242" s="604"/>
      <c r="F242" s="604"/>
      <c r="G242" s="604"/>
      <c r="H242" s="604"/>
      <c r="I242" s="604"/>
      <c r="J242" s="604"/>
      <c r="K242" s="604"/>
      <c r="L242" s="604"/>
      <c r="M242" s="604"/>
      <c r="N242" s="604"/>
      <c r="O242" s="604"/>
      <c r="P242" s="604"/>
      <c r="Q242" s="604"/>
      <c r="R242" s="604"/>
      <c r="S242" s="604"/>
      <c r="T242" s="604"/>
      <c r="U242" s="604"/>
      <c r="V242" s="604"/>
      <c r="W242" s="604"/>
      <c r="X242" s="604"/>
    </row>
    <row r="243" spans="1:24" ht="15.6">
      <c r="A243" s="604"/>
      <c r="B243" s="604"/>
      <c r="C243" s="609"/>
      <c r="D243" s="604"/>
      <c r="E243" s="604"/>
      <c r="F243" s="604"/>
      <c r="G243" s="604"/>
      <c r="H243" s="604"/>
      <c r="I243" s="604"/>
      <c r="J243" s="604"/>
      <c r="K243" s="604"/>
      <c r="L243" s="604"/>
      <c r="M243" s="604"/>
      <c r="N243" s="604"/>
      <c r="O243" s="604"/>
      <c r="P243" s="604"/>
      <c r="Q243" s="604"/>
      <c r="R243" s="604"/>
      <c r="S243" s="604"/>
      <c r="T243" s="604"/>
      <c r="U243" s="604"/>
      <c r="V243" s="604"/>
      <c r="W243" s="604"/>
      <c r="X243" s="604"/>
    </row>
    <row r="244" spans="1:24" ht="15.6">
      <c r="A244" s="604"/>
      <c r="B244" s="604"/>
      <c r="C244" s="609"/>
      <c r="D244" s="604"/>
      <c r="E244" s="604"/>
      <c r="F244" s="604"/>
      <c r="G244" s="604"/>
      <c r="H244" s="604"/>
      <c r="I244" s="604"/>
      <c r="J244" s="604"/>
      <c r="K244" s="604"/>
      <c r="L244" s="604"/>
      <c r="M244" s="604"/>
      <c r="N244" s="604"/>
      <c r="O244" s="604"/>
      <c r="P244" s="604"/>
      <c r="Q244" s="604"/>
      <c r="R244" s="604"/>
      <c r="S244" s="604"/>
      <c r="T244" s="604"/>
      <c r="U244" s="604"/>
      <c r="V244" s="604"/>
      <c r="W244" s="604"/>
      <c r="X244" s="604"/>
    </row>
    <row r="245" spans="1:24" ht="15.6">
      <c r="A245" s="604"/>
      <c r="B245" s="604"/>
      <c r="C245" s="609"/>
      <c r="D245" s="604"/>
      <c r="E245" s="604"/>
      <c r="F245" s="604"/>
      <c r="G245" s="604"/>
      <c r="H245" s="604"/>
      <c r="I245" s="604"/>
      <c r="J245" s="604"/>
      <c r="K245" s="604"/>
      <c r="L245" s="604"/>
      <c r="M245" s="604"/>
      <c r="N245" s="604"/>
      <c r="O245" s="604"/>
      <c r="P245" s="604"/>
      <c r="Q245" s="604"/>
      <c r="R245" s="604"/>
      <c r="S245" s="604"/>
      <c r="T245" s="604"/>
      <c r="U245" s="604"/>
      <c r="V245" s="604"/>
      <c r="W245" s="604"/>
      <c r="X245" s="604"/>
    </row>
    <row r="246" spans="1:24" ht="15.6">
      <c r="A246" s="604"/>
      <c r="B246" s="604"/>
      <c r="C246" s="609"/>
      <c r="D246" s="604"/>
      <c r="E246" s="604"/>
      <c r="F246" s="604"/>
      <c r="G246" s="604"/>
      <c r="H246" s="604"/>
      <c r="I246" s="604"/>
      <c r="J246" s="604"/>
      <c r="K246" s="604"/>
      <c r="L246" s="604"/>
      <c r="M246" s="604"/>
      <c r="N246" s="604"/>
      <c r="O246" s="604"/>
      <c r="P246" s="604"/>
      <c r="Q246" s="604"/>
      <c r="R246" s="604"/>
      <c r="S246" s="604"/>
      <c r="T246" s="604"/>
      <c r="U246" s="604"/>
      <c r="V246" s="604"/>
      <c r="W246" s="604"/>
      <c r="X246" s="604"/>
    </row>
    <row r="247" spans="1:24" ht="15.6">
      <c r="A247" s="604"/>
      <c r="B247" s="604"/>
      <c r="C247" s="609"/>
      <c r="D247" s="604"/>
      <c r="E247" s="604"/>
      <c r="F247" s="604"/>
      <c r="G247" s="604"/>
      <c r="H247" s="604"/>
      <c r="I247" s="604"/>
      <c r="J247" s="604"/>
      <c r="K247" s="604"/>
      <c r="L247" s="604"/>
      <c r="M247" s="604"/>
      <c r="N247" s="604"/>
      <c r="O247" s="604"/>
      <c r="P247" s="604"/>
      <c r="Q247" s="604"/>
      <c r="R247" s="604"/>
      <c r="S247" s="604"/>
      <c r="T247" s="604"/>
      <c r="U247" s="604"/>
      <c r="V247" s="604"/>
      <c r="W247" s="604"/>
      <c r="X247" s="604"/>
    </row>
    <row r="248" spans="1:24" ht="15.6">
      <c r="A248" s="604"/>
      <c r="B248" s="604"/>
      <c r="C248" s="609"/>
      <c r="D248" s="604"/>
      <c r="E248" s="604"/>
      <c r="F248" s="604"/>
      <c r="G248" s="604"/>
      <c r="H248" s="604"/>
      <c r="I248" s="604"/>
      <c r="J248" s="604"/>
      <c r="K248" s="604"/>
      <c r="L248" s="604"/>
      <c r="M248" s="604"/>
      <c r="N248" s="604"/>
      <c r="O248" s="604"/>
      <c r="P248" s="604"/>
      <c r="Q248" s="604"/>
      <c r="R248" s="604"/>
      <c r="S248" s="604"/>
      <c r="T248" s="604"/>
      <c r="U248" s="604"/>
      <c r="V248" s="604"/>
      <c r="W248" s="604"/>
      <c r="X248" s="604"/>
    </row>
    <row r="249" spans="1:24" ht="15.6">
      <c r="A249" s="604"/>
      <c r="B249" s="604"/>
      <c r="C249" s="609"/>
      <c r="D249" s="604"/>
      <c r="E249" s="604"/>
      <c r="F249" s="604"/>
      <c r="G249" s="604"/>
      <c r="H249" s="604"/>
      <c r="I249" s="604"/>
      <c r="J249" s="604"/>
      <c r="K249" s="604"/>
      <c r="L249" s="604"/>
      <c r="M249" s="604"/>
      <c r="N249" s="604"/>
      <c r="O249" s="604"/>
      <c r="P249" s="604"/>
      <c r="Q249" s="604"/>
      <c r="R249" s="604"/>
      <c r="S249" s="604"/>
      <c r="T249" s="604"/>
      <c r="U249" s="604"/>
      <c r="V249" s="604"/>
      <c r="W249" s="604"/>
      <c r="X249" s="604"/>
    </row>
    <row r="250" spans="1:24" ht="15.6">
      <c r="A250" s="604"/>
      <c r="B250" s="604"/>
      <c r="C250" s="609"/>
      <c r="D250" s="604"/>
      <c r="E250" s="604"/>
      <c r="F250" s="604"/>
      <c r="G250" s="604"/>
      <c r="H250" s="604"/>
      <c r="I250" s="604"/>
      <c r="J250" s="604"/>
      <c r="K250" s="604"/>
      <c r="L250" s="604"/>
      <c r="M250" s="604"/>
      <c r="N250" s="604"/>
      <c r="O250" s="604"/>
      <c r="P250" s="604"/>
      <c r="Q250" s="604"/>
      <c r="R250" s="604"/>
      <c r="S250" s="604"/>
      <c r="T250" s="604"/>
      <c r="U250" s="604"/>
      <c r="V250" s="604"/>
      <c r="W250" s="604"/>
      <c r="X250" s="604"/>
    </row>
    <row r="251" spans="1:24" ht="15.6">
      <c r="A251" s="604"/>
      <c r="B251" s="604"/>
      <c r="C251" s="609"/>
      <c r="D251" s="604"/>
      <c r="E251" s="604"/>
      <c r="F251" s="604"/>
      <c r="G251" s="604"/>
      <c r="H251" s="604"/>
      <c r="I251" s="604"/>
      <c r="J251" s="604"/>
      <c r="K251" s="604"/>
      <c r="L251" s="604"/>
      <c r="M251" s="604"/>
      <c r="N251" s="604"/>
      <c r="O251" s="604"/>
      <c r="P251" s="604"/>
      <c r="Q251" s="604"/>
      <c r="R251" s="604"/>
      <c r="S251" s="604"/>
      <c r="T251" s="604"/>
      <c r="U251" s="604"/>
      <c r="V251" s="604"/>
      <c r="W251" s="604"/>
      <c r="X251" s="604"/>
    </row>
    <row r="252" spans="1:24" ht="15.6">
      <c r="A252" s="604"/>
      <c r="B252" s="604"/>
      <c r="C252" s="609"/>
      <c r="D252" s="604"/>
      <c r="E252" s="604"/>
      <c r="F252" s="604"/>
      <c r="G252" s="604"/>
      <c r="H252" s="604"/>
      <c r="I252" s="604"/>
      <c r="J252" s="604"/>
      <c r="K252" s="604"/>
      <c r="L252" s="604"/>
      <c r="M252" s="604"/>
      <c r="N252" s="604"/>
      <c r="O252" s="604"/>
      <c r="P252" s="604"/>
      <c r="Q252" s="604"/>
      <c r="R252" s="604"/>
      <c r="S252" s="604"/>
      <c r="T252" s="604"/>
      <c r="U252" s="604"/>
      <c r="V252" s="604"/>
      <c r="W252" s="604"/>
      <c r="X252" s="604"/>
    </row>
    <row r="253" spans="1:24" ht="15.6">
      <c r="A253" s="604"/>
      <c r="B253" s="604"/>
      <c r="C253" s="609"/>
      <c r="D253" s="604"/>
      <c r="E253" s="604"/>
      <c r="F253" s="604"/>
      <c r="G253" s="604"/>
      <c r="H253" s="604"/>
      <c r="I253" s="604"/>
      <c r="J253" s="604"/>
      <c r="K253" s="604"/>
      <c r="L253" s="604"/>
      <c r="M253" s="604"/>
      <c r="N253" s="604"/>
      <c r="O253" s="604"/>
      <c r="P253" s="604"/>
      <c r="Q253" s="604"/>
      <c r="R253" s="604"/>
      <c r="S253" s="604"/>
      <c r="T253" s="604"/>
      <c r="U253" s="604"/>
      <c r="V253" s="604"/>
      <c r="W253" s="604"/>
      <c r="X253" s="604"/>
    </row>
    <row r="254" spans="1:24" ht="15.6">
      <c r="A254" s="604"/>
      <c r="B254" s="604"/>
      <c r="C254" s="609"/>
      <c r="D254" s="604"/>
      <c r="E254" s="604"/>
      <c r="F254" s="604"/>
      <c r="G254" s="604"/>
      <c r="H254" s="604"/>
      <c r="I254" s="604"/>
      <c r="J254" s="604"/>
      <c r="K254" s="604"/>
      <c r="L254" s="604"/>
      <c r="M254" s="604"/>
      <c r="N254" s="604"/>
      <c r="O254" s="604"/>
      <c r="P254" s="604"/>
      <c r="Q254" s="604"/>
      <c r="R254" s="604"/>
      <c r="S254" s="604"/>
      <c r="T254" s="604"/>
      <c r="U254" s="604"/>
      <c r="V254" s="604"/>
      <c r="W254" s="604"/>
      <c r="X254" s="604"/>
    </row>
    <row r="255" spans="1:24" ht="15.6">
      <c r="A255" s="604"/>
      <c r="B255" s="604"/>
      <c r="C255" s="609"/>
      <c r="D255" s="604"/>
      <c r="E255" s="604"/>
      <c r="F255" s="604"/>
      <c r="G255" s="604"/>
      <c r="H255" s="604"/>
      <c r="I255" s="604"/>
      <c r="J255" s="604"/>
      <c r="K255" s="604"/>
      <c r="L255" s="604"/>
      <c r="M255" s="604"/>
      <c r="N255" s="604"/>
      <c r="O255" s="604"/>
      <c r="P255" s="604"/>
      <c r="Q255" s="604"/>
      <c r="R255" s="604"/>
      <c r="S255" s="604"/>
      <c r="T255" s="604"/>
      <c r="U255" s="604"/>
      <c r="V255" s="604"/>
      <c r="W255" s="604"/>
      <c r="X255" s="604"/>
    </row>
    <row r="256" spans="1:24" ht="15.6">
      <c r="A256" s="604"/>
      <c r="B256" s="604"/>
      <c r="C256" s="609"/>
      <c r="D256" s="604"/>
      <c r="E256" s="604"/>
      <c r="F256" s="604"/>
      <c r="G256" s="604"/>
      <c r="H256" s="604"/>
      <c r="I256" s="604"/>
      <c r="J256" s="604"/>
      <c r="K256" s="604"/>
      <c r="L256" s="604"/>
      <c r="M256" s="604"/>
      <c r="N256" s="604"/>
      <c r="O256" s="604"/>
      <c r="P256" s="604"/>
      <c r="Q256" s="604"/>
      <c r="R256" s="604"/>
      <c r="S256" s="604"/>
      <c r="T256" s="604"/>
      <c r="U256" s="604"/>
      <c r="V256" s="604"/>
      <c r="W256" s="604"/>
      <c r="X256" s="604"/>
    </row>
    <row r="257" spans="1:24" ht="15.6">
      <c r="A257" s="604"/>
      <c r="B257" s="604"/>
      <c r="C257" s="609"/>
      <c r="D257" s="604"/>
      <c r="E257" s="604"/>
      <c r="F257" s="604"/>
      <c r="G257" s="604"/>
      <c r="H257" s="604"/>
      <c r="I257" s="604"/>
      <c r="J257" s="604"/>
      <c r="K257" s="604"/>
      <c r="L257" s="604"/>
      <c r="M257" s="604"/>
      <c r="N257" s="604"/>
      <c r="O257" s="604"/>
      <c r="P257" s="604"/>
      <c r="Q257" s="604"/>
      <c r="R257" s="604"/>
      <c r="S257" s="604"/>
      <c r="T257" s="604"/>
      <c r="U257" s="604"/>
      <c r="V257" s="604"/>
      <c r="W257" s="604"/>
      <c r="X257" s="604"/>
    </row>
    <row r="258" spans="1:24" ht="15.6">
      <c r="A258" s="604"/>
      <c r="B258" s="604"/>
      <c r="C258" s="609"/>
      <c r="D258" s="604"/>
      <c r="E258" s="604"/>
      <c r="F258" s="604"/>
      <c r="G258" s="604"/>
      <c r="H258" s="604"/>
      <c r="I258" s="604"/>
      <c r="J258" s="604"/>
      <c r="K258" s="604"/>
      <c r="L258" s="604"/>
      <c r="M258" s="604"/>
      <c r="N258" s="604"/>
      <c r="O258" s="604"/>
      <c r="P258" s="604"/>
      <c r="Q258" s="604"/>
      <c r="R258" s="604"/>
      <c r="S258" s="604"/>
      <c r="T258" s="604"/>
      <c r="U258" s="604"/>
      <c r="V258" s="604"/>
      <c r="W258" s="604"/>
      <c r="X258" s="604"/>
    </row>
    <row r="259" spans="1:24" ht="15.6">
      <c r="A259" s="604"/>
      <c r="B259" s="604"/>
      <c r="C259" s="609"/>
      <c r="D259" s="604"/>
      <c r="E259" s="604"/>
      <c r="F259" s="604"/>
      <c r="G259" s="604"/>
      <c r="H259" s="604"/>
      <c r="I259" s="604"/>
      <c r="J259" s="604"/>
      <c r="K259" s="604"/>
      <c r="L259" s="604"/>
      <c r="M259" s="604"/>
      <c r="N259" s="604"/>
      <c r="O259" s="604"/>
      <c r="P259" s="604"/>
      <c r="Q259" s="604"/>
      <c r="R259" s="604"/>
      <c r="S259" s="604"/>
      <c r="T259" s="604"/>
      <c r="U259" s="604"/>
      <c r="V259" s="604"/>
      <c r="W259" s="604"/>
      <c r="X259" s="604"/>
    </row>
    <row r="260" spans="1:24" ht="15.6">
      <c r="A260" s="604"/>
      <c r="B260" s="604"/>
      <c r="C260" s="609"/>
      <c r="D260" s="604"/>
      <c r="E260" s="604"/>
      <c r="F260" s="604"/>
      <c r="G260" s="604"/>
      <c r="H260" s="604"/>
      <c r="I260" s="604"/>
      <c r="J260" s="604"/>
      <c r="K260" s="604"/>
      <c r="L260" s="604"/>
      <c r="M260" s="604"/>
      <c r="N260" s="604"/>
      <c r="O260" s="604"/>
      <c r="P260" s="604"/>
      <c r="Q260" s="604"/>
      <c r="R260" s="604"/>
      <c r="S260" s="604"/>
      <c r="T260" s="604"/>
      <c r="U260" s="604"/>
      <c r="V260" s="604"/>
      <c r="W260" s="604"/>
      <c r="X260" s="604"/>
    </row>
    <row r="261" spans="1:24" ht="15.6">
      <c r="A261" s="604"/>
      <c r="B261" s="604"/>
      <c r="C261" s="609"/>
      <c r="D261" s="604"/>
      <c r="E261" s="604"/>
      <c r="F261" s="604"/>
      <c r="G261" s="604"/>
      <c r="H261" s="604"/>
      <c r="I261" s="604"/>
      <c r="J261" s="604"/>
      <c r="K261" s="604"/>
      <c r="L261" s="604"/>
      <c r="M261" s="604"/>
      <c r="N261" s="604"/>
      <c r="O261" s="604"/>
      <c r="P261" s="604"/>
      <c r="Q261" s="604"/>
      <c r="R261" s="604"/>
      <c r="S261" s="604"/>
      <c r="T261" s="604"/>
      <c r="U261" s="604"/>
      <c r="V261" s="604"/>
      <c r="W261" s="604"/>
      <c r="X261" s="604"/>
    </row>
    <row r="262" spans="1:24" ht="15.6">
      <c r="A262" s="604"/>
      <c r="B262" s="604"/>
      <c r="C262" s="609"/>
      <c r="D262" s="604"/>
      <c r="E262" s="604"/>
      <c r="F262" s="604"/>
      <c r="G262" s="604"/>
      <c r="H262" s="604"/>
      <c r="I262" s="604"/>
      <c r="J262" s="604"/>
      <c r="K262" s="604"/>
      <c r="L262" s="604"/>
      <c r="M262" s="604"/>
      <c r="N262" s="604"/>
      <c r="O262" s="604"/>
      <c r="P262" s="604"/>
      <c r="Q262" s="604"/>
      <c r="R262" s="604"/>
      <c r="S262" s="604"/>
      <c r="T262" s="604"/>
      <c r="U262" s="604"/>
      <c r="V262" s="604"/>
      <c r="W262" s="604"/>
      <c r="X262" s="604"/>
    </row>
    <row r="263" spans="1:24" ht="15.6">
      <c r="A263" s="604"/>
      <c r="B263" s="604"/>
      <c r="C263" s="609"/>
      <c r="D263" s="604"/>
      <c r="E263" s="604"/>
      <c r="F263" s="604"/>
      <c r="G263" s="604"/>
      <c r="H263" s="604"/>
      <c r="I263" s="604"/>
      <c r="J263" s="604"/>
      <c r="K263" s="604"/>
      <c r="L263" s="604"/>
      <c r="M263" s="604"/>
      <c r="N263" s="604"/>
      <c r="O263" s="604"/>
      <c r="P263" s="604"/>
      <c r="Q263" s="604"/>
      <c r="R263" s="604"/>
      <c r="S263" s="604"/>
      <c r="T263" s="604"/>
      <c r="U263" s="604"/>
      <c r="V263" s="604"/>
      <c r="W263" s="604"/>
      <c r="X263" s="604"/>
    </row>
    <row r="264" spans="1:24" ht="15.6">
      <c r="A264" s="604"/>
      <c r="B264" s="604"/>
      <c r="C264" s="609"/>
      <c r="D264" s="604"/>
      <c r="E264" s="604"/>
      <c r="F264" s="604"/>
      <c r="G264" s="604"/>
      <c r="H264" s="604"/>
      <c r="I264" s="604"/>
      <c r="J264" s="604"/>
      <c r="K264" s="604"/>
      <c r="L264" s="604"/>
      <c r="M264" s="604"/>
      <c r="N264" s="604"/>
      <c r="O264" s="604"/>
      <c r="P264" s="604"/>
      <c r="Q264" s="604"/>
      <c r="R264" s="604"/>
      <c r="S264" s="604"/>
      <c r="T264" s="604"/>
      <c r="U264" s="604"/>
      <c r="V264" s="604"/>
      <c r="W264" s="604"/>
      <c r="X264" s="604"/>
    </row>
    <row r="265" spans="1:24" ht="15.6">
      <c r="A265" s="604"/>
      <c r="B265" s="604"/>
      <c r="C265" s="609"/>
      <c r="D265" s="604"/>
      <c r="E265" s="604"/>
      <c r="F265" s="604"/>
      <c r="G265" s="604"/>
      <c r="H265" s="604"/>
      <c r="I265" s="604"/>
      <c r="J265" s="604"/>
      <c r="K265" s="604"/>
      <c r="L265" s="604"/>
      <c r="M265" s="604"/>
      <c r="N265" s="604"/>
      <c r="O265" s="604"/>
      <c r="P265" s="604"/>
      <c r="Q265" s="604"/>
      <c r="R265" s="604"/>
      <c r="S265" s="604"/>
      <c r="T265" s="604"/>
      <c r="U265" s="604"/>
      <c r="V265" s="604"/>
      <c r="W265" s="604"/>
      <c r="X265" s="604"/>
    </row>
    <row r="266" spans="1:24" ht="15.6">
      <c r="A266" s="604"/>
      <c r="B266" s="604"/>
      <c r="C266" s="609"/>
      <c r="D266" s="604"/>
      <c r="E266" s="604"/>
      <c r="F266" s="604"/>
      <c r="G266" s="604"/>
      <c r="H266" s="604"/>
      <c r="I266" s="604"/>
      <c r="J266" s="604"/>
      <c r="K266" s="604"/>
      <c r="L266" s="604"/>
      <c r="M266" s="604"/>
      <c r="N266" s="604"/>
      <c r="O266" s="604"/>
      <c r="P266" s="604"/>
      <c r="Q266" s="604"/>
      <c r="R266" s="604"/>
      <c r="S266" s="604"/>
      <c r="T266" s="604"/>
      <c r="U266" s="604"/>
      <c r="V266" s="604"/>
      <c r="W266" s="604"/>
      <c r="X266" s="604"/>
    </row>
    <row r="267" spans="1:24" ht="15.6">
      <c r="A267" s="604"/>
      <c r="B267" s="604"/>
      <c r="C267" s="609"/>
      <c r="D267" s="604"/>
      <c r="E267" s="604"/>
      <c r="F267" s="604"/>
      <c r="G267" s="604"/>
      <c r="H267" s="604"/>
      <c r="I267" s="604"/>
      <c r="J267" s="604"/>
      <c r="K267" s="604"/>
      <c r="L267" s="604"/>
      <c r="M267" s="604"/>
      <c r="N267" s="604"/>
      <c r="O267" s="604"/>
      <c r="P267" s="604"/>
      <c r="Q267" s="604"/>
      <c r="R267" s="604"/>
      <c r="S267" s="604"/>
      <c r="T267" s="604"/>
      <c r="U267" s="604"/>
      <c r="V267" s="604"/>
      <c r="W267" s="604"/>
      <c r="X267" s="604"/>
    </row>
    <row r="268" spans="1:24" ht="15.6">
      <c r="A268" s="604"/>
      <c r="B268" s="604"/>
      <c r="C268" s="609"/>
      <c r="D268" s="604"/>
      <c r="E268" s="604"/>
      <c r="F268" s="604"/>
      <c r="G268" s="604"/>
      <c r="H268" s="604"/>
      <c r="I268" s="604"/>
      <c r="J268" s="604"/>
      <c r="K268" s="604"/>
      <c r="L268" s="604"/>
      <c r="M268" s="604"/>
      <c r="N268" s="604"/>
      <c r="O268" s="604"/>
      <c r="P268" s="604"/>
      <c r="Q268" s="604"/>
      <c r="R268" s="604"/>
      <c r="S268" s="604"/>
      <c r="T268" s="604"/>
      <c r="U268" s="604"/>
      <c r="V268" s="604"/>
      <c r="W268" s="604"/>
      <c r="X268" s="604"/>
    </row>
    <row r="269" spans="1:24" ht="15.6">
      <c r="A269" s="604"/>
      <c r="B269" s="604"/>
      <c r="C269" s="609"/>
      <c r="D269" s="604"/>
      <c r="E269" s="604"/>
      <c r="F269" s="604"/>
      <c r="G269" s="604"/>
      <c r="H269" s="604"/>
      <c r="I269" s="604"/>
      <c r="J269" s="604"/>
      <c r="K269" s="604"/>
      <c r="L269" s="604"/>
      <c r="M269" s="604"/>
      <c r="N269" s="604"/>
      <c r="O269" s="604"/>
      <c r="P269" s="604"/>
      <c r="Q269" s="604"/>
      <c r="R269" s="604"/>
      <c r="S269" s="604"/>
      <c r="T269" s="604"/>
      <c r="U269" s="604"/>
      <c r="V269" s="604"/>
      <c r="W269" s="604"/>
      <c r="X269" s="604"/>
    </row>
    <row r="270" spans="1:24" ht="15.6">
      <c r="A270" s="604"/>
      <c r="B270" s="604"/>
      <c r="C270" s="609"/>
      <c r="D270" s="604"/>
      <c r="E270" s="604"/>
      <c r="F270" s="604"/>
      <c r="G270" s="604"/>
      <c r="H270" s="604"/>
      <c r="I270" s="604"/>
      <c r="J270" s="604"/>
      <c r="K270" s="604"/>
      <c r="L270" s="604"/>
      <c r="M270" s="604"/>
      <c r="N270" s="604"/>
      <c r="O270" s="604"/>
      <c r="P270" s="604"/>
      <c r="Q270" s="604"/>
      <c r="R270" s="604"/>
      <c r="S270" s="604"/>
      <c r="T270" s="604"/>
      <c r="U270" s="604"/>
      <c r="V270" s="604"/>
      <c r="W270" s="604"/>
      <c r="X270" s="604"/>
    </row>
    <row r="271" spans="1:24" ht="15.6">
      <c r="A271" s="604"/>
      <c r="B271" s="604"/>
      <c r="C271" s="609"/>
      <c r="D271" s="604"/>
      <c r="E271" s="604"/>
      <c r="F271" s="604"/>
      <c r="G271" s="604"/>
      <c r="H271" s="604"/>
      <c r="I271" s="604"/>
      <c r="J271" s="604"/>
      <c r="K271" s="604"/>
      <c r="L271" s="604"/>
      <c r="M271" s="604"/>
      <c r="N271" s="604"/>
      <c r="O271" s="604"/>
      <c r="P271" s="604"/>
      <c r="Q271" s="604"/>
      <c r="R271" s="604"/>
      <c r="S271" s="604"/>
      <c r="T271" s="604"/>
      <c r="U271" s="604"/>
      <c r="V271" s="604"/>
      <c r="W271" s="604"/>
      <c r="X271" s="604"/>
    </row>
    <row r="272" spans="1:24" ht="15.6">
      <c r="A272" s="604"/>
      <c r="B272" s="604"/>
      <c r="C272" s="609"/>
      <c r="D272" s="604"/>
      <c r="E272" s="604"/>
      <c r="F272" s="604"/>
      <c r="G272" s="604"/>
      <c r="H272" s="604"/>
      <c r="I272" s="604"/>
      <c r="J272" s="604"/>
      <c r="K272" s="604"/>
      <c r="L272" s="604"/>
      <c r="M272" s="604"/>
      <c r="N272" s="604"/>
      <c r="O272" s="604"/>
      <c r="P272" s="604"/>
      <c r="Q272" s="604"/>
      <c r="R272" s="604"/>
      <c r="S272" s="604"/>
      <c r="T272" s="604"/>
      <c r="U272" s="604"/>
      <c r="V272" s="604"/>
      <c r="W272" s="604"/>
      <c r="X272" s="604"/>
    </row>
    <row r="273" spans="1:24" ht="15.6">
      <c r="A273" s="604"/>
      <c r="B273" s="604"/>
      <c r="C273" s="609"/>
      <c r="D273" s="604"/>
      <c r="E273" s="604"/>
      <c r="F273" s="604"/>
      <c r="G273" s="604"/>
      <c r="H273" s="604"/>
      <c r="I273" s="604"/>
      <c r="J273" s="604"/>
      <c r="K273" s="604"/>
      <c r="L273" s="604"/>
      <c r="M273" s="604"/>
      <c r="N273" s="604"/>
      <c r="O273" s="604"/>
      <c r="P273" s="604"/>
      <c r="Q273" s="604"/>
      <c r="R273" s="604"/>
      <c r="S273" s="604"/>
      <c r="T273" s="604"/>
      <c r="U273" s="604"/>
      <c r="V273" s="604"/>
      <c r="W273" s="604"/>
      <c r="X273" s="604"/>
    </row>
    <row r="274" spans="1:24" ht="15.6">
      <c r="A274" s="604"/>
      <c r="B274" s="604"/>
      <c r="C274" s="609"/>
      <c r="D274" s="604"/>
      <c r="E274" s="604"/>
      <c r="F274" s="604"/>
      <c r="G274" s="604"/>
      <c r="H274" s="604"/>
      <c r="I274" s="604"/>
      <c r="J274" s="604"/>
      <c r="K274" s="604"/>
      <c r="L274" s="604"/>
      <c r="M274" s="604"/>
      <c r="N274" s="604"/>
      <c r="O274" s="604"/>
      <c r="P274" s="604"/>
      <c r="Q274" s="604"/>
      <c r="R274" s="604"/>
      <c r="S274" s="604"/>
      <c r="T274" s="604"/>
      <c r="U274" s="604"/>
      <c r="V274" s="604"/>
      <c r="W274" s="604"/>
      <c r="X274" s="604"/>
    </row>
    <row r="275" spans="1:24" ht="15.6">
      <c r="A275" s="604"/>
      <c r="B275" s="604"/>
      <c r="C275" s="609"/>
      <c r="D275" s="604"/>
      <c r="E275" s="604"/>
      <c r="F275" s="604"/>
      <c r="G275" s="604"/>
      <c r="H275" s="604"/>
      <c r="I275" s="604"/>
      <c r="J275" s="604"/>
      <c r="K275" s="604"/>
      <c r="L275" s="604"/>
      <c r="M275" s="604"/>
      <c r="N275" s="604"/>
      <c r="O275" s="604"/>
      <c r="P275" s="604"/>
      <c r="Q275" s="604"/>
      <c r="R275" s="604"/>
      <c r="S275" s="604"/>
      <c r="T275" s="604"/>
      <c r="U275" s="604"/>
      <c r="V275" s="604"/>
      <c r="W275" s="604"/>
      <c r="X275" s="604"/>
    </row>
    <row r="276" spans="1:24" ht="15.6">
      <c r="A276" s="604"/>
      <c r="B276" s="604"/>
      <c r="C276" s="609"/>
      <c r="D276" s="604"/>
      <c r="E276" s="604"/>
      <c r="F276" s="604"/>
      <c r="G276" s="604"/>
      <c r="H276" s="604"/>
      <c r="I276" s="604"/>
      <c r="J276" s="604"/>
      <c r="K276" s="604"/>
      <c r="L276" s="604"/>
      <c r="M276" s="604"/>
      <c r="N276" s="604"/>
      <c r="O276" s="604"/>
      <c r="P276" s="604"/>
      <c r="Q276" s="604"/>
      <c r="R276" s="604"/>
      <c r="S276" s="604"/>
      <c r="T276" s="604"/>
      <c r="U276" s="604"/>
      <c r="V276" s="604"/>
      <c r="W276" s="604"/>
      <c r="X276" s="604"/>
    </row>
    <row r="277" spans="1:24" ht="15.6">
      <c r="A277" s="604"/>
      <c r="B277" s="604"/>
      <c r="C277" s="609"/>
      <c r="D277" s="604"/>
      <c r="E277" s="604"/>
      <c r="F277" s="604"/>
      <c r="G277" s="604"/>
      <c r="H277" s="604"/>
      <c r="I277" s="604"/>
      <c r="J277" s="604"/>
      <c r="K277" s="604"/>
      <c r="L277" s="604"/>
      <c r="M277" s="604"/>
      <c r="N277" s="604"/>
      <c r="O277" s="604"/>
      <c r="P277" s="604"/>
      <c r="Q277" s="604"/>
      <c r="R277" s="604"/>
      <c r="S277" s="604"/>
      <c r="T277" s="604"/>
      <c r="U277" s="604"/>
      <c r="V277" s="604"/>
      <c r="W277" s="604"/>
      <c r="X277" s="604"/>
    </row>
    <row r="278" spans="1:24" ht="15.6">
      <c r="A278" s="604"/>
      <c r="B278" s="604"/>
      <c r="C278" s="609"/>
      <c r="D278" s="604"/>
      <c r="E278" s="604"/>
      <c r="F278" s="604"/>
      <c r="G278" s="604"/>
      <c r="H278" s="604"/>
      <c r="I278" s="604"/>
      <c r="J278" s="604"/>
      <c r="K278" s="604"/>
      <c r="L278" s="604"/>
      <c r="M278" s="604"/>
      <c r="N278" s="604"/>
      <c r="O278" s="604"/>
      <c r="P278" s="604"/>
      <c r="Q278" s="604"/>
      <c r="R278" s="604"/>
      <c r="S278" s="604"/>
      <c r="T278" s="604"/>
      <c r="U278" s="604"/>
      <c r="V278" s="604"/>
      <c r="W278" s="604"/>
      <c r="X278" s="604"/>
    </row>
    <row r="279" spans="1:24" ht="15.6">
      <c r="A279" s="604"/>
      <c r="B279" s="604"/>
      <c r="C279" s="609"/>
      <c r="D279" s="604"/>
      <c r="E279" s="604"/>
      <c r="F279" s="604"/>
      <c r="G279" s="604"/>
      <c r="H279" s="604"/>
      <c r="I279" s="604"/>
      <c r="J279" s="604"/>
      <c r="K279" s="604"/>
      <c r="L279" s="604"/>
      <c r="M279" s="604"/>
      <c r="N279" s="604"/>
      <c r="O279" s="604"/>
      <c r="P279" s="604"/>
      <c r="Q279" s="604"/>
      <c r="R279" s="604"/>
      <c r="S279" s="604"/>
      <c r="T279" s="604"/>
      <c r="U279" s="604"/>
      <c r="V279" s="604"/>
      <c r="W279" s="604"/>
      <c r="X279" s="604"/>
    </row>
    <row r="280" spans="1:24" ht="15.6">
      <c r="A280" s="604"/>
      <c r="B280" s="604"/>
      <c r="C280" s="609"/>
      <c r="D280" s="604"/>
      <c r="E280" s="604"/>
      <c r="F280" s="604"/>
      <c r="G280" s="604"/>
      <c r="H280" s="604"/>
      <c r="I280" s="604"/>
      <c r="J280" s="604"/>
      <c r="K280" s="604"/>
      <c r="L280" s="604"/>
      <c r="M280" s="604"/>
      <c r="N280" s="604"/>
      <c r="O280" s="604"/>
      <c r="P280" s="604"/>
      <c r="Q280" s="604"/>
      <c r="R280" s="604"/>
      <c r="S280" s="604"/>
      <c r="T280" s="604"/>
      <c r="U280" s="604"/>
      <c r="V280" s="604"/>
      <c r="W280" s="604"/>
      <c r="X280" s="604"/>
    </row>
    <row r="281" spans="1:24" ht="15.6">
      <c r="A281" s="604"/>
      <c r="B281" s="604"/>
      <c r="C281" s="609"/>
      <c r="D281" s="604"/>
      <c r="E281" s="604"/>
      <c r="F281" s="604"/>
      <c r="G281" s="604"/>
      <c r="H281" s="604"/>
      <c r="I281" s="604"/>
      <c r="J281" s="604"/>
      <c r="K281" s="604"/>
      <c r="L281" s="604"/>
      <c r="M281" s="604"/>
      <c r="N281" s="604"/>
      <c r="O281" s="604"/>
      <c r="P281" s="604"/>
      <c r="Q281" s="604"/>
      <c r="R281" s="604"/>
      <c r="S281" s="604"/>
      <c r="T281" s="604"/>
      <c r="U281" s="604"/>
      <c r="V281" s="604"/>
      <c r="W281" s="604"/>
      <c r="X281" s="604"/>
    </row>
    <row r="282" spans="1:24" ht="15.6">
      <c r="A282" s="604"/>
      <c r="B282" s="604"/>
      <c r="C282" s="609"/>
      <c r="D282" s="604"/>
      <c r="E282" s="604"/>
      <c r="F282" s="604"/>
      <c r="G282" s="604"/>
      <c r="H282" s="604"/>
      <c r="I282" s="604"/>
      <c r="J282" s="604"/>
      <c r="K282" s="604"/>
      <c r="L282" s="604"/>
      <c r="M282" s="604"/>
      <c r="N282" s="604"/>
      <c r="O282" s="604"/>
      <c r="P282" s="604"/>
      <c r="Q282" s="604"/>
      <c r="R282" s="604"/>
      <c r="S282" s="604"/>
      <c r="T282" s="604"/>
      <c r="U282" s="604"/>
      <c r="V282" s="604"/>
      <c r="W282" s="604"/>
      <c r="X282" s="604"/>
    </row>
    <row r="283" spans="1:24" ht="15.6">
      <c r="A283" s="604"/>
      <c r="B283" s="604"/>
      <c r="C283" s="609"/>
      <c r="D283" s="604"/>
      <c r="E283" s="604"/>
      <c r="F283" s="604"/>
      <c r="G283" s="604"/>
      <c r="H283" s="604"/>
      <c r="I283" s="604"/>
      <c r="J283" s="604"/>
      <c r="K283" s="604"/>
      <c r="L283" s="604"/>
      <c r="M283" s="604"/>
      <c r="N283" s="604"/>
      <c r="O283" s="604"/>
      <c r="P283" s="604"/>
      <c r="Q283" s="604"/>
      <c r="R283" s="604"/>
      <c r="S283" s="604"/>
      <c r="T283" s="604"/>
      <c r="U283" s="604"/>
      <c r="V283" s="604"/>
      <c r="W283" s="604"/>
      <c r="X283" s="604"/>
    </row>
    <row r="284" spans="1:24" ht="15.6">
      <c r="A284" s="604"/>
      <c r="B284" s="604"/>
      <c r="C284" s="609"/>
      <c r="D284" s="604"/>
      <c r="E284" s="604"/>
      <c r="F284" s="604"/>
      <c r="G284" s="604"/>
      <c r="H284" s="604"/>
      <c r="I284" s="604"/>
      <c r="J284" s="604"/>
      <c r="K284" s="604"/>
      <c r="L284" s="604"/>
      <c r="M284" s="604"/>
      <c r="N284" s="604"/>
      <c r="O284" s="604"/>
      <c r="P284" s="604"/>
      <c r="Q284" s="604"/>
      <c r="R284" s="604"/>
      <c r="S284" s="604"/>
      <c r="T284" s="604"/>
      <c r="U284" s="604"/>
      <c r="V284" s="604"/>
      <c r="W284" s="604"/>
      <c r="X284" s="604"/>
    </row>
    <row r="285" spans="1:24" ht="15.6">
      <c r="A285" s="604"/>
      <c r="B285" s="604"/>
      <c r="C285" s="609"/>
      <c r="D285" s="604"/>
      <c r="E285" s="604"/>
      <c r="F285" s="604"/>
      <c r="G285" s="604"/>
      <c r="H285" s="604"/>
      <c r="I285" s="604"/>
      <c r="J285" s="604"/>
      <c r="K285" s="604"/>
      <c r="L285" s="604"/>
      <c r="M285" s="604"/>
      <c r="N285" s="604"/>
      <c r="O285" s="604"/>
      <c r="P285" s="604"/>
      <c r="Q285" s="604"/>
      <c r="R285" s="604"/>
      <c r="S285" s="604"/>
      <c r="T285" s="604"/>
      <c r="U285" s="604"/>
      <c r="V285" s="604"/>
      <c r="W285" s="604"/>
      <c r="X285" s="604"/>
    </row>
    <row r="286" spans="1:24" ht="15.6">
      <c r="A286" s="604"/>
      <c r="B286" s="604"/>
      <c r="C286" s="609"/>
      <c r="D286" s="604"/>
      <c r="E286" s="604"/>
      <c r="F286" s="604"/>
      <c r="G286" s="604"/>
      <c r="H286" s="604"/>
      <c r="I286" s="604"/>
      <c r="J286" s="604"/>
      <c r="K286" s="604"/>
      <c r="L286" s="604"/>
      <c r="M286" s="604"/>
      <c r="N286" s="604"/>
      <c r="O286" s="604"/>
      <c r="P286" s="604"/>
      <c r="Q286" s="604"/>
      <c r="R286" s="604"/>
      <c r="S286" s="604"/>
      <c r="T286" s="604"/>
      <c r="U286" s="604"/>
      <c r="V286" s="604"/>
      <c r="W286" s="604"/>
      <c r="X286" s="604"/>
    </row>
    <row r="287" spans="1:24" ht="15.6">
      <c r="A287" s="604"/>
      <c r="B287" s="604"/>
      <c r="C287" s="609"/>
      <c r="D287" s="604"/>
      <c r="E287" s="604"/>
      <c r="F287" s="604"/>
      <c r="G287" s="604"/>
      <c r="H287" s="604"/>
      <c r="I287" s="604"/>
      <c r="J287" s="604"/>
      <c r="K287" s="604"/>
      <c r="L287" s="604"/>
      <c r="M287" s="604"/>
      <c r="N287" s="604"/>
      <c r="O287" s="604"/>
      <c r="P287" s="604"/>
      <c r="Q287" s="604"/>
      <c r="R287" s="604"/>
      <c r="S287" s="604"/>
      <c r="T287" s="604"/>
      <c r="U287" s="604"/>
      <c r="V287" s="604"/>
      <c r="W287" s="604"/>
      <c r="X287" s="604"/>
    </row>
    <row r="288" spans="1:24" ht="15.6">
      <c r="A288" s="604"/>
      <c r="B288" s="604"/>
      <c r="C288" s="609"/>
      <c r="D288" s="604"/>
      <c r="E288" s="604"/>
      <c r="F288" s="604"/>
      <c r="G288" s="604"/>
      <c r="H288" s="604"/>
      <c r="I288" s="604"/>
      <c r="J288" s="604"/>
      <c r="K288" s="604"/>
      <c r="L288" s="604"/>
      <c r="M288" s="604"/>
      <c r="N288" s="604"/>
      <c r="O288" s="604"/>
      <c r="P288" s="604"/>
      <c r="Q288" s="604"/>
      <c r="R288" s="604"/>
      <c r="S288" s="604"/>
      <c r="T288" s="604"/>
      <c r="U288" s="604"/>
      <c r="V288" s="604"/>
      <c r="W288" s="604"/>
      <c r="X288" s="604"/>
    </row>
    <row r="289" spans="1:24" ht="15.6">
      <c r="A289" s="604"/>
      <c r="B289" s="604"/>
      <c r="C289" s="609"/>
      <c r="D289" s="604"/>
      <c r="E289" s="604"/>
      <c r="F289" s="604"/>
      <c r="G289" s="604"/>
      <c r="H289" s="604"/>
      <c r="I289" s="604"/>
      <c r="J289" s="604"/>
      <c r="K289" s="604"/>
      <c r="L289" s="604"/>
      <c r="M289" s="604"/>
      <c r="N289" s="604"/>
      <c r="O289" s="604"/>
      <c r="P289" s="604"/>
      <c r="Q289" s="604"/>
      <c r="R289" s="604"/>
      <c r="S289" s="604"/>
      <c r="T289" s="604"/>
      <c r="U289" s="604"/>
      <c r="V289" s="604"/>
      <c r="W289" s="604"/>
      <c r="X289" s="604"/>
    </row>
    <row r="290" spans="1:24" ht="15.6">
      <c r="A290" s="604"/>
      <c r="B290" s="604"/>
      <c r="C290" s="609"/>
      <c r="D290" s="604"/>
      <c r="E290" s="604"/>
      <c r="F290" s="604"/>
      <c r="G290" s="604"/>
      <c r="H290" s="604"/>
      <c r="I290" s="604"/>
      <c r="J290" s="604"/>
      <c r="K290" s="604"/>
      <c r="L290" s="604"/>
      <c r="M290" s="604"/>
      <c r="N290" s="604"/>
      <c r="O290" s="604"/>
      <c r="P290" s="604"/>
      <c r="Q290" s="604"/>
      <c r="R290" s="604"/>
      <c r="S290" s="604"/>
      <c r="T290" s="604"/>
      <c r="U290" s="604"/>
      <c r="V290" s="604"/>
      <c r="W290" s="604"/>
      <c r="X290" s="604"/>
    </row>
    <row r="291" spans="1:24" ht="15.6">
      <c r="A291" s="604"/>
      <c r="B291" s="604"/>
      <c r="C291" s="609"/>
      <c r="D291" s="604"/>
      <c r="E291" s="604"/>
      <c r="F291" s="604"/>
      <c r="G291" s="604"/>
      <c r="H291" s="604"/>
      <c r="I291" s="604"/>
      <c r="J291" s="604"/>
      <c r="K291" s="604"/>
      <c r="L291" s="604"/>
      <c r="M291" s="604"/>
      <c r="N291" s="604"/>
      <c r="O291" s="604"/>
      <c r="P291" s="604"/>
      <c r="Q291" s="604"/>
      <c r="R291" s="604"/>
      <c r="S291" s="604"/>
      <c r="T291" s="604"/>
      <c r="U291" s="604"/>
      <c r="V291" s="604"/>
      <c r="W291" s="604"/>
      <c r="X291" s="604"/>
    </row>
    <row r="292" spans="1:24" ht="15.6">
      <c r="A292" s="604"/>
      <c r="B292" s="604"/>
      <c r="C292" s="609"/>
      <c r="D292" s="604"/>
      <c r="E292" s="604"/>
      <c r="F292" s="604"/>
      <c r="G292" s="604"/>
      <c r="H292" s="604"/>
      <c r="I292" s="604"/>
      <c r="J292" s="604"/>
      <c r="K292" s="604"/>
      <c r="L292" s="604"/>
      <c r="M292" s="604"/>
      <c r="N292" s="604"/>
      <c r="O292" s="604"/>
      <c r="P292" s="604"/>
      <c r="Q292" s="604"/>
      <c r="R292" s="604"/>
      <c r="S292" s="604"/>
      <c r="T292" s="604"/>
      <c r="U292" s="604"/>
      <c r="V292" s="604"/>
      <c r="W292" s="604"/>
      <c r="X292" s="604"/>
    </row>
    <row r="293" spans="1:24" ht="15.6">
      <c r="A293" s="604"/>
      <c r="B293" s="604"/>
      <c r="C293" s="609"/>
      <c r="D293" s="604"/>
      <c r="E293" s="604"/>
      <c r="F293" s="604"/>
      <c r="G293" s="604"/>
      <c r="H293" s="604"/>
      <c r="I293" s="604"/>
      <c r="J293" s="604"/>
      <c r="K293" s="604"/>
      <c r="L293" s="604"/>
      <c r="M293" s="604"/>
      <c r="N293" s="604"/>
      <c r="O293" s="604"/>
      <c r="P293" s="604"/>
      <c r="Q293" s="604"/>
      <c r="R293" s="604"/>
      <c r="S293" s="604"/>
      <c r="T293" s="604"/>
      <c r="U293" s="604"/>
      <c r="V293" s="604"/>
      <c r="W293" s="604"/>
      <c r="X293" s="604"/>
    </row>
    <row r="294" spans="1:24" ht="15.6">
      <c r="A294" s="604"/>
      <c r="B294" s="604"/>
      <c r="C294" s="609"/>
      <c r="D294" s="604"/>
      <c r="E294" s="604"/>
      <c r="F294" s="604"/>
      <c r="G294" s="604"/>
      <c r="H294" s="604"/>
      <c r="I294" s="604"/>
      <c r="J294" s="604"/>
      <c r="K294" s="604"/>
      <c r="L294" s="604"/>
      <c r="M294" s="604"/>
      <c r="N294" s="604"/>
      <c r="O294" s="604"/>
      <c r="P294" s="604"/>
      <c r="Q294" s="604"/>
      <c r="R294" s="604"/>
      <c r="S294" s="604"/>
      <c r="T294" s="604"/>
      <c r="U294" s="604"/>
      <c r="V294" s="604"/>
      <c r="W294" s="604"/>
      <c r="X294" s="604"/>
    </row>
    <row r="295" spans="1:24" ht="15.6">
      <c r="A295" s="604"/>
      <c r="B295" s="604"/>
      <c r="C295" s="609"/>
      <c r="D295" s="604"/>
      <c r="E295" s="604"/>
      <c r="F295" s="604"/>
      <c r="G295" s="604"/>
      <c r="H295" s="604"/>
      <c r="I295" s="604"/>
      <c r="J295" s="604"/>
      <c r="K295" s="604"/>
      <c r="L295" s="604"/>
      <c r="M295" s="604"/>
      <c r="N295" s="604"/>
      <c r="O295" s="604"/>
      <c r="P295" s="604"/>
      <c r="Q295" s="604"/>
      <c r="R295" s="604"/>
      <c r="S295" s="604"/>
      <c r="T295" s="604"/>
      <c r="U295" s="604"/>
      <c r="V295" s="604"/>
      <c r="W295" s="604"/>
      <c r="X295" s="604"/>
    </row>
    <row r="296" spans="1:24" ht="15.6">
      <c r="A296" s="604"/>
      <c r="B296" s="604"/>
      <c r="C296" s="609"/>
      <c r="D296" s="604"/>
      <c r="E296" s="604"/>
      <c r="F296" s="604"/>
      <c r="G296" s="604"/>
      <c r="H296" s="604"/>
      <c r="I296" s="604"/>
      <c r="J296" s="604"/>
      <c r="K296" s="604"/>
      <c r="L296" s="604"/>
      <c r="M296" s="604"/>
      <c r="N296" s="604"/>
      <c r="O296" s="604"/>
      <c r="P296" s="604"/>
      <c r="Q296" s="604"/>
      <c r="R296" s="604"/>
      <c r="S296" s="604"/>
      <c r="T296" s="604"/>
      <c r="U296" s="604"/>
      <c r="V296" s="604"/>
      <c r="W296" s="604"/>
      <c r="X296" s="604"/>
    </row>
    <row r="297" spans="1:24" ht="15.6">
      <c r="A297" s="604"/>
      <c r="B297" s="604"/>
      <c r="C297" s="609"/>
      <c r="D297" s="604"/>
      <c r="E297" s="604"/>
      <c r="F297" s="604"/>
      <c r="G297" s="604"/>
      <c r="H297" s="604"/>
      <c r="I297" s="604"/>
      <c r="J297" s="604"/>
      <c r="K297" s="604"/>
      <c r="L297" s="604"/>
      <c r="M297" s="604"/>
      <c r="N297" s="604"/>
      <c r="O297" s="604"/>
      <c r="P297" s="604"/>
      <c r="Q297" s="604"/>
      <c r="R297" s="604"/>
      <c r="S297" s="604"/>
      <c r="T297" s="604"/>
      <c r="U297" s="604"/>
      <c r="V297" s="604"/>
      <c r="W297" s="604"/>
      <c r="X297" s="604"/>
    </row>
    <row r="298" spans="1:24" ht="15.6">
      <c r="A298" s="604"/>
      <c r="B298" s="604"/>
      <c r="C298" s="609"/>
      <c r="D298" s="604"/>
      <c r="E298" s="604"/>
      <c r="F298" s="604"/>
      <c r="G298" s="604"/>
      <c r="H298" s="604"/>
      <c r="I298" s="604"/>
      <c r="J298" s="604"/>
      <c r="K298" s="604"/>
      <c r="L298" s="604"/>
      <c r="M298" s="604"/>
      <c r="N298" s="604"/>
      <c r="O298" s="604"/>
      <c r="P298" s="604"/>
      <c r="Q298" s="604"/>
      <c r="R298" s="604"/>
      <c r="S298" s="604"/>
      <c r="T298" s="604"/>
      <c r="U298" s="604"/>
      <c r="V298" s="604"/>
      <c r="W298" s="604"/>
      <c r="X298" s="604"/>
    </row>
    <row r="299" spans="1:24" ht="15.6">
      <c r="A299" s="604"/>
      <c r="B299" s="604"/>
      <c r="C299" s="609"/>
      <c r="D299" s="604"/>
      <c r="E299" s="604"/>
      <c r="F299" s="604"/>
      <c r="G299" s="604"/>
      <c r="H299" s="604"/>
      <c r="I299" s="604"/>
      <c r="J299" s="604"/>
      <c r="K299" s="604"/>
      <c r="L299" s="604"/>
      <c r="M299" s="604"/>
      <c r="N299" s="604"/>
      <c r="O299" s="604"/>
      <c r="P299" s="604"/>
      <c r="Q299" s="604"/>
      <c r="R299" s="604"/>
      <c r="S299" s="604"/>
      <c r="T299" s="604"/>
      <c r="U299" s="604"/>
      <c r="V299" s="604"/>
      <c r="W299" s="604"/>
      <c r="X299" s="604"/>
    </row>
    <row r="300" spans="1:24" ht="15.6">
      <c r="A300" s="604"/>
      <c r="B300" s="604"/>
      <c r="C300" s="609"/>
      <c r="D300" s="604"/>
      <c r="E300" s="604"/>
      <c r="F300" s="604"/>
      <c r="G300" s="604"/>
      <c r="H300" s="604"/>
      <c r="I300" s="604"/>
      <c r="J300" s="604"/>
      <c r="K300" s="604"/>
      <c r="L300" s="604"/>
      <c r="M300" s="604"/>
      <c r="N300" s="604"/>
      <c r="O300" s="604"/>
      <c r="P300" s="604"/>
      <c r="Q300" s="604"/>
      <c r="R300" s="604"/>
      <c r="S300" s="604"/>
      <c r="T300" s="604"/>
      <c r="U300" s="604"/>
      <c r="V300" s="604"/>
      <c r="W300" s="604"/>
      <c r="X300" s="604"/>
    </row>
    <row r="301" spans="1:24" ht="15.6">
      <c r="A301" s="604"/>
      <c r="B301" s="604"/>
      <c r="C301" s="609"/>
      <c r="D301" s="604"/>
      <c r="E301" s="604"/>
      <c r="F301" s="604"/>
      <c r="G301" s="604"/>
      <c r="H301" s="604"/>
      <c r="I301" s="604"/>
      <c r="J301" s="604"/>
      <c r="K301" s="604"/>
      <c r="L301" s="604"/>
      <c r="M301" s="604"/>
      <c r="N301" s="604"/>
      <c r="O301" s="604"/>
      <c r="P301" s="604"/>
      <c r="Q301" s="604"/>
      <c r="R301" s="604"/>
      <c r="S301" s="604"/>
      <c r="T301" s="604"/>
      <c r="U301" s="604"/>
      <c r="V301" s="604"/>
      <c r="W301" s="604"/>
      <c r="X301" s="604"/>
    </row>
    <row r="302" spans="1:24" ht="15.6">
      <c r="A302" s="604"/>
      <c r="B302" s="604"/>
      <c r="C302" s="609"/>
      <c r="D302" s="604"/>
      <c r="E302" s="604"/>
      <c r="F302" s="604"/>
      <c r="G302" s="604"/>
      <c r="H302" s="604"/>
      <c r="I302" s="604"/>
      <c r="J302" s="604"/>
      <c r="K302" s="604"/>
      <c r="L302" s="604"/>
      <c r="M302" s="604"/>
      <c r="N302" s="604"/>
      <c r="O302" s="604"/>
      <c r="P302" s="604"/>
      <c r="Q302" s="604"/>
      <c r="R302" s="604"/>
      <c r="S302" s="604"/>
      <c r="T302" s="604"/>
      <c r="U302" s="604"/>
      <c r="V302" s="604"/>
      <c r="W302" s="604"/>
      <c r="X302" s="604"/>
    </row>
    <row r="303" spans="1:24" ht="15.6">
      <c r="A303" s="604"/>
      <c r="B303" s="604"/>
      <c r="C303" s="609"/>
      <c r="D303" s="604"/>
      <c r="E303" s="604"/>
      <c r="F303" s="604"/>
      <c r="G303" s="604"/>
      <c r="H303" s="604"/>
      <c r="I303" s="604"/>
      <c r="J303" s="604"/>
      <c r="K303" s="604"/>
      <c r="L303" s="604"/>
      <c r="M303" s="604"/>
      <c r="N303" s="604"/>
      <c r="O303" s="604"/>
      <c r="P303" s="604"/>
      <c r="Q303" s="604"/>
      <c r="R303" s="604"/>
      <c r="S303" s="604"/>
      <c r="T303" s="604"/>
      <c r="U303" s="604"/>
      <c r="V303" s="604"/>
      <c r="W303" s="604"/>
      <c r="X303" s="604"/>
    </row>
    <row r="304" spans="1:24" ht="15.6">
      <c r="A304" s="604"/>
      <c r="B304" s="604"/>
      <c r="C304" s="609"/>
      <c r="D304" s="604"/>
      <c r="E304" s="604"/>
      <c r="F304" s="604"/>
      <c r="G304" s="604"/>
      <c r="H304" s="604"/>
      <c r="I304" s="604"/>
      <c r="J304" s="604"/>
      <c r="K304" s="604"/>
      <c r="L304" s="604"/>
      <c r="M304" s="604"/>
      <c r="N304" s="604"/>
      <c r="O304" s="604"/>
      <c r="P304" s="604"/>
      <c r="Q304" s="604"/>
      <c r="R304" s="604"/>
      <c r="S304" s="604"/>
      <c r="T304" s="604"/>
      <c r="U304" s="604"/>
      <c r="V304" s="604"/>
      <c r="W304" s="604"/>
      <c r="X304" s="604"/>
    </row>
    <row r="305" spans="1:24" ht="15.6">
      <c r="A305" s="604"/>
      <c r="B305" s="604"/>
      <c r="C305" s="609"/>
      <c r="D305" s="604"/>
      <c r="E305" s="604"/>
      <c r="F305" s="604"/>
      <c r="G305" s="604"/>
      <c r="H305" s="604"/>
      <c r="I305" s="604"/>
      <c r="J305" s="604"/>
      <c r="K305" s="604"/>
      <c r="L305" s="604"/>
      <c r="M305" s="604"/>
      <c r="N305" s="604"/>
      <c r="O305" s="604"/>
      <c r="P305" s="604"/>
      <c r="Q305" s="604"/>
      <c r="R305" s="604"/>
      <c r="S305" s="604"/>
      <c r="T305" s="604"/>
      <c r="U305" s="604"/>
      <c r="V305" s="604"/>
      <c r="W305" s="604"/>
      <c r="X305" s="604"/>
    </row>
    <row r="306" spans="1:24" ht="15.6">
      <c r="A306" s="604"/>
      <c r="B306" s="604"/>
      <c r="C306" s="609"/>
      <c r="D306" s="604"/>
      <c r="E306" s="604"/>
      <c r="F306" s="604"/>
      <c r="G306" s="604"/>
      <c r="H306" s="604"/>
      <c r="I306" s="604"/>
      <c r="J306" s="604"/>
      <c r="K306" s="604"/>
      <c r="L306" s="604"/>
      <c r="M306" s="604"/>
      <c r="N306" s="604"/>
      <c r="O306" s="604"/>
      <c r="P306" s="604"/>
      <c r="Q306" s="604"/>
      <c r="R306" s="604"/>
      <c r="S306" s="604"/>
      <c r="T306" s="604"/>
      <c r="U306" s="604"/>
      <c r="V306" s="604"/>
      <c r="W306" s="604"/>
      <c r="X306" s="604"/>
    </row>
    <row r="307" spans="1:24" ht="15.6">
      <c r="A307" s="604"/>
      <c r="B307" s="604"/>
      <c r="C307" s="609"/>
      <c r="D307" s="604"/>
      <c r="E307" s="604"/>
      <c r="F307" s="604"/>
      <c r="G307" s="604"/>
      <c r="H307" s="604"/>
      <c r="I307" s="604"/>
      <c r="J307" s="604"/>
      <c r="K307" s="604"/>
      <c r="L307" s="604"/>
      <c r="M307" s="604"/>
      <c r="N307" s="604"/>
      <c r="O307" s="604"/>
      <c r="P307" s="604"/>
      <c r="Q307" s="604"/>
      <c r="R307" s="604"/>
      <c r="S307" s="604"/>
      <c r="T307" s="604"/>
      <c r="U307" s="604"/>
      <c r="V307" s="604"/>
      <c r="W307" s="604"/>
      <c r="X307" s="604"/>
    </row>
    <row r="308" spans="1:24" ht="15.6">
      <c r="A308" s="604"/>
      <c r="B308" s="604"/>
      <c r="C308" s="609"/>
      <c r="D308" s="604"/>
      <c r="E308" s="604"/>
      <c r="F308" s="604"/>
      <c r="G308" s="604"/>
      <c r="H308" s="604"/>
      <c r="I308" s="604"/>
      <c r="J308" s="604"/>
      <c r="K308" s="604"/>
      <c r="L308" s="604"/>
      <c r="M308" s="604"/>
      <c r="N308" s="604"/>
      <c r="O308" s="604"/>
      <c r="P308" s="604"/>
      <c r="Q308" s="604"/>
      <c r="R308" s="604"/>
      <c r="S308" s="604"/>
      <c r="T308" s="604"/>
      <c r="U308" s="604"/>
      <c r="V308" s="604"/>
      <c r="W308" s="604"/>
      <c r="X308" s="604"/>
    </row>
    <row r="309" spans="1:24" ht="15.6">
      <c r="A309" s="604"/>
      <c r="B309" s="604"/>
      <c r="C309" s="609"/>
      <c r="D309" s="604"/>
      <c r="E309" s="604"/>
      <c r="F309" s="604"/>
      <c r="G309" s="604"/>
      <c r="H309" s="604"/>
      <c r="I309" s="604"/>
      <c r="J309" s="604"/>
      <c r="K309" s="604"/>
      <c r="L309" s="604"/>
      <c r="M309" s="604"/>
      <c r="N309" s="604"/>
      <c r="O309" s="604"/>
      <c r="P309" s="604"/>
      <c r="Q309" s="604"/>
      <c r="R309" s="604"/>
      <c r="S309" s="604"/>
      <c r="T309" s="604"/>
      <c r="U309" s="604"/>
      <c r="V309" s="604"/>
      <c r="W309" s="604"/>
      <c r="X309" s="604"/>
    </row>
    <row r="310" spans="1:24" ht="15.6">
      <c r="A310" s="604"/>
      <c r="B310" s="604"/>
      <c r="C310" s="609"/>
      <c r="D310" s="604"/>
      <c r="E310" s="604"/>
      <c r="F310" s="604"/>
      <c r="G310" s="604"/>
      <c r="H310" s="604"/>
      <c r="I310" s="604"/>
      <c r="J310" s="604"/>
      <c r="K310" s="604"/>
      <c r="L310" s="604"/>
      <c r="M310" s="604"/>
      <c r="N310" s="604"/>
      <c r="O310" s="604"/>
      <c r="P310" s="604"/>
      <c r="Q310" s="604"/>
      <c r="R310" s="604"/>
      <c r="S310" s="604"/>
      <c r="T310" s="604"/>
      <c r="U310" s="604"/>
      <c r="V310" s="604"/>
      <c r="W310" s="604"/>
      <c r="X310" s="604"/>
    </row>
    <row r="311" spans="1:24" ht="15.6">
      <c r="A311" s="604"/>
      <c r="B311" s="604"/>
      <c r="C311" s="609"/>
      <c r="D311" s="604"/>
      <c r="E311" s="604"/>
      <c r="F311" s="604"/>
      <c r="G311" s="604"/>
      <c r="H311" s="604"/>
      <c r="I311" s="604"/>
      <c r="J311" s="604"/>
      <c r="K311" s="604"/>
      <c r="L311" s="604"/>
      <c r="M311" s="604"/>
      <c r="N311" s="604"/>
      <c r="O311" s="604"/>
      <c r="P311" s="604"/>
      <c r="Q311" s="604"/>
      <c r="R311" s="604"/>
      <c r="S311" s="604"/>
      <c r="T311" s="604"/>
      <c r="U311" s="604"/>
      <c r="V311" s="604"/>
      <c r="W311" s="604"/>
      <c r="X311" s="604"/>
    </row>
    <row r="312" spans="1:24" ht="15.6">
      <c r="A312" s="604"/>
      <c r="B312" s="604"/>
      <c r="C312" s="609"/>
      <c r="D312" s="604"/>
      <c r="E312" s="604"/>
      <c r="F312" s="604"/>
      <c r="G312" s="604"/>
      <c r="H312" s="604"/>
      <c r="I312" s="604"/>
      <c r="J312" s="604"/>
      <c r="K312" s="604"/>
      <c r="L312" s="604"/>
      <c r="M312" s="604"/>
      <c r="N312" s="604"/>
      <c r="O312" s="604"/>
      <c r="P312" s="604"/>
      <c r="Q312" s="604"/>
      <c r="R312" s="604"/>
      <c r="S312" s="604"/>
      <c r="T312" s="604"/>
      <c r="U312" s="604"/>
      <c r="V312" s="604"/>
      <c r="W312" s="604"/>
      <c r="X312" s="604"/>
    </row>
    <row r="313" spans="1:24" ht="15.6">
      <c r="A313" s="604"/>
      <c r="B313" s="604"/>
      <c r="C313" s="609"/>
      <c r="D313" s="604"/>
      <c r="E313" s="604"/>
      <c r="F313" s="604"/>
      <c r="G313" s="604"/>
      <c r="H313" s="604"/>
      <c r="I313" s="604"/>
      <c r="J313" s="604"/>
      <c r="K313" s="604"/>
      <c r="L313" s="604"/>
      <c r="M313" s="604"/>
      <c r="N313" s="604"/>
      <c r="O313" s="604"/>
      <c r="P313" s="604"/>
      <c r="Q313" s="604"/>
      <c r="R313" s="604"/>
      <c r="S313" s="604"/>
      <c r="T313" s="604"/>
      <c r="U313" s="604"/>
      <c r="V313" s="604"/>
      <c r="W313" s="604"/>
      <c r="X313" s="604"/>
    </row>
    <row r="314" spans="1:24" ht="15.6">
      <c r="A314" s="604"/>
      <c r="B314" s="604"/>
      <c r="C314" s="609"/>
      <c r="D314" s="604"/>
      <c r="E314" s="604"/>
      <c r="F314" s="604"/>
      <c r="G314" s="604"/>
      <c r="H314" s="604"/>
      <c r="I314" s="604"/>
      <c r="J314" s="604"/>
      <c r="K314" s="604"/>
      <c r="L314" s="604"/>
      <c r="M314" s="604"/>
      <c r="N314" s="604"/>
      <c r="O314" s="604"/>
      <c r="P314" s="604"/>
      <c r="Q314" s="604"/>
      <c r="R314" s="604"/>
      <c r="S314" s="604"/>
      <c r="T314" s="604"/>
      <c r="U314" s="604"/>
      <c r="V314" s="604"/>
      <c r="W314" s="604"/>
      <c r="X314" s="604"/>
    </row>
    <row r="315" spans="1:24" ht="15.6">
      <c r="A315" s="604"/>
      <c r="B315" s="604"/>
      <c r="C315" s="609"/>
      <c r="D315" s="604"/>
      <c r="E315" s="604"/>
      <c r="F315" s="604"/>
      <c r="G315" s="604"/>
      <c r="H315" s="604"/>
      <c r="I315" s="604"/>
      <c r="J315" s="604"/>
      <c r="K315" s="604"/>
      <c r="L315" s="604"/>
      <c r="M315" s="604"/>
      <c r="N315" s="604"/>
      <c r="O315" s="604"/>
      <c r="P315" s="604"/>
      <c r="Q315" s="604"/>
      <c r="R315" s="604"/>
      <c r="S315" s="604"/>
      <c r="T315" s="604"/>
      <c r="U315" s="604"/>
      <c r="V315" s="604"/>
      <c r="W315" s="604"/>
      <c r="X315" s="604"/>
    </row>
    <row r="316" spans="1:24" ht="15.6">
      <c r="A316" s="604"/>
      <c r="B316" s="604"/>
      <c r="C316" s="609"/>
      <c r="D316" s="604"/>
      <c r="E316" s="604"/>
      <c r="F316" s="604"/>
      <c r="G316" s="604"/>
      <c r="H316" s="604"/>
      <c r="I316" s="604"/>
      <c r="J316" s="604"/>
      <c r="K316" s="604"/>
      <c r="L316" s="604"/>
      <c r="M316" s="604"/>
      <c r="N316" s="604"/>
      <c r="O316" s="604"/>
      <c r="P316" s="604"/>
      <c r="Q316" s="604"/>
      <c r="R316" s="604"/>
      <c r="S316" s="604"/>
      <c r="T316" s="604"/>
      <c r="U316" s="604"/>
      <c r="V316" s="604"/>
      <c r="W316" s="604"/>
      <c r="X316" s="604"/>
    </row>
    <row r="317" spans="1:24" ht="15.6">
      <c r="A317" s="604"/>
      <c r="B317" s="604"/>
      <c r="C317" s="609"/>
      <c r="D317" s="604"/>
      <c r="E317" s="604"/>
      <c r="F317" s="604"/>
      <c r="G317" s="604"/>
      <c r="H317" s="604"/>
      <c r="I317" s="604"/>
      <c r="J317" s="604"/>
      <c r="K317" s="604"/>
      <c r="L317" s="604"/>
      <c r="M317" s="604"/>
      <c r="N317" s="604"/>
      <c r="O317" s="604"/>
      <c r="P317" s="604"/>
      <c r="Q317" s="604"/>
      <c r="R317" s="604"/>
      <c r="S317" s="604"/>
      <c r="T317" s="604"/>
      <c r="U317" s="604"/>
      <c r="V317" s="604"/>
      <c r="W317" s="604"/>
      <c r="X317" s="604"/>
    </row>
    <row r="318" spans="1:24" ht="15.6">
      <c r="A318" s="604"/>
      <c r="B318" s="604"/>
      <c r="C318" s="609"/>
      <c r="D318" s="604"/>
      <c r="E318" s="604"/>
      <c r="F318" s="604"/>
      <c r="G318" s="604"/>
      <c r="H318" s="604"/>
      <c r="I318" s="604"/>
      <c r="J318" s="604"/>
      <c r="K318" s="604"/>
      <c r="L318" s="604"/>
      <c r="M318" s="604"/>
      <c r="N318" s="604"/>
      <c r="O318" s="604"/>
      <c r="P318" s="604"/>
      <c r="Q318" s="604"/>
      <c r="R318" s="604"/>
      <c r="S318" s="604"/>
      <c r="T318" s="604"/>
      <c r="U318" s="604"/>
      <c r="V318" s="604"/>
      <c r="W318" s="604"/>
      <c r="X318" s="604"/>
    </row>
    <row r="319" spans="1:24" ht="15.6">
      <c r="A319" s="604"/>
      <c r="B319" s="604"/>
      <c r="C319" s="609"/>
      <c r="D319" s="604"/>
      <c r="E319" s="604"/>
      <c r="F319" s="604"/>
      <c r="G319" s="604"/>
      <c r="H319" s="604"/>
      <c r="I319" s="604"/>
      <c r="J319" s="604"/>
      <c r="K319" s="604"/>
      <c r="L319" s="604"/>
      <c r="M319" s="604"/>
      <c r="N319" s="604"/>
      <c r="O319" s="604"/>
      <c r="P319" s="604"/>
      <c r="Q319" s="604"/>
      <c r="R319" s="604"/>
      <c r="S319" s="604"/>
      <c r="T319" s="604"/>
      <c r="U319" s="604"/>
      <c r="V319" s="604"/>
      <c r="W319" s="604"/>
      <c r="X319" s="604"/>
    </row>
    <row r="320" spans="1:24" ht="15.6">
      <c r="A320" s="604"/>
      <c r="B320" s="604"/>
      <c r="C320" s="609"/>
      <c r="D320" s="604"/>
      <c r="E320" s="604"/>
      <c r="F320" s="604"/>
      <c r="G320" s="604"/>
      <c r="H320" s="604"/>
      <c r="I320" s="604"/>
      <c r="J320" s="604"/>
      <c r="K320" s="604"/>
      <c r="L320" s="604"/>
      <c r="M320" s="604"/>
      <c r="N320" s="604"/>
      <c r="O320" s="604"/>
      <c r="P320" s="604"/>
      <c r="Q320" s="604"/>
      <c r="R320" s="604"/>
      <c r="S320" s="604"/>
      <c r="T320" s="604"/>
      <c r="U320" s="604"/>
      <c r="V320" s="604"/>
      <c r="W320" s="604"/>
      <c r="X320" s="604"/>
    </row>
    <row r="321" spans="1:24" ht="15.6">
      <c r="A321" s="604"/>
      <c r="B321" s="604"/>
      <c r="C321" s="609"/>
      <c r="D321" s="604"/>
      <c r="E321" s="604"/>
      <c r="F321" s="604"/>
      <c r="G321" s="604"/>
      <c r="H321" s="604"/>
      <c r="I321" s="604"/>
      <c r="J321" s="604"/>
      <c r="K321" s="604"/>
      <c r="L321" s="604"/>
      <c r="M321" s="604"/>
      <c r="N321" s="604"/>
      <c r="O321" s="604"/>
      <c r="P321" s="604"/>
      <c r="Q321" s="604"/>
      <c r="R321" s="604"/>
      <c r="S321" s="604"/>
      <c r="T321" s="604"/>
      <c r="U321" s="604"/>
      <c r="V321" s="604"/>
      <c r="W321" s="604"/>
      <c r="X321" s="604"/>
    </row>
    <row r="322" spans="1:24" ht="15.6">
      <c r="A322" s="604"/>
      <c r="B322" s="604"/>
      <c r="C322" s="609"/>
      <c r="D322" s="604"/>
      <c r="E322" s="604"/>
      <c r="F322" s="604"/>
      <c r="G322" s="604"/>
      <c r="H322" s="604"/>
      <c r="I322" s="604"/>
      <c r="J322" s="604"/>
      <c r="K322" s="604"/>
      <c r="L322" s="604"/>
      <c r="M322" s="604"/>
      <c r="N322" s="604"/>
      <c r="O322" s="604"/>
      <c r="P322" s="604"/>
      <c r="Q322" s="604"/>
      <c r="R322" s="604"/>
      <c r="S322" s="604"/>
      <c r="T322" s="604"/>
      <c r="U322" s="604"/>
      <c r="V322" s="604"/>
      <c r="W322" s="604"/>
      <c r="X322" s="604"/>
    </row>
    <row r="323" spans="1:24" ht="15.6">
      <c r="A323" s="604"/>
      <c r="B323" s="604"/>
      <c r="C323" s="609"/>
      <c r="D323" s="604"/>
      <c r="E323" s="604"/>
      <c r="F323" s="604"/>
      <c r="G323" s="604"/>
      <c r="H323" s="604"/>
      <c r="I323" s="604"/>
      <c r="J323" s="604"/>
      <c r="K323" s="604"/>
      <c r="L323" s="604"/>
      <c r="M323" s="604"/>
      <c r="N323" s="604"/>
      <c r="O323" s="604"/>
      <c r="P323" s="604"/>
      <c r="Q323" s="604"/>
      <c r="R323" s="604"/>
      <c r="S323" s="604"/>
      <c r="T323" s="604"/>
      <c r="U323" s="604"/>
      <c r="V323" s="604"/>
      <c r="W323" s="604"/>
      <c r="X323" s="604"/>
    </row>
    <row r="324" spans="1:24" ht="15.6">
      <c r="A324" s="604"/>
      <c r="B324" s="604"/>
      <c r="C324" s="609"/>
      <c r="D324" s="604"/>
      <c r="E324" s="604"/>
      <c r="F324" s="604"/>
      <c r="G324" s="604"/>
      <c r="H324" s="604"/>
      <c r="I324" s="604"/>
      <c r="J324" s="604"/>
      <c r="K324" s="604"/>
      <c r="L324" s="604"/>
      <c r="M324" s="604"/>
      <c r="N324" s="604"/>
      <c r="O324" s="604"/>
      <c r="P324" s="604"/>
      <c r="Q324" s="604"/>
      <c r="R324" s="604"/>
      <c r="S324" s="604"/>
      <c r="T324" s="604"/>
      <c r="U324" s="604"/>
      <c r="V324" s="604"/>
      <c r="W324" s="604"/>
      <c r="X324" s="604"/>
    </row>
    <row r="325" spans="1:24" ht="15.6">
      <c r="A325" s="604"/>
      <c r="B325" s="604"/>
      <c r="C325" s="609"/>
      <c r="D325" s="604"/>
      <c r="E325" s="604"/>
      <c r="F325" s="604"/>
      <c r="G325" s="604"/>
      <c r="H325" s="604"/>
      <c r="I325" s="604"/>
      <c r="J325" s="604"/>
      <c r="K325" s="604"/>
      <c r="L325" s="604"/>
      <c r="M325" s="604"/>
      <c r="N325" s="604"/>
      <c r="O325" s="604"/>
      <c r="P325" s="604"/>
      <c r="Q325" s="604"/>
      <c r="R325" s="604"/>
      <c r="S325" s="604"/>
      <c r="T325" s="604"/>
      <c r="U325" s="604"/>
      <c r="V325" s="604"/>
      <c r="W325" s="604"/>
      <c r="X325" s="604"/>
    </row>
    <row r="326" spans="1:24" ht="15.6">
      <c r="A326" s="604"/>
      <c r="B326" s="604"/>
      <c r="C326" s="609"/>
      <c r="D326" s="604"/>
      <c r="E326" s="604"/>
      <c r="F326" s="604"/>
      <c r="G326" s="604"/>
      <c r="H326" s="604"/>
      <c r="I326" s="604"/>
      <c r="J326" s="604"/>
      <c r="K326" s="604"/>
      <c r="L326" s="604"/>
      <c r="M326" s="604"/>
      <c r="N326" s="604"/>
      <c r="O326" s="604"/>
      <c r="P326" s="604"/>
      <c r="Q326" s="604"/>
      <c r="R326" s="604"/>
      <c r="S326" s="604"/>
      <c r="T326" s="604"/>
      <c r="U326" s="604"/>
      <c r="V326" s="604"/>
      <c r="W326" s="604"/>
      <c r="X326" s="604"/>
    </row>
    <row r="327" spans="1:24" ht="15.6">
      <c r="A327" s="604"/>
      <c r="B327" s="604"/>
      <c r="C327" s="609"/>
      <c r="D327" s="604"/>
      <c r="E327" s="604"/>
      <c r="F327" s="604"/>
      <c r="G327" s="604"/>
      <c r="H327" s="604"/>
      <c r="I327" s="604"/>
      <c r="J327" s="604"/>
      <c r="K327" s="604"/>
      <c r="L327" s="604"/>
      <c r="M327" s="604"/>
      <c r="N327" s="604"/>
      <c r="O327" s="604"/>
      <c r="P327" s="604"/>
      <c r="Q327" s="604"/>
      <c r="R327" s="604"/>
      <c r="S327" s="604"/>
      <c r="T327" s="604"/>
      <c r="U327" s="604"/>
      <c r="V327" s="604"/>
      <c r="W327" s="604"/>
      <c r="X327" s="604"/>
    </row>
    <row r="328" spans="1:24" ht="15.6">
      <c r="A328" s="604"/>
      <c r="B328" s="604"/>
      <c r="C328" s="609"/>
      <c r="D328" s="604"/>
      <c r="E328" s="604"/>
      <c r="F328" s="604"/>
      <c r="G328" s="604"/>
      <c r="H328" s="604"/>
      <c r="I328" s="604"/>
      <c r="J328" s="604"/>
      <c r="K328" s="604"/>
      <c r="L328" s="604"/>
      <c r="M328" s="604"/>
      <c r="N328" s="604"/>
      <c r="O328" s="604"/>
      <c r="P328" s="604"/>
      <c r="Q328" s="604"/>
      <c r="R328" s="604"/>
      <c r="S328" s="604"/>
      <c r="T328" s="604"/>
      <c r="U328" s="604"/>
      <c r="V328" s="604"/>
      <c r="W328" s="604"/>
      <c r="X328" s="604"/>
    </row>
    <row r="329" spans="1:24" ht="15.6">
      <c r="A329" s="604"/>
      <c r="B329" s="604"/>
      <c r="C329" s="609"/>
      <c r="D329" s="604"/>
      <c r="E329" s="604"/>
      <c r="F329" s="604"/>
      <c r="G329" s="604"/>
      <c r="H329" s="604"/>
      <c r="I329" s="604"/>
      <c r="J329" s="604"/>
      <c r="K329" s="604"/>
      <c r="L329" s="604"/>
      <c r="M329" s="604"/>
      <c r="N329" s="604"/>
      <c r="O329" s="604"/>
      <c r="P329" s="604"/>
      <c r="Q329" s="604"/>
      <c r="R329" s="604"/>
      <c r="S329" s="604"/>
      <c r="T329" s="604"/>
      <c r="U329" s="604"/>
      <c r="V329" s="604"/>
      <c r="W329" s="604"/>
      <c r="X329" s="604"/>
    </row>
    <row r="330" spans="1:24" ht="15.6">
      <c r="A330" s="604"/>
      <c r="B330" s="604"/>
      <c r="C330" s="609"/>
      <c r="D330" s="604"/>
      <c r="E330" s="604"/>
      <c r="F330" s="604"/>
      <c r="G330" s="604"/>
      <c r="H330" s="604"/>
      <c r="I330" s="604"/>
      <c r="J330" s="604"/>
      <c r="K330" s="604"/>
      <c r="L330" s="604"/>
      <c r="M330" s="604"/>
      <c r="N330" s="604"/>
      <c r="O330" s="604"/>
      <c r="P330" s="604"/>
      <c r="Q330" s="604"/>
      <c r="R330" s="604"/>
      <c r="S330" s="604"/>
      <c r="T330" s="604"/>
      <c r="U330" s="604"/>
      <c r="V330" s="604"/>
      <c r="W330" s="604"/>
      <c r="X330" s="604"/>
    </row>
    <row r="331" spans="1:24" ht="15.6">
      <c r="A331" s="604"/>
      <c r="B331" s="604"/>
      <c r="C331" s="609"/>
      <c r="D331" s="604"/>
      <c r="E331" s="604"/>
      <c r="F331" s="604"/>
      <c r="G331" s="604"/>
      <c r="H331" s="604"/>
      <c r="I331" s="604"/>
      <c r="J331" s="604"/>
      <c r="K331" s="604"/>
      <c r="L331" s="604"/>
      <c r="M331" s="604"/>
      <c r="N331" s="604"/>
      <c r="O331" s="604"/>
      <c r="P331" s="604"/>
      <c r="Q331" s="604"/>
      <c r="R331" s="604"/>
      <c r="S331" s="604"/>
      <c r="T331" s="604"/>
      <c r="U331" s="604"/>
      <c r="V331" s="604"/>
      <c r="W331" s="604"/>
      <c r="X331" s="604"/>
    </row>
    <row r="332" spans="1:24" ht="15.6">
      <c r="A332" s="604"/>
      <c r="B332" s="604"/>
      <c r="C332" s="609"/>
      <c r="D332" s="604"/>
      <c r="E332" s="604"/>
      <c r="F332" s="604"/>
      <c r="G332" s="604"/>
      <c r="H332" s="604"/>
      <c r="I332" s="604"/>
      <c r="J332" s="604"/>
      <c r="K332" s="604"/>
      <c r="L332" s="604"/>
      <c r="M332" s="604"/>
      <c r="N332" s="604"/>
      <c r="O332" s="604"/>
      <c r="P332" s="604"/>
      <c r="Q332" s="604"/>
      <c r="R332" s="604"/>
      <c r="S332" s="604"/>
      <c r="T332" s="604"/>
      <c r="U332" s="604"/>
      <c r="V332" s="604"/>
      <c r="W332" s="604"/>
      <c r="X332" s="604"/>
    </row>
    <row r="333" spans="1:24" ht="15.6">
      <c r="A333" s="604"/>
      <c r="B333" s="604"/>
      <c r="C333" s="609"/>
      <c r="D333" s="604"/>
      <c r="E333" s="604"/>
      <c r="F333" s="604"/>
      <c r="G333" s="604"/>
      <c r="H333" s="604"/>
      <c r="I333" s="604"/>
      <c r="J333" s="604"/>
      <c r="K333" s="604"/>
      <c r="L333" s="604"/>
      <c r="M333" s="604"/>
      <c r="N333" s="604"/>
      <c r="O333" s="604"/>
      <c r="P333" s="604"/>
      <c r="Q333" s="604"/>
      <c r="R333" s="604"/>
      <c r="S333" s="604"/>
      <c r="T333" s="604"/>
      <c r="U333" s="604"/>
      <c r="V333" s="604"/>
      <c r="W333" s="604"/>
      <c r="X333" s="604"/>
    </row>
    <row r="334" spans="1:24" ht="15.6">
      <c r="A334" s="604"/>
      <c r="B334" s="604"/>
      <c r="C334" s="609"/>
      <c r="D334" s="604"/>
      <c r="E334" s="604"/>
      <c r="F334" s="604"/>
      <c r="G334" s="604"/>
      <c r="H334" s="604"/>
      <c r="I334" s="604"/>
      <c r="J334" s="604"/>
      <c r="K334" s="604"/>
      <c r="L334" s="604"/>
      <c r="M334" s="604"/>
      <c r="N334" s="604"/>
      <c r="O334" s="604"/>
      <c r="P334" s="604"/>
      <c r="Q334" s="604"/>
      <c r="R334" s="604"/>
      <c r="S334" s="604"/>
      <c r="T334" s="604"/>
      <c r="U334" s="604"/>
      <c r="V334" s="604"/>
      <c r="W334" s="604"/>
      <c r="X334" s="604"/>
    </row>
    <row r="335" spans="1:24" ht="15.6">
      <c r="A335" s="604"/>
      <c r="B335" s="604"/>
      <c r="C335" s="609"/>
      <c r="D335" s="604"/>
      <c r="E335" s="604"/>
      <c r="F335" s="604"/>
      <c r="G335" s="604"/>
      <c r="H335" s="604"/>
      <c r="I335" s="604"/>
      <c r="J335" s="604"/>
      <c r="K335" s="604"/>
      <c r="L335" s="604"/>
      <c r="M335" s="604"/>
      <c r="N335" s="604"/>
      <c r="O335" s="604"/>
      <c r="P335" s="604"/>
      <c r="Q335" s="604"/>
      <c r="R335" s="604"/>
      <c r="S335" s="604"/>
      <c r="T335" s="604"/>
      <c r="U335" s="604"/>
      <c r="V335" s="604"/>
      <c r="W335" s="604"/>
      <c r="X335" s="604"/>
    </row>
    <row r="336" spans="1:24" ht="15.6">
      <c r="A336" s="604"/>
      <c r="B336" s="604"/>
      <c r="C336" s="609"/>
      <c r="D336" s="604"/>
      <c r="E336" s="604"/>
      <c r="F336" s="604"/>
      <c r="G336" s="604"/>
      <c r="H336" s="604"/>
      <c r="I336" s="604"/>
      <c r="J336" s="604"/>
      <c r="K336" s="604"/>
      <c r="L336" s="604"/>
      <c r="M336" s="604"/>
      <c r="N336" s="604"/>
      <c r="O336" s="604"/>
      <c r="P336" s="604"/>
      <c r="Q336" s="604"/>
      <c r="R336" s="604"/>
      <c r="S336" s="604"/>
      <c r="T336" s="604"/>
      <c r="U336" s="604"/>
      <c r="V336" s="604"/>
      <c r="W336" s="604"/>
      <c r="X336" s="604"/>
    </row>
    <row r="337" spans="1:24" ht="15.6">
      <c r="A337" s="604"/>
      <c r="B337" s="604"/>
      <c r="C337" s="609"/>
      <c r="D337" s="604"/>
      <c r="E337" s="604"/>
      <c r="F337" s="604"/>
      <c r="G337" s="604"/>
      <c r="H337" s="604"/>
      <c r="I337" s="604"/>
      <c r="J337" s="604"/>
      <c r="K337" s="604"/>
      <c r="L337" s="604"/>
      <c r="M337" s="604"/>
      <c r="N337" s="604"/>
      <c r="O337" s="604"/>
      <c r="P337" s="604"/>
      <c r="Q337" s="604"/>
      <c r="R337" s="604"/>
      <c r="S337" s="604"/>
      <c r="T337" s="604"/>
      <c r="U337" s="604"/>
      <c r="V337" s="604"/>
      <c r="W337" s="604"/>
      <c r="X337" s="604"/>
    </row>
    <row r="338" spans="1:24" ht="15.6">
      <c r="A338" s="604"/>
      <c r="B338" s="604"/>
      <c r="C338" s="609"/>
      <c r="D338" s="604"/>
      <c r="E338" s="604"/>
      <c r="F338" s="604"/>
      <c r="G338" s="604"/>
      <c r="H338" s="604"/>
      <c r="I338" s="604"/>
      <c r="J338" s="604"/>
      <c r="K338" s="604"/>
      <c r="L338" s="604"/>
      <c r="M338" s="604"/>
      <c r="N338" s="604"/>
      <c r="O338" s="604"/>
      <c r="P338" s="604"/>
      <c r="Q338" s="604"/>
      <c r="R338" s="604"/>
      <c r="S338" s="604"/>
      <c r="T338" s="604"/>
      <c r="U338" s="604"/>
      <c r="V338" s="604"/>
      <c r="W338" s="604"/>
      <c r="X338" s="604"/>
    </row>
    <row r="339" spans="1:24" ht="15.6">
      <c r="A339" s="604"/>
      <c r="B339" s="604"/>
      <c r="C339" s="609"/>
      <c r="D339" s="604"/>
      <c r="E339" s="604"/>
      <c r="F339" s="604"/>
      <c r="G339" s="604"/>
      <c r="H339" s="604"/>
      <c r="I339" s="604"/>
      <c r="J339" s="604"/>
      <c r="K339" s="604"/>
      <c r="L339" s="604"/>
      <c r="M339" s="604"/>
      <c r="N339" s="604"/>
      <c r="O339" s="604"/>
      <c r="P339" s="604"/>
      <c r="Q339" s="604"/>
      <c r="R339" s="604"/>
      <c r="S339" s="604"/>
      <c r="T339" s="604"/>
      <c r="U339" s="604"/>
      <c r="V339" s="604"/>
      <c r="W339" s="604"/>
      <c r="X339" s="604"/>
    </row>
    <row r="340" spans="1:24" ht="15.6">
      <c r="A340" s="604"/>
      <c r="B340" s="604"/>
      <c r="C340" s="609"/>
      <c r="D340" s="604"/>
      <c r="E340" s="604"/>
      <c r="F340" s="604"/>
      <c r="G340" s="604"/>
      <c r="H340" s="604"/>
      <c r="I340" s="604"/>
      <c r="J340" s="604"/>
      <c r="K340" s="604"/>
      <c r="L340" s="604"/>
      <c r="M340" s="604"/>
      <c r="N340" s="604"/>
      <c r="O340" s="604"/>
      <c r="P340" s="604"/>
      <c r="Q340" s="604"/>
      <c r="R340" s="604"/>
      <c r="S340" s="604"/>
      <c r="T340" s="604"/>
      <c r="U340" s="604"/>
      <c r="V340" s="604"/>
      <c r="W340" s="604"/>
      <c r="X340" s="604"/>
    </row>
    <row r="341" spans="1:24" ht="15.6">
      <c r="A341" s="604"/>
      <c r="B341" s="604"/>
      <c r="C341" s="609"/>
      <c r="D341" s="604"/>
      <c r="E341" s="604"/>
      <c r="F341" s="604"/>
      <c r="G341" s="604"/>
      <c r="H341" s="604"/>
      <c r="I341" s="604"/>
      <c r="J341" s="604"/>
      <c r="K341" s="604"/>
      <c r="L341" s="604"/>
      <c r="M341" s="604"/>
      <c r="N341" s="604"/>
      <c r="O341" s="604"/>
      <c r="P341" s="604"/>
      <c r="Q341" s="604"/>
      <c r="R341" s="604"/>
      <c r="S341" s="604"/>
      <c r="T341" s="604"/>
      <c r="U341" s="604"/>
      <c r="V341" s="604"/>
      <c r="W341" s="604"/>
      <c r="X341" s="604"/>
    </row>
    <row r="342" spans="1:24" ht="15.6">
      <c r="A342" s="604"/>
      <c r="B342" s="604"/>
      <c r="C342" s="609"/>
      <c r="D342" s="604"/>
      <c r="E342" s="604"/>
      <c r="F342" s="604"/>
      <c r="G342" s="604"/>
      <c r="H342" s="604"/>
      <c r="I342" s="604"/>
      <c r="J342" s="604"/>
      <c r="K342" s="604"/>
      <c r="L342" s="604"/>
      <c r="M342" s="604"/>
      <c r="N342" s="604"/>
      <c r="O342" s="604"/>
      <c r="P342" s="604"/>
      <c r="Q342" s="604"/>
      <c r="R342" s="604"/>
      <c r="S342" s="604"/>
      <c r="T342" s="604"/>
      <c r="U342" s="604"/>
      <c r="V342" s="604"/>
      <c r="W342" s="604"/>
      <c r="X342" s="604"/>
    </row>
    <row r="343" spans="1:24" ht="15.6">
      <c r="A343" s="604"/>
      <c r="B343" s="604"/>
      <c r="C343" s="609"/>
      <c r="D343" s="604"/>
      <c r="E343" s="604"/>
      <c r="F343" s="604"/>
      <c r="G343" s="604"/>
      <c r="H343" s="604"/>
      <c r="I343" s="604"/>
      <c r="J343" s="604"/>
      <c r="K343" s="604"/>
      <c r="L343" s="604"/>
      <c r="M343" s="604"/>
      <c r="N343" s="604"/>
      <c r="O343" s="604"/>
      <c r="P343" s="604"/>
      <c r="Q343" s="604"/>
      <c r="R343" s="604"/>
      <c r="S343" s="604"/>
      <c r="T343" s="604"/>
      <c r="U343" s="604"/>
      <c r="V343" s="604"/>
      <c r="W343" s="604"/>
      <c r="X343" s="604"/>
    </row>
    <row r="344" spans="1:24" ht="15.6">
      <c r="A344" s="604"/>
      <c r="B344" s="604"/>
      <c r="C344" s="609"/>
      <c r="D344" s="604"/>
      <c r="E344" s="604"/>
      <c r="F344" s="604"/>
      <c r="G344" s="604"/>
      <c r="H344" s="604"/>
      <c r="I344" s="604"/>
      <c r="J344" s="604"/>
      <c r="K344" s="604"/>
      <c r="L344" s="604"/>
      <c r="M344" s="604"/>
      <c r="N344" s="604"/>
      <c r="O344" s="604"/>
      <c r="P344" s="604"/>
      <c r="Q344" s="604"/>
      <c r="R344" s="604"/>
      <c r="S344" s="604"/>
      <c r="T344" s="604"/>
      <c r="U344" s="604"/>
      <c r="V344" s="604"/>
      <c r="W344" s="604"/>
      <c r="X344" s="604"/>
    </row>
    <row r="345" spans="1:24" ht="15.6">
      <c r="A345" s="604"/>
      <c r="B345" s="604"/>
      <c r="C345" s="609"/>
      <c r="D345" s="604"/>
      <c r="E345" s="604"/>
      <c r="F345" s="604"/>
      <c r="G345" s="604"/>
      <c r="H345" s="604"/>
      <c r="I345" s="604"/>
      <c r="J345" s="604"/>
      <c r="K345" s="604"/>
      <c r="L345" s="604"/>
      <c r="M345" s="604"/>
      <c r="N345" s="604"/>
      <c r="O345" s="604"/>
      <c r="P345" s="604"/>
      <c r="Q345" s="604"/>
      <c r="R345" s="604"/>
      <c r="S345" s="604"/>
      <c r="T345" s="604"/>
      <c r="U345" s="604"/>
      <c r="V345" s="604"/>
      <c r="W345" s="604"/>
      <c r="X345" s="604"/>
    </row>
    <row r="346" spans="1:24" ht="15.6">
      <c r="A346" s="604"/>
      <c r="B346" s="604"/>
      <c r="C346" s="609"/>
      <c r="D346" s="604"/>
      <c r="E346" s="604"/>
      <c r="F346" s="604"/>
      <c r="G346" s="604"/>
      <c r="H346" s="604"/>
      <c r="I346" s="604"/>
      <c r="J346" s="604"/>
      <c r="K346" s="604"/>
      <c r="L346" s="604"/>
      <c r="M346" s="604"/>
      <c r="N346" s="604"/>
      <c r="O346" s="604"/>
      <c r="P346" s="604"/>
      <c r="Q346" s="604"/>
      <c r="R346" s="604"/>
      <c r="S346" s="604"/>
      <c r="T346" s="604"/>
      <c r="U346" s="604"/>
      <c r="V346" s="604"/>
      <c r="W346" s="604"/>
      <c r="X346" s="604"/>
    </row>
    <row r="347" spans="1:24" ht="15.6">
      <c r="A347" s="604"/>
      <c r="B347" s="604"/>
      <c r="C347" s="609"/>
      <c r="D347" s="604"/>
      <c r="E347" s="604"/>
      <c r="F347" s="604"/>
      <c r="G347" s="604"/>
      <c r="H347" s="604"/>
      <c r="I347" s="604"/>
      <c r="J347" s="604"/>
      <c r="K347" s="604"/>
      <c r="L347" s="604"/>
      <c r="M347" s="604"/>
      <c r="N347" s="604"/>
      <c r="O347" s="604"/>
      <c r="P347" s="604"/>
      <c r="Q347" s="604"/>
      <c r="R347" s="604"/>
      <c r="S347" s="604"/>
      <c r="T347" s="604"/>
      <c r="U347" s="604"/>
      <c r="V347" s="604"/>
      <c r="W347" s="604"/>
      <c r="X347" s="604"/>
    </row>
    <row r="348" spans="1:24" ht="15.6">
      <c r="A348" s="604"/>
      <c r="B348" s="604"/>
      <c r="C348" s="609"/>
      <c r="D348" s="604"/>
      <c r="E348" s="604"/>
      <c r="F348" s="604"/>
      <c r="G348" s="604"/>
      <c r="H348" s="604"/>
      <c r="I348" s="604"/>
      <c r="J348" s="604"/>
      <c r="K348" s="604"/>
      <c r="L348" s="604"/>
      <c r="M348" s="604"/>
      <c r="N348" s="604"/>
      <c r="O348" s="604"/>
      <c r="P348" s="604"/>
      <c r="Q348" s="604"/>
      <c r="R348" s="604"/>
      <c r="S348" s="604"/>
      <c r="T348" s="604"/>
      <c r="U348" s="604"/>
      <c r="V348" s="604"/>
      <c r="W348" s="604"/>
      <c r="X348" s="604"/>
    </row>
    <row r="349" spans="1:24" ht="15.6">
      <c r="A349" s="604"/>
      <c r="B349" s="604"/>
      <c r="C349" s="609"/>
      <c r="D349" s="604"/>
      <c r="E349" s="604"/>
      <c r="F349" s="604"/>
      <c r="G349" s="604"/>
      <c r="H349" s="604"/>
      <c r="I349" s="604"/>
      <c r="J349" s="604"/>
      <c r="K349" s="604"/>
      <c r="L349" s="604"/>
      <c r="M349" s="604"/>
      <c r="N349" s="604"/>
      <c r="O349" s="604"/>
      <c r="P349" s="604"/>
      <c r="Q349" s="604"/>
      <c r="R349" s="604"/>
      <c r="S349" s="604"/>
      <c r="T349" s="604"/>
      <c r="U349" s="604"/>
      <c r="V349" s="604"/>
      <c r="W349" s="604"/>
      <c r="X349" s="604"/>
    </row>
    <row r="350" spans="1:24" ht="15.6">
      <c r="A350" s="604"/>
      <c r="B350" s="604"/>
      <c r="C350" s="609"/>
      <c r="D350" s="604"/>
      <c r="E350" s="604"/>
      <c r="F350" s="604"/>
      <c r="G350" s="604"/>
      <c r="H350" s="604"/>
      <c r="I350" s="604"/>
      <c r="J350" s="604"/>
      <c r="K350" s="604"/>
      <c r="L350" s="604"/>
      <c r="M350" s="604"/>
      <c r="N350" s="604"/>
      <c r="O350" s="604"/>
      <c r="P350" s="604"/>
      <c r="Q350" s="604"/>
      <c r="R350" s="604"/>
      <c r="S350" s="604"/>
      <c r="T350" s="604"/>
      <c r="U350" s="604"/>
      <c r="V350" s="604"/>
      <c r="W350" s="604"/>
      <c r="X350" s="604"/>
    </row>
    <row r="351" spans="1:24" ht="15.6">
      <c r="A351" s="604"/>
      <c r="B351" s="604"/>
      <c r="C351" s="609"/>
      <c r="D351" s="604"/>
      <c r="E351" s="604"/>
      <c r="F351" s="604"/>
      <c r="G351" s="604"/>
      <c r="H351" s="604"/>
      <c r="I351" s="604"/>
      <c r="J351" s="604"/>
      <c r="K351" s="604"/>
      <c r="L351" s="604"/>
      <c r="M351" s="604"/>
      <c r="N351" s="604"/>
      <c r="O351" s="604"/>
      <c r="P351" s="604"/>
      <c r="Q351" s="604"/>
      <c r="R351" s="604"/>
      <c r="S351" s="604"/>
      <c r="T351" s="604"/>
      <c r="U351" s="604"/>
      <c r="V351" s="604"/>
      <c r="W351" s="604"/>
      <c r="X351" s="604"/>
    </row>
    <row r="352" spans="1:24" ht="15.6">
      <c r="A352" s="604"/>
      <c r="B352" s="604"/>
      <c r="C352" s="609"/>
      <c r="D352" s="604"/>
      <c r="E352" s="604"/>
      <c r="F352" s="604"/>
      <c r="G352" s="604"/>
      <c r="H352" s="604"/>
      <c r="I352" s="604"/>
      <c r="J352" s="604"/>
      <c r="K352" s="604"/>
      <c r="L352" s="604"/>
      <c r="M352" s="604"/>
      <c r="N352" s="604"/>
      <c r="O352" s="604"/>
      <c r="P352" s="604"/>
      <c r="Q352" s="604"/>
      <c r="R352" s="604"/>
      <c r="S352" s="604"/>
      <c r="T352" s="604"/>
      <c r="U352" s="604"/>
      <c r="V352" s="604"/>
      <c r="W352" s="604"/>
      <c r="X352" s="604"/>
    </row>
    <row r="353" spans="1:24" ht="15.6">
      <c r="A353" s="604"/>
      <c r="B353" s="604"/>
      <c r="C353" s="609"/>
      <c r="D353" s="604"/>
      <c r="E353" s="604"/>
      <c r="F353" s="604"/>
      <c r="G353" s="604"/>
      <c r="H353" s="604"/>
      <c r="I353" s="604"/>
      <c r="J353" s="604"/>
      <c r="K353" s="604"/>
      <c r="L353" s="604"/>
      <c r="M353" s="604"/>
      <c r="N353" s="604"/>
      <c r="O353" s="604"/>
      <c r="P353" s="604"/>
      <c r="Q353" s="604"/>
      <c r="R353" s="604"/>
      <c r="S353" s="604"/>
      <c r="T353" s="604"/>
      <c r="U353" s="604"/>
      <c r="V353" s="604"/>
      <c r="W353" s="604"/>
      <c r="X353" s="604"/>
    </row>
    <row r="354" spans="1:24" ht="15.6">
      <c r="A354" s="604"/>
      <c r="B354" s="604"/>
      <c r="C354" s="609"/>
      <c r="D354" s="604"/>
      <c r="E354" s="604"/>
      <c r="F354" s="604"/>
      <c r="G354" s="604"/>
      <c r="H354" s="604"/>
      <c r="I354" s="604"/>
      <c r="J354" s="604"/>
      <c r="K354" s="604"/>
      <c r="L354" s="604"/>
      <c r="M354" s="604"/>
      <c r="N354" s="604"/>
      <c r="O354" s="604"/>
      <c r="P354" s="604"/>
      <c r="Q354" s="604"/>
      <c r="R354" s="604"/>
      <c r="S354" s="604"/>
      <c r="T354" s="604"/>
      <c r="U354" s="604"/>
      <c r="V354" s="604"/>
      <c r="W354" s="604"/>
      <c r="X354" s="604"/>
    </row>
    <row r="355" spans="1:24" ht="15.6">
      <c r="A355" s="604"/>
      <c r="B355" s="604"/>
      <c r="C355" s="609"/>
      <c r="D355" s="604"/>
      <c r="E355" s="604"/>
      <c r="F355" s="604"/>
      <c r="G355" s="604"/>
      <c r="H355" s="604"/>
      <c r="I355" s="604"/>
      <c r="J355" s="604"/>
      <c r="K355" s="604"/>
      <c r="L355" s="604"/>
      <c r="M355" s="604"/>
      <c r="N355" s="604"/>
      <c r="O355" s="604"/>
      <c r="P355" s="604"/>
      <c r="Q355" s="604"/>
      <c r="R355" s="604"/>
      <c r="S355" s="604"/>
      <c r="T355" s="604"/>
      <c r="U355" s="604"/>
      <c r="V355" s="604"/>
      <c r="W355" s="604"/>
      <c r="X355" s="604"/>
    </row>
    <row r="356" spans="1:24" ht="15.6">
      <c r="A356" s="604"/>
      <c r="B356" s="604"/>
      <c r="C356" s="609"/>
      <c r="D356" s="604"/>
      <c r="E356" s="604"/>
      <c r="F356" s="604"/>
      <c r="G356" s="604"/>
      <c r="H356" s="604"/>
      <c r="I356" s="604"/>
      <c r="J356" s="604"/>
      <c r="K356" s="604"/>
      <c r="L356" s="604"/>
      <c r="M356" s="604"/>
      <c r="N356" s="604"/>
      <c r="O356" s="604"/>
      <c r="P356" s="604"/>
      <c r="Q356" s="604"/>
      <c r="R356" s="604"/>
      <c r="S356" s="604"/>
      <c r="T356" s="604"/>
      <c r="U356" s="604"/>
      <c r="V356" s="604"/>
      <c r="W356" s="604"/>
      <c r="X356" s="604"/>
    </row>
    <row r="357" spans="1:24" ht="15.6">
      <c r="A357" s="604"/>
      <c r="B357" s="604"/>
      <c r="C357" s="609"/>
      <c r="D357" s="604"/>
      <c r="E357" s="604"/>
      <c r="F357" s="604"/>
      <c r="G357" s="604"/>
      <c r="H357" s="604"/>
      <c r="I357" s="604"/>
      <c r="J357" s="604"/>
      <c r="K357" s="604"/>
      <c r="L357" s="604"/>
      <c r="M357" s="604"/>
      <c r="N357" s="604"/>
      <c r="O357" s="604"/>
      <c r="P357" s="604"/>
      <c r="Q357" s="604"/>
      <c r="R357" s="604"/>
      <c r="S357" s="604"/>
      <c r="T357" s="604"/>
      <c r="U357" s="604"/>
      <c r="V357" s="604"/>
      <c r="W357" s="604"/>
      <c r="X357" s="604"/>
    </row>
    <row r="358" spans="1:24" ht="15.6">
      <c r="A358" s="604"/>
      <c r="B358" s="604"/>
      <c r="C358" s="609"/>
      <c r="D358" s="604"/>
      <c r="E358" s="604"/>
      <c r="F358" s="604"/>
      <c r="G358" s="604"/>
      <c r="H358" s="604"/>
      <c r="I358" s="604"/>
      <c r="J358" s="604"/>
      <c r="K358" s="604"/>
      <c r="L358" s="604"/>
      <c r="M358" s="604"/>
      <c r="N358" s="604"/>
      <c r="O358" s="604"/>
      <c r="P358" s="604"/>
      <c r="Q358" s="604"/>
      <c r="R358" s="604"/>
      <c r="S358" s="604"/>
      <c r="T358" s="604"/>
      <c r="U358" s="604"/>
      <c r="V358" s="604"/>
      <c r="W358" s="604"/>
      <c r="X358" s="604"/>
    </row>
    <row r="359" spans="1:24" ht="15.6">
      <c r="A359" s="604"/>
      <c r="B359" s="604"/>
      <c r="C359" s="609"/>
      <c r="D359" s="604"/>
      <c r="E359" s="604"/>
      <c r="F359" s="604"/>
      <c r="G359" s="604"/>
      <c r="H359" s="604"/>
      <c r="I359" s="604"/>
      <c r="J359" s="604"/>
      <c r="K359" s="604"/>
      <c r="L359" s="604"/>
      <c r="M359" s="604"/>
      <c r="N359" s="604"/>
      <c r="O359" s="604"/>
      <c r="P359" s="604"/>
      <c r="Q359" s="604"/>
      <c r="R359" s="604"/>
      <c r="S359" s="604"/>
      <c r="T359" s="604"/>
      <c r="U359" s="604"/>
      <c r="V359" s="604"/>
      <c r="W359" s="604"/>
      <c r="X359" s="604"/>
    </row>
    <row r="360" spans="1:24" ht="15.6">
      <c r="A360" s="604"/>
      <c r="B360" s="604"/>
      <c r="C360" s="609"/>
      <c r="D360" s="604"/>
      <c r="E360" s="604"/>
      <c r="F360" s="604"/>
      <c r="G360" s="604"/>
      <c r="H360" s="604"/>
      <c r="I360" s="604"/>
      <c r="J360" s="604"/>
      <c r="K360" s="604"/>
      <c r="L360" s="604"/>
      <c r="M360" s="604"/>
      <c r="N360" s="604"/>
      <c r="O360" s="604"/>
      <c r="P360" s="604"/>
      <c r="Q360" s="604"/>
      <c r="R360" s="604"/>
      <c r="S360" s="604"/>
      <c r="T360" s="604"/>
      <c r="U360" s="604"/>
      <c r="V360" s="604"/>
      <c r="W360" s="604"/>
      <c r="X360" s="604"/>
    </row>
    <row r="361" spans="1:24" ht="15.6">
      <c r="A361" s="604"/>
      <c r="B361" s="604"/>
      <c r="C361" s="609"/>
      <c r="D361" s="604"/>
      <c r="E361" s="604"/>
      <c r="F361" s="604"/>
      <c r="G361" s="604"/>
      <c r="H361" s="604"/>
      <c r="I361" s="604"/>
      <c r="J361" s="604"/>
      <c r="K361" s="604"/>
      <c r="L361" s="604"/>
      <c r="M361" s="604"/>
      <c r="N361" s="604"/>
      <c r="O361" s="604"/>
      <c r="P361" s="604"/>
      <c r="Q361" s="604"/>
      <c r="R361" s="604"/>
      <c r="S361" s="604"/>
      <c r="T361" s="604"/>
      <c r="U361" s="604"/>
      <c r="V361" s="604"/>
      <c r="W361" s="604"/>
      <c r="X361" s="604"/>
    </row>
    <row r="362" spans="1:24" ht="15.6">
      <c r="A362" s="604"/>
      <c r="B362" s="604"/>
      <c r="C362" s="609"/>
      <c r="D362" s="604"/>
      <c r="E362" s="604"/>
      <c r="F362" s="604"/>
      <c r="G362" s="604"/>
      <c r="H362" s="604"/>
      <c r="I362" s="604"/>
      <c r="J362" s="604"/>
      <c r="K362" s="604"/>
      <c r="L362" s="604"/>
      <c r="M362" s="604"/>
      <c r="N362" s="604"/>
      <c r="O362" s="604"/>
      <c r="P362" s="604"/>
      <c r="Q362" s="604"/>
      <c r="R362" s="604"/>
      <c r="S362" s="604"/>
      <c r="T362" s="604"/>
      <c r="U362" s="604"/>
      <c r="V362" s="604"/>
      <c r="W362" s="604"/>
      <c r="X362" s="604"/>
    </row>
    <row r="363" spans="1:24" ht="15.6">
      <c r="A363" s="604"/>
      <c r="B363" s="604"/>
      <c r="C363" s="609"/>
      <c r="D363" s="604"/>
      <c r="E363" s="604"/>
      <c r="F363" s="604"/>
      <c r="G363" s="604"/>
      <c r="H363" s="604"/>
      <c r="I363" s="604"/>
      <c r="J363" s="604"/>
      <c r="K363" s="604"/>
      <c r="L363" s="604"/>
      <c r="M363" s="604"/>
      <c r="N363" s="604"/>
      <c r="O363" s="604"/>
      <c r="P363" s="604"/>
      <c r="Q363" s="604"/>
      <c r="R363" s="604"/>
      <c r="S363" s="604"/>
      <c r="T363" s="604"/>
      <c r="U363" s="604"/>
      <c r="V363" s="604"/>
      <c r="W363" s="604"/>
      <c r="X363" s="604"/>
    </row>
    <row r="364" spans="1:24" ht="15.6">
      <c r="A364" s="604"/>
      <c r="B364" s="604"/>
      <c r="C364" s="609"/>
      <c r="D364" s="604"/>
      <c r="E364" s="604"/>
      <c r="F364" s="604"/>
      <c r="G364" s="604"/>
      <c r="H364" s="604"/>
      <c r="I364" s="604"/>
      <c r="J364" s="604"/>
      <c r="K364" s="604"/>
      <c r="L364" s="604"/>
      <c r="M364" s="604"/>
      <c r="N364" s="604"/>
      <c r="O364" s="604"/>
      <c r="P364" s="604"/>
      <c r="Q364" s="604"/>
      <c r="R364" s="604"/>
      <c r="S364" s="604"/>
      <c r="T364" s="604"/>
      <c r="U364" s="604"/>
      <c r="V364" s="604"/>
      <c r="W364" s="604"/>
      <c r="X364" s="604"/>
    </row>
    <row r="365" spans="1:24" ht="15.6">
      <c r="A365" s="604"/>
      <c r="B365" s="604"/>
      <c r="C365" s="609"/>
      <c r="D365" s="604"/>
      <c r="E365" s="604"/>
      <c r="F365" s="604"/>
      <c r="G365" s="604"/>
      <c r="H365" s="604"/>
      <c r="I365" s="604"/>
      <c r="J365" s="604"/>
      <c r="K365" s="604"/>
      <c r="L365" s="604"/>
      <c r="M365" s="604"/>
      <c r="N365" s="604"/>
      <c r="O365" s="604"/>
      <c r="P365" s="604"/>
      <c r="Q365" s="604"/>
      <c r="R365" s="604"/>
      <c r="S365" s="604"/>
      <c r="T365" s="604"/>
      <c r="U365" s="604"/>
      <c r="V365" s="604"/>
      <c r="W365" s="604"/>
      <c r="X365" s="604"/>
    </row>
    <row r="366" spans="1:24" ht="15.6">
      <c r="A366" s="604"/>
      <c r="B366" s="604"/>
      <c r="C366" s="609"/>
      <c r="D366" s="604"/>
      <c r="E366" s="604"/>
      <c r="F366" s="604"/>
      <c r="G366" s="604"/>
      <c r="H366" s="604"/>
      <c r="I366" s="604"/>
      <c r="J366" s="604"/>
      <c r="K366" s="604"/>
      <c r="L366" s="604"/>
      <c r="M366" s="604"/>
      <c r="N366" s="604"/>
      <c r="O366" s="604"/>
      <c r="P366" s="604"/>
      <c r="Q366" s="604"/>
      <c r="R366" s="604"/>
      <c r="S366" s="604"/>
      <c r="T366" s="604"/>
      <c r="U366" s="604"/>
      <c r="V366" s="604"/>
      <c r="W366" s="604"/>
      <c r="X366" s="604"/>
    </row>
    <row r="367" spans="1:24" ht="15.6">
      <c r="A367" s="604"/>
      <c r="B367" s="604"/>
      <c r="C367" s="609"/>
      <c r="D367" s="604"/>
      <c r="E367" s="604"/>
      <c r="F367" s="604"/>
      <c r="G367" s="604"/>
      <c r="H367" s="604"/>
      <c r="I367" s="604"/>
      <c r="J367" s="604"/>
      <c r="K367" s="604"/>
      <c r="L367" s="604"/>
      <c r="M367" s="604"/>
      <c r="N367" s="604"/>
      <c r="O367" s="604"/>
      <c r="P367" s="604"/>
      <c r="Q367" s="604"/>
      <c r="R367" s="604"/>
      <c r="S367" s="604"/>
      <c r="T367" s="604"/>
      <c r="U367" s="604"/>
      <c r="V367" s="604"/>
      <c r="W367" s="604"/>
      <c r="X367" s="604"/>
    </row>
    <row r="368" spans="1:24" ht="15.6">
      <c r="A368" s="604"/>
      <c r="B368" s="604"/>
      <c r="C368" s="609"/>
      <c r="D368" s="604"/>
      <c r="E368" s="604"/>
      <c r="F368" s="604"/>
      <c r="G368" s="604"/>
      <c r="H368" s="604"/>
      <c r="I368" s="604"/>
      <c r="J368" s="604"/>
      <c r="K368" s="604"/>
      <c r="L368" s="604"/>
      <c r="M368" s="604"/>
      <c r="N368" s="604"/>
      <c r="O368" s="604"/>
      <c r="P368" s="604"/>
      <c r="Q368" s="604"/>
      <c r="R368" s="604"/>
      <c r="S368" s="604"/>
      <c r="T368" s="604"/>
      <c r="U368" s="604"/>
      <c r="V368" s="604"/>
      <c r="W368" s="604"/>
      <c r="X368" s="604"/>
    </row>
    <row r="369" spans="1:24" ht="15.6">
      <c r="A369" s="604"/>
      <c r="B369" s="604"/>
      <c r="C369" s="609"/>
      <c r="D369" s="604"/>
      <c r="E369" s="604"/>
      <c r="F369" s="604"/>
      <c r="G369" s="604"/>
      <c r="H369" s="604"/>
      <c r="I369" s="604"/>
      <c r="J369" s="604"/>
      <c r="K369" s="604"/>
      <c r="L369" s="604"/>
      <c r="M369" s="604"/>
      <c r="N369" s="604"/>
      <c r="O369" s="604"/>
      <c r="P369" s="604"/>
      <c r="Q369" s="604"/>
      <c r="R369" s="604"/>
      <c r="S369" s="604"/>
      <c r="T369" s="604"/>
      <c r="U369" s="604"/>
      <c r="V369" s="604"/>
      <c r="W369" s="604"/>
      <c r="X369" s="604"/>
    </row>
    <row r="370" spans="1:24" ht="15.6">
      <c r="A370" s="604"/>
      <c r="B370" s="604"/>
      <c r="C370" s="609"/>
      <c r="D370" s="604"/>
      <c r="E370" s="604"/>
      <c r="F370" s="604"/>
      <c r="G370" s="604"/>
      <c r="H370" s="604"/>
      <c r="I370" s="604"/>
      <c r="J370" s="604"/>
      <c r="K370" s="604"/>
      <c r="L370" s="604"/>
      <c r="M370" s="604"/>
      <c r="N370" s="604"/>
      <c r="O370" s="604"/>
      <c r="P370" s="604"/>
      <c r="Q370" s="604"/>
      <c r="R370" s="604"/>
      <c r="S370" s="604"/>
      <c r="T370" s="604"/>
      <c r="U370" s="604"/>
      <c r="V370" s="604"/>
      <c r="W370" s="604"/>
      <c r="X370" s="604"/>
    </row>
    <row r="371" spans="1:24" ht="15.6">
      <c r="A371" s="604"/>
      <c r="B371" s="604"/>
      <c r="C371" s="609"/>
      <c r="D371" s="604"/>
      <c r="E371" s="604"/>
      <c r="F371" s="604"/>
      <c r="G371" s="604"/>
      <c r="H371" s="604"/>
      <c r="I371" s="604"/>
      <c r="J371" s="604"/>
      <c r="K371" s="604"/>
      <c r="L371" s="604"/>
      <c r="M371" s="604"/>
      <c r="N371" s="604"/>
      <c r="O371" s="604"/>
      <c r="P371" s="604"/>
      <c r="Q371" s="604"/>
      <c r="R371" s="604"/>
      <c r="S371" s="604"/>
      <c r="T371" s="604"/>
      <c r="U371" s="604"/>
      <c r="V371" s="604"/>
      <c r="W371" s="604"/>
      <c r="X371" s="604"/>
    </row>
    <row r="372" spans="1:24" ht="15.6">
      <c r="A372" s="604"/>
      <c r="B372" s="604"/>
      <c r="C372" s="609"/>
      <c r="D372" s="604"/>
      <c r="E372" s="604"/>
      <c r="F372" s="604"/>
      <c r="G372" s="604"/>
      <c r="H372" s="604"/>
      <c r="I372" s="604"/>
      <c r="J372" s="604"/>
      <c r="K372" s="604"/>
      <c r="L372" s="604"/>
      <c r="M372" s="604"/>
      <c r="N372" s="604"/>
      <c r="O372" s="604"/>
      <c r="P372" s="604"/>
      <c r="Q372" s="604"/>
      <c r="R372" s="604"/>
      <c r="S372" s="604"/>
      <c r="T372" s="604"/>
      <c r="U372" s="604"/>
      <c r="V372" s="604"/>
      <c r="W372" s="604"/>
      <c r="X372" s="604"/>
    </row>
    <row r="373" spans="1:24" ht="15.6">
      <c r="A373" s="604"/>
      <c r="B373" s="604"/>
      <c r="C373" s="609"/>
      <c r="D373" s="604"/>
      <c r="E373" s="604"/>
      <c r="F373" s="604"/>
      <c r="G373" s="604"/>
      <c r="H373" s="604"/>
      <c r="I373" s="604"/>
      <c r="J373" s="604"/>
      <c r="K373" s="604"/>
      <c r="L373" s="604"/>
      <c r="M373" s="604"/>
      <c r="N373" s="604"/>
      <c r="O373" s="604"/>
      <c r="P373" s="604"/>
      <c r="Q373" s="604"/>
      <c r="R373" s="604"/>
      <c r="S373" s="604"/>
      <c r="T373" s="604"/>
      <c r="U373" s="604"/>
      <c r="V373" s="604"/>
      <c r="W373" s="604"/>
      <c r="X373" s="604"/>
    </row>
    <row r="374" spans="1:24" ht="15.6">
      <c r="A374" s="604"/>
      <c r="B374" s="604"/>
      <c r="C374" s="609"/>
      <c r="D374" s="604"/>
      <c r="E374" s="604"/>
      <c r="F374" s="604"/>
      <c r="G374" s="604"/>
      <c r="H374" s="604"/>
      <c r="I374" s="604"/>
      <c r="J374" s="604"/>
      <c r="K374" s="604"/>
      <c r="L374" s="604"/>
      <c r="M374" s="604"/>
      <c r="N374" s="604"/>
      <c r="O374" s="604"/>
      <c r="P374" s="604"/>
      <c r="Q374" s="604"/>
      <c r="R374" s="604"/>
      <c r="S374" s="604"/>
      <c r="T374" s="604"/>
      <c r="U374" s="604"/>
      <c r="V374" s="604"/>
      <c r="W374" s="604"/>
      <c r="X374" s="604"/>
    </row>
    <row r="375" spans="1:24" ht="15.6">
      <c r="A375" s="604"/>
      <c r="B375" s="604"/>
      <c r="C375" s="609"/>
      <c r="D375" s="604"/>
      <c r="E375" s="604"/>
      <c r="F375" s="604"/>
      <c r="G375" s="604"/>
      <c r="H375" s="604"/>
      <c r="I375" s="604"/>
      <c r="J375" s="604"/>
      <c r="K375" s="604"/>
      <c r="L375" s="604"/>
      <c r="M375" s="604"/>
      <c r="N375" s="604"/>
      <c r="O375" s="604"/>
      <c r="P375" s="604"/>
      <c r="Q375" s="604"/>
      <c r="R375" s="604"/>
      <c r="S375" s="604"/>
      <c r="T375" s="604"/>
      <c r="U375" s="604"/>
      <c r="V375" s="604"/>
      <c r="W375" s="604"/>
      <c r="X375" s="604"/>
    </row>
    <row r="376" spans="1:24" ht="15.6">
      <c r="A376" s="604"/>
      <c r="B376" s="604"/>
      <c r="C376" s="609"/>
      <c r="D376" s="604"/>
      <c r="E376" s="604"/>
      <c r="F376" s="604"/>
      <c r="G376" s="604"/>
      <c r="H376" s="604"/>
      <c r="I376" s="604"/>
      <c r="J376" s="604"/>
      <c r="K376" s="604"/>
      <c r="L376" s="604"/>
      <c r="M376" s="604"/>
      <c r="N376" s="604"/>
      <c r="O376" s="604"/>
      <c r="P376" s="604"/>
      <c r="Q376" s="604"/>
      <c r="R376" s="604"/>
      <c r="S376" s="604"/>
      <c r="T376" s="604"/>
      <c r="U376" s="604"/>
      <c r="V376" s="604"/>
      <c r="W376" s="604"/>
      <c r="X376" s="604"/>
    </row>
    <row r="377" spans="1:24" ht="15.6">
      <c r="A377" s="604"/>
      <c r="B377" s="604"/>
      <c r="C377" s="609"/>
      <c r="D377" s="604"/>
      <c r="E377" s="604"/>
      <c r="F377" s="604"/>
      <c r="G377" s="604"/>
      <c r="H377" s="604"/>
      <c r="I377" s="604"/>
      <c r="J377" s="604"/>
      <c r="K377" s="604"/>
      <c r="L377" s="604"/>
      <c r="M377" s="604"/>
      <c r="N377" s="604"/>
      <c r="O377" s="604"/>
      <c r="P377" s="604"/>
      <c r="Q377" s="604"/>
      <c r="R377" s="604"/>
      <c r="S377" s="604"/>
      <c r="T377" s="604"/>
      <c r="U377" s="604"/>
      <c r="V377" s="604"/>
      <c r="W377" s="604"/>
      <c r="X377" s="604"/>
    </row>
    <row r="378" spans="1:24" ht="15.6">
      <c r="A378" s="604"/>
      <c r="B378" s="604"/>
      <c r="C378" s="609"/>
      <c r="D378" s="604"/>
      <c r="E378" s="604"/>
      <c r="F378" s="604"/>
      <c r="G378" s="604"/>
      <c r="H378" s="604"/>
      <c r="I378" s="604"/>
      <c r="J378" s="604"/>
      <c r="K378" s="604"/>
      <c r="L378" s="604"/>
      <c r="M378" s="604"/>
      <c r="N378" s="604"/>
      <c r="O378" s="604"/>
      <c r="P378" s="604"/>
      <c r="Q378" s="604"/>
      <c r="R378" s="604"/>
      <c r="S378" s="604"/>
      <c r="T378" s="604"/>
      <c r="U378" s="604"/>
      <c r="V378" s="604"/>
      <c r="W378" s="604"/>
      <c r="X378" s="604"/>
    </row>
    <row r="379" spans="1:24" ht="15.6">
      <c r="A379" s="604"/>
      <c r="B379" s="604"/>
      <c r="C379" s="609"/>
      <c r="D379" s="604"/>
      <c r="E379" s="604"/>
      <c r="F379" s="604"/>
      <c r="G379" s="604"/>
      <c r="H379" s="604"/>
      <c r="I379" s="604"/>
      <c r="J379" s="604"/>
      <c r="K379" s="604"/>
      <c r="L379" s="604"/>
      <c r="M379" s="604"/>
      <c r="N379" s="604"/>
      <c r="O379" s="604"/>
      <c r="P379" s="604"/>
      <c r="Q379" s="604"/>
      <c r="R379" s="604"/>
      <c r="S379" s="604"/>
      <c r="T379" s="604"/>
      <c r="U379" s="604"/>
      <c r="V379" s="604"/>
      <c r="W379" s="604"/>
      <c r="X379" s="604"/>
    </row>
    <row r="380" spans="1:24" ht="15.6">
      <c r="A380" s="604"/>
      <c r="B380" s="604"/>
      <c r="C380" s="609"/>
      <c r="D380" s="604"/>
      <c r="E380" s="604"/>
      <c r="F380" s="604"/>
      <c r="G380" s="604"/>
      <c r="H380" s="604"/>
      <c r="I380" s="604"/>
      <c r="J380" s="604"/>
      <c r="K380" s="604"/>
      <c r="L380" s="604"/>
      <c r="M380" s="604"/>
      <c r="N380" s="604"/>
      <c r="O380" s="604"/>
      <c r="P380" s="604"/>
      <c r="Q380" s="604"/>
      <c r="R380" s="604"/>
      <c r="S380" s="604"/>
      <c r="T380" s="604"/>
      <c r="U380" s="604"/>
      <c r="V380" s="604"/>
      <c r="W380" s="604"/>
      <c r="X380" s="604"/>
    </row>
    <row r="381" spans="1:24" ht="15.6">
      <c r="A381" s="604"/>
      <c r="B381" s="604"/>
      <c r="C381" s="609"/>
      <c r="D381" s="604"/>
      <c r="E381" s="604"/>
      <c r="F381" s="604"/>
      <c r="G381" s="604"/>
      <c r="H381" s="604"/>
      <c r="I381" s="604"/>
      <c r="J381" s="604"/>
      <c r="K381" s="604"/>
      <c r="L381" s="604"/>
      <c r="M381" s="604"/>
      <c r="N381" s="604"/>
      <c r="O381" s="604"/>
      <c r="P381" s="604"/>
      <c r="Q381" s="604"/>
      <c r="R381" s="604"/>
      <c r="S381" s="604"/>
      <c r="T381" s="604"/>
      <c r="U381" s="604"/>
      <c r="V381" s="604"/>
      <c r="W381" s="604"/>
      <c r="X381" s="604"/>
    </row>
    <row r="382" spans="1:24" ht="15.6">
      <c r="A382" s="604"/>
      <c r="B382" s="604"/>
      <c r="C382" s="609"/>
      <c r="D382" s="604"/>
      <c r="E382" s="604"/>
      <c r="F382" s="604"/>
      <c r="G382" s="604"/>
      <c r="H382" s="604"/>
      <c r="I382" s="604"/>
      <c r="J382" s="604"/>
      <c r="K382" s="604"/>
      <c r="L382" s="604"/>
      <c r="M382" s="604"/>
      <c r="N382" s="604"/>
      <c r="O382" s="604"/>
      <c r="P382" s="604"/>
      <c r="Q382" s="604"/>
      <c r="R382" s="604"/>
      <c r="S382" s="604"/>
      <c r="T382" s="604"/>
      <c r="U382" s="604"/>
      <c r="V382" s="604"/>
      <c r="W382" s="604"/>
      <c r="X382" s="604"/>
    </row>
    <row r="383" spans="1:24" ht="15.6">
      <c r="A383" s="604"/>
      <c r="B383" s="604"/>
      <c r="C383" s="609"/>
      <c r="D383" s="604"/>
      <c r="E383" s="604"/>
      <c r="F383" s="604"/>
      <c r="G383" s="604"/>
      <c r="H383" s="604"/>
      <c r="I383" s="604"/>
      <c r="J383" s="604"/>
      <c r="K383" s="604"/>
      <c r="L383" s="604"/>
      <c r="M383" s="604"/>
      <c r="N383" s="604"/>
      <c r="O383" s="604"/>
      <c r="P383" s="604"/>
      <c r="Q383" s="604"/>
      <c r="R383" s="604"/>
      <c r="S383" s="604"/>
      <c r="T383" s="604"/>
      <c r="U383" s="604"/>
      <c r="V383" s="604"/>
      <c r="W383" s="604"/>
      <c r="X383" s="604"/>
    </row>
    <row r="384" spans="1:24" ht="15.6">
      <c r="A384" s="604"/>
      <c r="B384" s="604"/>
      <c r="C384" s="609"/>
      <c r="D384" s="604"/>
      <c r="E384" s="604"/>
      <c r="F384" s="604"/>
      <c r="G384" s="604"/>
      <c r="H384" s="604"/>
      <c r="I384" s="604"/>
      <c r="J384" s="604"/>
      <c r="K384" s="604"/>
      <c r="L384" s="604"/>
      <c r="M384" s="604"/>
      <c r="N384" s="604"/>
      <c r="O384" s="604"/>
      <c r="P384" s="604"/>
      <c r="Q384" s="604"/>
      <c r="R384" s="604"/>
      <c r="S384" s="604"/>
      <c r="T384" s="604"/>
      <c r="U384" s="604"/>
      <c r="V384" s="604"/>
      <c r="W384" s="604"/>
      <c r="X384" s="604"/>
    </row>
    <row r="385" spans="1:24" ht="15.6">
      <c r="A385" s="604"/>
      <c r="B385" s="604"/>
      <c r="C385" s="609"/>
      <c r="D385" s="604"/>
      <c r="E385" s="604"/>
      <c r="F385" s="604"/>
      <c r="G385" s="604"/>
      <c r="H385" s="604"/>
      <c r="I385" s="604"/>
      <c r="J385" s="604"/>
      <c r="K385" s="604"/>
      <c r="L385" s="604"/>
      <c r="M385" s="604"/>
      <c r="N385" s="604"/>
      <c r="O385" s="604"/>
      <c r="P385" s="604"/>
      <c r="Q385" s="604"/>
      <c r="R385" s="604"/>
      <c r="S385" s="604"/>
      <c r="T385" s="604"/>
      <c r="U385" s="604"/>
      <c r="V385" s="604"/>
      <c r="W385" s="604"/>
      <c r="X385" s="604"/>
    </row>
    <row r="386" spans="1:24" ht="15.6">
      <c r="A386" s="604"/>
      <c r="B386" s="604"/>
      <c r="C386" s="609"/>
      <c r="D386" s="604"/>
      <c r="E386" s="604"/>
      <c r="F386" s="604"/>
      <c r="G386" s="604"/>
      <c r="H386" s="604"/>
      <c r="I386" s="604"/>
      <c r="J386" s="604"/>
      <c r="K386" s="604"/>
      <c r="L386" s="604"/>
      <c r="M386" s="604"/>
      <c r="N386" s="604"/>
      <c r="O386" s="604"/>
      <c r="P386" s="604"/>
      <c r="Q386" s="604"/>
      <c r="R386" s="604"/>
      <c r="S386" s="604"/>
      <c r="T386" s="604"/>
      <c r="U386" s="604"/>
      <c r="V386" s="604"/>
      <c r="W386" s="604"/>
      <c r="X386" s="604"/>
    </row>
    <row r="387" spans="1:24" ht="15.6">
      <c r="A387" s="604"/>
      <c r="B387" s="604"/>
      <c r="C387" s="609"/>
      <c r="D387" s="604"/>
      <c r="E387" s="604"/>
      <c r="F387" s="604"/>
      <c r="G387" s="604"/>
      <c r="H387" s="604"/>
      <c r="I387" s="604"/>
      <c r="J387" s="604"/>
      <c r="K387" s="604"/>
      <c r="L387" s="604"/>
      <c r="M387" s="604"/>
      <c r="N387" s="604"/>
      <c r="O387" s="604"/>
      <c r="P387" s="604"/>
      <c r="Q387" s="604"/>
      <c r="R387" s="604"/>
      <c r="S387" s="604"/>
      <c r="T387" s="604"/>
      <c r="U387" s="604"/>
      <c r="V387" s="604"/>
      <c r="W387" s="604"/>
      <c r="X387" s="604"/>
    </row>
    <row r="388" spans="1:24" ht="15.6">
      <c r="A388" s="604"/>
      <c r="B388" s="604"/>
      <c r="C388" s="609"/>
      <c r="D388" s="604"/>
      <c r="E388" s="604"/>
      <c r="F388" s="604"/>
      <c r="G388" s="604"/>
      <c r="H388" s="604"/>
      <c r="I388" s="604"/>
      <c r="J388" s="604"/>
      <c r="K388" s="604"/>
      <c r="L388" s="604"/>
      <c r="M388" s="604"/>
      <c r="N388" s="604"/>
      <c r="O388" s="604"/>
      <c r="P388" s="604"/>
      <c r="Q388" s="604"/>
      <c r="R388" s="604"/>
      <c r="S388" s="604"/>
      <c r="T388" s="604"/>
      <c r="U388" s="604"/>
      <c r="V388" s="604"/>
      <c r="W388" s="604"/>
      <c r="X388" s="604"/>
    </row>
    <row r="389" spans="1:24" ht="15.6">
      <c r="A389" s="604"/>
      <c r="B389" s="604"/>
      <c r="C389" s="609"/>
      <c r="D389" s="604"/>
      <c r="E389" s="604"/>
      <c r="F389" s="604"/>
      <c r="G389" s="604"/>
      <c r="H389" s="604"/>
      <c r="I389" s="604"/>
      <c r="J389" s="604"/>
      <c r="K389" s="604"/>
      <c r="L389" s="604"/>
      <c r="M389" s="604"/>
      <c r="N389" s="604"/>
      <c r="O389" s="604"/>
      <c r="P389" s="604"/>
      <c r="Q389" s="604"/>
      <c r="R389" s="604"/>
      <c r="S389" s="604"/>
      <c r="T389" s="604"/>
      <c r="U389" s="604"/>
      <c r="V389" s="604"/>
      <c r="W389" s="604"/>
      <c r="X389" s="604"/>
    </row>
    <row r="390" spans="1:24" ht="15.6">
      <c r="A390" s="604"/>
      <c r="B390" s="604"/>
      <c r="C390" s="609"/>
      <c r="D390" s="604"/>
      <c r="E390" s="604"/>
      <c r="F390" s="604"/>
      <c r="G390" s="604"/>
      <c r="H390" s="604"/>
      <c r="I390" s="604"/>
      <c r="J390" s="604"/>
      <c r="K390" s="604"/>
      <c r="L390" s="604"/>
      <c r="M390" s="604"/>
      <c r="N390" s="604"/>
      <c r="O390" s="604"/>
      <c r="P390" s="604"/>
      <c r="Q390" s="604"/>
      <c r="R390" s="604"/>
      <c r="S390" s="604"/>
      <c r="T390" s="604"/>
      <c r="U390" s="604"/>
      <c r="V390" s="604"/>
      <c r="W390" s="604"/>
      <c r="X390" s="604"/>
    </row>
    <row r="391" spans="1:24" ht="15.6">
      <c r="A391" s="604"/>
      <c r="B391" s="604"/>
      <c r="C391" s="609"/>
      <c r="D391" s="604"/>
      <c r="E391" s="604"/>
      <c r="F391" s="604"/>
      <c r="G391" s="604"/>
      <c r="H391" s="604"/>
      <c r="I391" s="604"/>
      <c r="J391" s="604"/>
      <c r="K391" s="604"/>
      <c r="L391" s="604"/>
      <c r="M391" s="604"/>
      <c r="N391" s="604"/>
      <c r="O391" s="604"/>
      <c r="P391" s="604"/>
      <c r="Q391" s="604"/>
      <c r="R391" s="604"/>
      <c r="S391" s="604"/>
      <c r="T391" s="604"/>
      <c r="U391" s="604"/>
      <c r="V391" s="604"/>
      <c r="W391" s="604"/>
      <c r="X391" s="604"/>
    </row>
    <row r="392" spans="1:24" ht="15.6">
      <c r="A392" s="604"/>
      <c r="B392" s="604"/>
      <c r="C392" s="609"/>
      <c r="D392" s="604"/>
      <c r="E392" s="604"/>
      <c r="F392" s="604"/>
      <c r="G392" s="604"/>
      <c r="H392" s="604"/>
      <c r="I392" s="604"/>
      <c r="J392" s="604"/>
      <c r="K392" s="604"/>
      <c r="L392" s="604"/>
      <c r="M392" s="604"/>
      <c r="N392" s="604"/>
      <c r="O392" s="604"/>
      <c r="P392" s="604"/>
      <c r="Q392" s="604"/>
      <c r="R392" s="604"/>
      <c r="S392" s="604"/>
      <c r="T392" s="604"/>
      <c r="U392" s="604"/>
      <c r="V392" s="604"/>
      <c r="W392" s="604"/>
      <c r="X392" s="604"/>
    </row>
    <row r="393" spans="1:24" ht="15.6">
      <c r="A393" s="604"/>
      <c r="B393" s="604"/>
      <c r="C393" s="609"/>
      <c r="D393" s="604"/>
      <c r="E393" s="604"/>
      <c r="F393" s="604"/>
      <c r="G393" s="604"/>
      <c r="H393" s="604"/>
      <c r="I393" s="604"/>
      <c r="J393" s="604"/>
      <c r="K393" s="604"/>
      <c r="L393" s="604"/>
      <c r="M393" s="604"/>
      <c r="N393" s="604"/>
      <c r="O393" s="604"/>
      <c r="P393" s="604"/>
      <c r="Q393" s="604"/>
      <c r="R393" s="604"/>
      <c r="S393" s="604"/>
      <c r="T393" s="604"/>
      <c r="U393" s="604"/>
      <c r="V393" s="604"/>
      <c r="W393" s="604"/>
      <c r="X393" s="604"/>
    </row>
    <row r="394" spans="1:24" ht="15.6">
      <c r="A394" s="604"/>
      <c r="B394" s="604"/>
      <c r="C394" s="609"/>
      <c r="D394" s="604"/>
      <c r="E394" s="604"/>
      <c r="F394" s="604"/>
      <c r="G394" s="604"/>
      <c r="H394" s="604"/>
      <c r="I394" s="604"/>
      <c r="J394" s="604"/>
      <c r="K394" s="604"/>
      <c r="L394" s="604"/>
      <c r="M394" s="604"/>
      <c r="N394" s="604"/>
      <c r="O394" s="604"/>
      <c r="P394" s="604"/>
      <c r="Q394" s="604"/>
      <c r="R394" s="604"/>
      <c r="S394" s="604"/>
      <c r="T394" s="604"/>
      <c r="U394" s="604"/>
      <c r="V394" s="604"/>
      <c r="W394" s="604"/>
      <c r="X394" s="604"/>
    </row>
    <row r="395" spans="1:24" ht="15.6">
      <c r="A395" s="604"/>
      <c r="B395" s="604"/>
      <c r="C395" s="609"/>
      <c r="D395" s="604"/>
      <c r="E395" s="604"/>
      <c r="F395" s="604"/>
      <c r="G395" s="604"/>
      <c r="H395" s="604"/>
      <c r="I395" s="604"/>
      <c r="J395" s="604"/>
      <c r="K395" s="604"/>
      <c r="L395" s="604"/>
      <c r="M395" s="604"/>
      <c r="N395" s="604"/>
      <c r="O395" s="604"/>
      <c r="P395" s="604"/>
      <c r="Q395" s="604"/>
      <c r="R395" s="604"/>
      <c r="S395" s="604"/>
      <c r="T395" s="604"/>
      <c r="U395" s="604"/>
      <c r="V395" s="604"/>
      <c r="W395" s="604"/>
      <c r="X395" s="604"/>
    </row>
    <row r="396" spans="1:24" ht="15.6">
      <c r="A396" s="604"/>
      <c r="B396" s="604"/>
      <c r="C396" s="609"/>
      <c r="D396" s="604"/>
      <c r="E396" s="604"/>
      <c r="F396" s="604"/>
      <c r="G396" s="604"/>
      <c r="H396" s="604"/>
      <c r="I396" s="604"/>
      <c r="J396" s="604"/>
      <c r="K396" s="604"/>
      <c r="L396" s="604"/>
      <c r="M396" s="604"/>
      <c r="N396" s="604"/>
      <c r="O396" s="604"/>
      <c r="P396" s="604"/>
      <c r="Q396" s="604"/>
      <c r="R396" s="604"/>
      <c r="S396" s="604"/>
      <c r="T396" s="604"/>
      <c r="U396" s="604"/>
      <c r="V396" s="604"/>
      <c r="W396" s="604"/>
      <c r="X396" s="604"/>
    </row>
    <row r="397" spans="1:24" ht="15.6">
      <c r="A397" s="604"/>
      <c r="B397" s="604"/>
      <c r="C397" s="609"/>
      <c r="D397" s="604"/>
      <c r="E397" s="604"/>
      <c r="F397" s="604"/>
      <c r="G397" s="604"/>
      <c r="H397" s="604"/>
      <c r="I397" s="604"/>
      <c r="J397" s="604"/>
      <c r="K397" s="604"/>
      <c r="L397" s="604"/>
      <c r="M397" s="604"/>
      <c r="N397" s="604"/>
      <c r="O397" s="604"/>
      <c r="P397" s="604"/>
      <c r="Q397" s="604"/>
      <c r="R397" s="604"/>
      <c r="S397" s="604"/>
      <c r="T397" s="604"/>
      <c r="U397" s="604"/>
      <c r="V397" s="604"/>
      <c r="W397" s="604"/>
      <c r="X397" s="604"/>
    </row>
    <row r="398" spans="1:24" ht="15.6">
      <c r="A398" s="604"/>
      <c r="B398" s="604"/>
      <c r="C398" s="609"/>
      <c r="D398" s="604"/>
      <c r="E398" s="604"/>
      <c r="F398" s="604"/>
      <c r="G398" s="604"/>
      <c r="H398" s="604"/>
      <c r="I398" s="604"/>
      <c r="J398" s="604"/>
      <c r="K398" s="604"/>
      <c r="L398" s="604"/>
      <c r="M398" s="604"/>
      <c r="N398" s="604"/>
      <c r="O398" s="604"/>
      <c r="P398" s="604"/>
      <c r="Q398" s="604"/>
      <c r="R398" s="604"/>
      <c r="S398" s="604"/>
      <c r="T398" s="604"/>
      <c r="U398" s="604"/>
      <c r="V398" s="604"/>
      <c r="W398" s="604"/>
      <c r="X398" s="604"/>
    </row>
    <row r="399" spans="1:24" ht="15.6">
      <c r="A399" s="604"/>
      <c r="B399" s="604"/>
      <c r="C399" s="609"/>
      <c r="D399" s="604"/>
      <c r="E399" s="604"/>
      <c r="F399" s="604"/>
      <c r="G399" s="604"/>
      <c r="H399" s="604"/>
      <c r="I399" s="604"/>
      <c r="J399" s="604"/>
      <c r="K399" s="604"/>
      <c r="L399" s="604"/>
      <c r="M399" s="604"/>
      <c r="N399" s="604"/>
      <c r="O399" s="604"/>
      <c r="P399" s="604"/>
      <c r="Q399" s="604"/>
      <c r="R399" s="604"/>
      <c r="S399" s="604"/>
      <c r="T399" s="604"/>
      <c r="U399" s="604"/>
      <c r="V399" s="604"/>
      <c r="W399" s="604"/>
      <c r="X399" s="604"/>
    </row>
    <row r="400" spans="1:24" ht="15.6">
      <c r="A400" s="604"/>
      <c r="B400" s="604"/>
      <c r="C400" s="609"/>
      <c r="D400" s="604"/>
      <c r="E400" s="604"/>
      <c r="F400" s="604"/>
      <c r="G400" s="604"/>
      <c r="H400" s="604"/>
      <c r="I400" s="604"/>
      <c r="J400" s="604"/>
      <c r="K400" s="604"/>
      <c r="L400" s="604"/>
      <c r="M400" s="604"/>
      <c r="N400" s="604"/>
      <c r="O400" s="604"/>
      <c r="P400" s="604"/>
      <c r="Q400" s="604"/>
      <c r="R400" s="604"/>
      <c r="S400" s="604"/>
      <c r="T400" s="604"/>
      <c r="U400" s="604"/>
      <c r="V400" s="604"/>
      <c r="W400" s="604"/>
      <c r="X400" s="604"/>
    </row>
    <row r="401" spans="1:24" ht="15.6">
      <c r="A401" s="604"/>
      <c r="B401" s="604"/>
      <c r="C401" s="609"/>
      <c r="D401" s="604"/>
      <c r="E401" s="604"/>
      <c r="F401" s="604"/>
      <c r="G401" s="604"/>
      <c r="H401" s="604"/>
      <c r="I401" s="604"/>
      <c r="J401" s="604"/>
      <c r="K401" s="604"/>
      <c r="L401" s="604"/>
      <c r="M401" s="604"/>
      <c r="N401" s="604"/>
      <c r="O401" s="604"/>
      <c r="P401" s="604"/>
      <c r="Q401" s="604"/>
      <c r="R401" s="604"/>
      <c r="S401" s="604"/>
      <c r="T401" s="604"/>
      <c r="U401" s="604"/>
      <c r="V401" s="604"/>
      <c r="W401" s="604"/>
      <c r="X401" s="604"/>
    </row>
    <row r="402" spans="1:24" ht="15.6">
      <c r="A402" s="604"/>
      <c r="B402" s="604"/>
      <c r="C402" s="609"/>
      <c r="D402" s="604"/>
      <c r="E402" s="604"/>
      <c r="F402" s="604"/>
      <c r="G402" s="604"/>
      <c r="H402" s="604"/>
      <c r="I402" s="604"/>
      <c r="J402" s="604"/>
      <c r="K402" s="604"/>
      <c r="L402" s="604"/>
      <c r="M402" s="604"/>
      <c r="N402" s="604"/>
      <c r="O402" s="604"/>
      <c r="P402" s="604"/>
      <c r="Q402" s="604"/>
      <c r="R402" s="604"/>
      <c r="S402" s="604"/>
      <c r="T402" s="604"/>
      <c r="U402" s="604"/>
      <c r="V402" s="604"/>
      <c r="W402" s="604"/>
      <c r="X402" s="604"/>
    </row>
    <row r="403" spans="1:24" ht="15.6">
      <c r="A403" s="604"/>
      <c r="B403" s="604"/>
      <c r="C403" s="609"/>
      <c r="D403" s="604"/>
      <c r="E403" s="604"/>
      <c r="F403" s="604"/>
      <c r="G403" s="604"/>
      <c r="H403" s="604"/>
      <c r="I403" s="604"/>
      <c r="J403" s="604"/>
      <c r="K403" s="604"/>
      <c r="L403" s="604"/>
      <c r="M403" s="604"/>
      <c r="N403" s="604"/>
      <c r="O403" s="604"/>
      <c r="P403" s="604"/>
      <c r="Q403" s="604"/>
      <c r="R403" s="604"/>
      <c r="S403" s="604"/>
      <c r="T403" s="604"/>
      <c r="U403" s="604"/>
      <c r="V403" s="604"/>
      <c r="W403" s="604"/>
      <c r="X403" s="604"/>
    </row>
    <row r="404" spans="1:24" ht="15.6">
      <c r="A404" s="604"/>
      <c r="B404" s="604"/>
      <c r="C404" s="609"/>
      <c r="D404" s="604"/>
      <c r="E404" s="604"/>
      <c r="F404" s="604"/>
      <c r="G404" s="604"/>
      <c r="H404" s="604"/>
      <c r="I404" s="604"/>
      <c r="J404" s="604"/>
      <c r="K404" s="604"/>
      <c r="L404" s="604"/>
      <c r="M404" s="604"/>
      <c r="N404" s="604"/>
      <c r="O404" s="604"/>
      <c r="P404" s="604"/>
      <c r="Q404" s="604"/>
      <c r="R404" s="604"/>
      <c r="S404" s="604"/>
      <c r="T404" s="604"/>
      <c r="U404" s="604"/>
      <c r="V404" s="604"/>
      <c r="W404" s="604"/>
      <c r="X404" s="604"/>
    </row>
    <row r="405" spans="1:24" ht="15.6">
      <c r="A405" s="604"/>
      <c r="B405" s="604"/>
      <c r="C405" s="609"/>
      <c r="D405" s="604"/>
      <c r="E405" s="604"/>
      <c r="F405" s="604"/>
      <c r="G405" s="604"/>
      <c r="H405" s="604"/>
      <c r="I405" s="604"/>
      <c r="J405" s="604"/>
      <c r="K405" s="604"/>
      <c r="L405" s="604"/>
      <c r="M405" s="604"/>
      <c r="N405" s="604"/>
      <c r="O405" s="604"/>
      <c r="P405" s="604"/>
      <c r="Q405" s="604"/>
      <c r="R405" s="604"/>
      <c r="S405" s="604"/>
      <c r="T405" s="604"/>
      <c r="U405" s="604"/>
      <c r="V405" s="604"/>
      <c r="W405" s="604"/>
      <c r="X405" s="604"/>
    </row>
    <row r="406" spans="1:24" ht="15.6">
      <c r="A406" s="604"/>
      <c r="B406" s="604"/>
      <c r="C406" s="609"/>
      <c r="D406" s="604"/>
      <c r="E406" s="604"/>
      <c r="F406" s="604"/>
      <c r="G406" s="604"/>
      <c r="H406" s="604"/>
      <c r="I406" s="604"/>
      <c r="J406" s="604"/>
      <c r="K406" s="604"/>
      <c r="L406" s="604"/>
      <c r="M406" s="604"/>
      <c r="N406" s="604"/>
      <c r="O406" s="604"/>
      <c r="P406" s="604"/>
      <c r="Q406" s="604"/>
      <c r="R406" s="604"/>
      <c r="S406" s="604"/>
      <c r="T406" s="604"/>
      <c r="U406" s="604"/>
      <c r="V406" s="604"/>
      <c r="W406" s="604"/>
      <c r="X406" s="604"/>
    </row>
    <row r="407" spans="1:24" ht="15.6">
      <c r="A407" s="604"/>
      <c r="B407" s="604"/>
      <c r="C407" s="609"/>
      <c r="D407" s="604"/>
      <c r="E407" s="604"/>
      <c r="F407" s="604"/>
      <c r="G407" s="604"/>
      <c r="H407" s="604"/>
      <c r="I407" s="604"/>
      <c r="J407" s="604"/>
      <c r="K407" s="604"/>
      <c r="L407" s="604"/>
      <c r="M407" s="604"/>
      <c r="N407" s="604"/>
      <c r="O407" s="604"/>
      <c r="P407" s="604"/>
      <c r="Q407" s="604"/>
      <c r="R407" s="604"/>
      <c r="S407" s="604"/>
      <c r="T407" s="604"/>
      <c r="U407" s="604"/>
      <c r="V407" s="604"/>
      <c r="W407" s="604"/>
      <c r="X407" s="604"/>
    </row>
    <row r="408" spans="1:24" ht="15.6">
      <c r="A408" s="604"/>
      <c r="B408" s="604"/>
      <c r="C408" s="609"/>
      <c r="D408" s="604"/>
      <c r="E408" s="604"/>
      <c r="F408" s="604"/>
      <c r="G408" s="604"/>
      <c r="H408" s="604"/>
      <c r="I408" s="604"/>
      <c r="J408" s="604"/>
      <c r="K408" s="604"/>
      <c r="L408" s="604"/>
      <c r="M408" s="604"/>
      <c r="N408" s="604"/>
      <c r="O408" s="604"/>
      <c r="P408" s="604"/>
      <c r="Q408" s="604"/>
      <c r="R408" s="604"/>
      <c r="S408" s="604"/>
      <c r="T408" s="604"/>
      <c r="U408" s="604"/>
      <c r="V408" s="604"/>
      <c r="W408" s="604"/>
      <c r="X408" s="604"/>
    </row>
    <row r="409" spans="1:24" ht="15.6">
      <c r="A409" s="604"/>
      <c r="B409" s="604"/>
      <c r="C409" s="609"/>
      <c r="D409" s="604"/>
      <c r="E409" s="604"/>
      <c r="F409" s="604"/>
      <c r="G409" s="604"/>
      <c r="H409" s="604"/>
      <c r="I409" s="604"/>
      <c r="J409" s="604"/>
      <c r="K409" s="604"/>
      <c r="L409" s="604"/>
      <c r="M409" s="604"/>
      <c r="N409" s="604"/>
      <c r="O409" s="604"/>
      <c r="P409" s="604"/>
      <c r="Q409" s="604"/>
      <c r="R409" s="604"/>
      <c r="S409" s="604"/>
      <c r="T409" s="604"/>
      <c r="U409" s="604"/>
      <c r="V409" s="604"/>
      <c r="W409" s="604"/>
      <c r="X409" s="604"/>
    </row>
    <row r="410" spans="1:24" ht="15.6">
      <c r="A410" s="604"/>
      <c r="B410" s="604"/>
      <c r="C410" s="609"/>
      <c r="D410" s="604"/>
      <c r="E410" s="604"/>
      <c r="F410" s="604"/>
      <c r="G410" s="604"/>
      <c r="H410" s="604"/>
      <c r="I410" s="604"/>
      <c r="J410" s="604"/>
      <c r="K410" s="604"/>
      <c r="L410" s="604"/>
      <c r="M410" s="604"/>
      <c r="N410" s="604"/>
      <c r="O410" s="604"/>
      <c r="P410" s="604"/>
      <c r="Q410" s="604"/>
      <c r="R410" s="604"/>
      <c r="S410" s="604"/>
      <c r="T410" s="604"/>
      <c r="U410" s="604"/>
      <c r="V410" s="604"/>
      <c r="W410" s="604"/>
      <c r="X410" s="604"/>
    </row>
    <row r="411" spans="1:24" ht="15.6">
      <c r="A411" s="604"/>
      <c r="B411" s="604"/>
      <c r="C411" s="609"/>
      <c r="D411" s="604"/>
      <c r="E411" s="604"/>
      <c r="F411" s="604"/>
      <c r="G411" s="604"/>
      <c r="H411" s="604"/>
      <c r="I411" s="604"/>
      <c r="J411" s="604"/>
      <c r="K411" s="604"/>
      <c r="L411" s="604"/>
      <c r="M411" s="604"/>
      <c r="N411" s="604"/>
      <c r="O411" s="604"/>
      <c r="P411" s="604"/>
      <c r="Q411" s="604"/>
      <c r="R411" s="604"/>
      <c r="S411" s="604"/>
      <c r="T411" s="604"/>
      <c r="U411" s="604"/>
      <c r="V411" s="604"/>
      <c r="W411" s="604"/>
      <c r="X411" s="604"/>
    </row>
    <row r="412" spans="1:24" ht="15.6">
      <c r="A412" s="604"/>
      <c r="B412" s="604"/>
      <c r="C412" s="609"/>
      <c r="D412" s="604"/>
      <c r="E412" s="604"/>
      <c r="F412" s="604"/>
      <c r="G412" s="604"/>
      <c r="H412" s="604"/>
      <c r="I412" s="604"/>
      <c r="J412" s="604"/>
      <c r="K412" s="604"/>
      <c r="L412" s="604"/>
      <c r="M412" s="604"/>
      <c r="N412" s="604"/>
      <c r="O412" s="604"/>
      <c r="P412" s="604"/>
      <c r="Q412" s="604"/>
      <c r="R412" s="604"/>
      <c r="S412" s="604"/>
      <c r="T412" s="604"/>
      <c r="U412" s="604"/>
      <c r="V412" s="604"/>
      <c r="W412" s="604"/>
      <c r="X412" s="604"/>
    </row>
    <row r="413" spans="1:24" ht="15.6">
      <c r="A413" s="604"/>
      <c r="B413" s="604"/>
      <c r="C413" s="609"/>
      <c r="D413" s="604"/>
      <c r="E413" s="604"/>
      <c r="F413" s="604"/>
      <c r="G413" s="604"/>
      <c r="H413" s="604"/>
      <c r="I413" s="604"/>
      <c r="J413" s="604"/>
      <c r="K413" s="604"/>
      <c r="L413" s="604"/>
      <c r="M413" s="604"/>
      <c r="N413" s="604"/>
      <c r="O413" s="604"/>
      <c r="P413" s="604"/>
      <c r="Q413" s="604"/>
      <c r="R413" s="604"/>
      <c r="S413" s="604"/>
      <c r="T413" s="604"/>
      <c r="U413" s="604"/>
      <c r="V413" s="604"/>
      <c r="W413" s="604"/>
      <c r="X413" s="604"/>
    </row>
    <row r="414" spans="1:24" ht="15.6">
      <c r="A414" s="604"/>
      <c r="B414" s="604"/>
      <c r="C414" s="609"/>
      <c r="D414" s="604"/>
      <c r="E414" s="604"/>
      <c r="F414" s="604"/>
      <c r="G414" s="604"/>
      <c r="H414" s="604"/>
      <c r="I414" s="604"/>
      <c r="J414" s="604"/>
      <c r="K414" s="604"/>
      <c r="L414" s="604"/>
      <c r="M414" s="604"/>
      <c r="N414" s="604"/>
      <c r="O414" s="604"/>
      <c r="P414" s="604"/>
      <c r="Q414" s="604"/>
      <c r="R414" s="604"/>
      <c r="S414" s="604"/>
      <c r="T414" s="604"/>
      <c r="U414" s="604"/>
      <c r="V414" s="604"/>
      <c r="W414" s="604"/>
      <c r="X414" s="604"/>
    </row>
    <row r="415" spans="1:24" ht="15.6">
      <c r="A415" s="604"/>
      <c r="B415" s="604"/>
      <c r="C415" s="609"/>
      <c r="D415" s="604"/>
      <c r="E415" s="604"/>
      <c r="F415" s="604"/>
      <c r="G415" s="604"/>
      <c r="H415" s="604"/>
      <c r="I415" s="604"/>
      <c r="J415" s="604"/>
      <c r="K415" s="604"/>
      <c r="L415" s="604"/>
      <c r="M415" s="604"/>
      <c r="N415" s="604"/>
      <c r="O415" s="604"/>
      <c r="P415" s="604"/>
      <c r="Q415" s="604"/>
      <c r="R415" s="604"/>
      <c r="S415" s="604"/>
      <c r="T415" s="604"/>
      <c r="U415" s="604"/>
      <c r="V415" s="604"/>
      <c r="W415" s="604"/>
      <c r="X415" s="604"/>
    </row>
    <row r="416" spans="1:24" ht="15.6">
      <c r="A416" s="604"/>
      <c r="B416" s="604"/>
      <c r="C416" s="609"/>
      <c r="D416" s="604"/>
      <c r="E416" s="604"/>
      <c r="F416" s="604"/>
      <c r="G416" s="604"/>
      <c r="H416" s="604"/>
      <c r="I416" s="604"/>
      <c r="J416" s="604"/>
      <c r="K416" s="604"/>
      <c r="L416" s="604"/>
      <c r="M416" s="604"/>
      <c r="N416" s="604"/>
      <c r="O416" s="604"/>
      <c r="P416" s="604"/>
      <c r="Q416" s="604"/>
      <c r="R416" s="604"/>
      <c r="S416" s="604"/>
      <c r="T416" s="604"/>
      <c r="U416" s="604"/>
      <c r="V416" s="604"/>
      <c r="W416" s="604"/>
      <c r="X416" s="604"/>
    </row>
    <row r="417" spans="1:24" ht="15.6">
      <c r="A417" s="604"/>
      <c r="B417" s="604"/>
      <c r="C417" s="609"/>
      <c r="D417" s="604"/>
      <c r="E417" s="604"/>
      <c r="F417" s="604"/>
      <c r="G417" s="604"/>
      <c r="H417" s="604"/>
      <c r="I417" s="604"/>
      <c r="J417" s="604"/>
      <c r="K417" s="604"/>
      <c r="L417" s="604"/>
      <c r="M417" s="604"/>
      <c r="N417" s="604"/>
      <c r="O417" s="604"/>
      <c r="P417" s="604"/>
      <c r="Q417" s="604"/>
      <c r="R417" s="604"/>
      <c r="S417" s="604"/>
      <c r="T417" s="604"/>
      <c r="U417" s="604"/>
      <c r="V417" s="604"/>
      <c r="W417" s="604"/>
      <c r="X417" s="604"/>
    </row>
    <row r="418" spans="1:24" ht="15.6">
      <c r="A418" s="604"/>
      <c r="B418" s="604"/>
      <c r="C418" s="609"/>
      <c r="D418" s="604"/>
      <c r="E418" s="604"/>
      <c r="F418" s="604"/>
      <c r="G418" s="604"/>
      <c r="H418" s="604"/>
      <c r="I418" s="604"/>
      <c r="J418" s="604"/>
      <c r="K418" s="604"/>
      <c r="L418" s="604"/>
      <c r="M418" s="604"/>
      <c r="N418" s="604"/>
      <c r="O418" s="604"/>
      <c r="P418" s="604"/>
      <c r="Q418" s="604"/>
      <c r="R418" s="604"/>
      <c r="S418" s="604"/>
      <c r="T418" s="604"/>
      <c r="U418" s="604"/>
      <c r="V418" s="604"/>
      <c r="W418" s="604"/>
      <c r="X418" s="604"/>
    </row>
    <row r="419" spans="1:24" ht="15.6">
      <c r="A419" s="604"/>
      <c r="B419" s="604"/>
      <c r="C419" s="609"/>
      <c r="D419" s="604"/>
      <c r="E419" s="604"/>
      <c r="F419" s="604"/>
      <c r="G419" s="604"/>
      <c r="H419" s="604"/>
      <c r="I419" s="604"/>
      <c r="J419" s="604"/>
      <c r="K419" s="604"/>
      <c r="L419" s="604"/>
      <c r="M419" s="604"/>
      <c r="N419" s="604"/>
      <c r="O419" s="604"/>
      <c r="P419" s="604"/>
      <c r="Q419" s="604"/>
      <c r="R419" s="604"/>
      <c r="S419" s="604"/>
      <c r="T419" s="604"/>
      <c r="U419" s="604"/>
      <c r="V419" s="604"/>
      <c r="W419" s="604"/>
      <c r="X419" s="604"/>
    </row>
    <row r="420" spans="1:24" ht="15.6">
      <c r="A420" s="604"/>
      <c r="B420" s="604"/>
      <c r="C420" s="609"/>
      <c r="D420" s="604"/>
      <c r="E420" s="604"/>
      <c r="F420" s="604"/>
      <c r="G420" s="604"/>
      <c r="H420" s="604"/>
      <c r="I420" s="604"/>
      <c r="J420" s="604"/>
      <c r="K420" s="604"/>
      <c r="L420" s="604"/>
      <c r="M420" s="604"/>
      <c r="N420" s="604"/>
      <c r="O420" s="604"/>
      <c r="P420" s="604"/>
      <c r="Q420" s="604"/>
      <c r="R420" s="604"/>
      <c r="S420" s="604"/>
      <c r="T420" s="604"/>
      <c r="U420" s="604"/>
      <c r="V420" s="604"/>
      <c r="W420" s="604"/>
      <c r="X420" s="604"/>
    </row>
    <row r="421" spans="1:24" ht="15.6">
      <c r="A421" s="604"/>
      <c r="B421" s="604"/>
      <c r="C421" s="609"/>
      <c r="D421" s="604"/>
      <c r="E421" s="604"/>
      <c r="F421" s="604"/>
      <c r="G421" s="604"/>
      <c r="H421" s="604"/>
      <c r="I421" s="604"/>
      <c r="J421" s="604"/>
      <c r="K421" s="604"/>
      <c r="L421" s="604"/>
      <c r="M421" s="604"/>
      <c r="N421" s="604"/>
      <c r="O421" s="604"/>
      <c r="P421" s="604"/>
      <c r="Q421" s="604"/>
      <c r="R421" s="604"/>
      <c r="S421" s="604"/>
      <c r="T421" s="604"/>
      <c r="U421" s="604"/>
      <c r="V421" s="604"/>
      <c r="W421" s="604"/>
      <c r="X421" s="604"/>
    </row>
    <row r="422" spans="1:24" ht="15.6">
      <c r="A422" s="604"/>
      <c r="B422" s="604"/>
      <c r="C422" s="609"/>
      <c r="D422" s="604"/>
      <c r="E422" s="604"/>
      <c r="F422" s="604"/>
      <c r="G422" s="604"/>
      <c r="H422" s="604"/>
      <c r="I422" s="604"/>
      <c r="J422" s="604"/>
      <c r="K422" s="604"/>
      <c r="L422" s="604"/>
      <c r="M422" s="604"/>
      <c r="N422" s="604"/>
      <c r="O422" s="604"/>
      <c r="P422" s="604"/>
      <c r="Q422" s="604"/>
      <c r="R422" s="604"/>
      <c r="S422" s="604"/>
      <c r="T422" s="604"/>
      <c r="U422" s="604"/>
      <c r="V422" s="604"/>
      <c r="W422" s="604"/>
      <c r="X422" s="604"/>
    </row>
    <row r="423" spans="1:24" ht="15.6">
      <c r="A423" s="604"/>
      <c r="B423" s="604"/>
      <c r="C423" s="609"/>
      <c r="D423" s="604"/>
      <c r="E423" s="604"/>
      <c r="F423" s="604"/>
      <c r="G423" s="604"/>
      <c r="H423" s="604"/>
      <c r="I423" s="604"/>
      <c r="J423" s="604"/>
      <c r="K423" s="604"/>
      <c r="L423" s="604"/>
      <c r="M423" s="604"/>
      <c r="N423" s="604"/>
      <c r="O423" s="604"/>
      <c r="P423" s="604"/>
      <c r="Q423" s="604"/>
      <c r="R423" s="604"/>
      <c r="S423" s="604"/>
      <c r="T423" s="604"/>
      <c r="U423" s="604"/>
      <c r="V423" s="604"/>
      <c r="W423" s="604"/>
      <c r="X423" s="604"/>
    </row>
    <row r="424" spans="1:24" ht="15.6">
      <c r="A424" s="604"/>
      <c r="B424" s="604"/>
      <c r="C424" s="609"/>
      <c r="D424" s="604"/>
      <c r="E424" s="604"/>
      <c r="F424" s="604"/>
      <c r="G424" s="604"/>
      <c r="H424" s="604"/>
      <c r="I424" s="604"/>
      <c r="J424" s="604"/>
      <c r="K424" s="604"/>
      <c r="L424" s="604"/>
      <c r="M424" s="604"/>
      <c r="N424" s="604"/>
      <c r="O424" s="604"/>
      <c r="P424" s="604"/>
      <c r="Q424" s="604"/>
      <c r="R424" s="604"/>
      <c r="S424" s="604"/>
      <c r="T424" s="604"/>
      <c r="U424" s="604"/>
      <c r="V424" s="604"/>
      <c r="W424" s="604"/>
      <c r="X424" s="604"/>
    </row>
    <row r="425" spans="1:24" ht="15.6">
      <c r="A425" s="604"/>
      <c r="B425" s="604"/>
      <c r="C425" s="609"/>
      <c r="D425" s="604"/>
      <c r="E425" s="604"/>
      <c r="F425" s="604"/>
      <c r="G425" s="604"/>
      <c r="H425" s="604"/>
      <c r="I425" s="604"/>
      <c r="J425" s="604"/>
      <c r="K425" s="604"/>
      <c r="L425" s="604"/>
      <c r="M425" s="604"/>
      <c r="N425" s="604"/>
      <c r="O425" s="604"/>
      <c r="P425" s="604"/>
      <c r="Q425" s="604"/>
      <c r="R425" s="604"/>
      <c r="S425" s="604"/>
      <c r="T425" s="604"/>
      <c r="U425" s="604"/>
      <c r="V425" s="604"/>
      <c r="W425" s="604"/>
      <c r="X425" s="604"/>
    </row>
    <row r="426" spans="1:24" ht="15.6">
      <c r="A426" s="604"/>
      <c r="B426" s="604"/>
      <c r="C426" s="609"/>
      <c r="D426" s="604"/>
      <c r="E426" s="604"/>
      <c r="F426" s="604"/>
      <c r="G426" s="604"/>
      <c r="H426" s="604"/>
      <c r="I426" s="604"/>
      <c r="J426" s="604"/>
      <c r="K426" s="604"/>
      <c r="L426" s="604"/>
      <c r="M426" s="604"/>
      <c r="N426" s="604"/>
      <c r="O426" s="604"/>
      <c r="P426" s="604"/>
      <c r="Q426" s="604"/>
      <c r="R426" s="604"/>
      <c r="S426" s="604"/>
      <c r="T426" s="604"/>
      <c r="U426" s="604"/>
      <c r="V426" s="604"/>
      <c r="W426" s="604"/>
      <c r="X426" s="604"/>
    </row>
    <row r="427" spans="1:24" ht="15.6">
      <c r="A427" s="604"/>
      <c r="B427" s="604"/>
      <c r="C427" s="609"/>
      <c r="D427" s="604"/>
      <c r="E427" s="604"/>
      <c r="F427" s="604"/>
      <c r="G427" s="604"/>
      <c r="H427" s="604"/>
      <c r="I427" s="604"/>
      <c r="J427" s="604"/>
      <c r="K427" s="604"/>
      <c r="L427" s="604"/>
      <c r="M427" s="604"/>
      <c r="N427" s="604"/>
      <c r="O427" s="604"/>
      <c r="P427" s="604"/>
      <c r="Q427" s="604"/>
      <c r="R427" s="604"/>
      <c r="S427" s="604"/>
      <c r="T427" s="604"/>
      <c r="U427" s="604"/>
      <c r="V427" s="604"/>
      <c r="W427" s="604"/>
      <c r="X427" s="604"/>
    </row>
    <row r="428" spans="1:24" ht="15.6">
      <c r="A428" s="604"/>
      <c r="B428" s="604"/>
      <c r="C428" s="609"/>
      <c r="D428" s="604"/>
      <c r="E428" s="604"/>
      <c r="F428" s="604"/>
      <c r="G428" s="604"/>
      <c r="H428" s="604"/>
      <c r="I428" s="604"/>
      <c r="J428" s="604"/>
      <c r="K428" s="604"/>
      <c r="L428" s="604"/>
      <c r="M428" s="604"/>
      <c r="N428" s="604"/>
      <c r="O428" s="604"/>
      <c r="P428" s="604"/>
      <c r="Q428" s="604"/>
      <c r="R428" s="604"/>
      <c r="S428" s="604"/>
      <c r="T428" s="604"/>
      <c r="U428" s="604"/>
      <c r="V428" s="604"/>
      <c r="W428" s="604"/>
      <c r="X428" s="604"/>
    </row>
    <row r="429" spans="1:24" ht="15.6">
      <c r="A429" s="604"/>
      <c r="B429" s="604"/>
      <c r="C429" s="609"/>
      <c r="D429" s="604"/>
      <c r="E429" s="604"/>
      <c r="F429" s="604"/>
      <c r="G429" s="604"/>
      <c r="H429" s="604"/>
      <c r="I429" s="604"/>
      <c r="J429" s="604"/>
      <c r="K429" s="604"/>
      <c r="L429" s="604"/>
      <c r="M429" s="604"/>
      <c r="N429" s="604"/>
      <c r="O429" s="604"/>
      <c r="P429" s="604"/>
      <c r="Q429" s="604"/>
      <c r="R429" s="604"/>
      <c r="S429" s="604"/>
      <c r="T429" s="604"/>
      <c r="U429" s="604"/>
      <c r="V429" s="604"/>
      <c r="W429" s="604"/>
      <c r="X429" s="604"/>
    </row>
    <row r="430" spans="1:24" ht="15.6">
      <c r="A430" s="604"/>
      <c r="B430" s="604"/>
      <c r="C430" s="609"/>
      <c r="D430" s="604"/>
      <c r="E430" s="604"/>
      <c r="F430" s="604"/>
      <c r="G430" s="604"/>
      <c r="H430" s="604"/>
      <c r="I430" s="604"/>
      <c r="J430" s="604"/>
      <c r="K430" s="604"/>
      <c r="L430" s="604"/>
      <c r="M430" s="604"/>
      <c r="N430" s="604"/>
      <c r="O430" s="604"/>
      <c r="P430" s="604"/>
      <c r="Q430" s="604"/>
      <c r="R430" s="604"/>
      <c r="S430" s="604"/>
      <c r="T430" s="604"/>
      <c r="U430" s="604"/>
      <c r="V430" s="604"/>
      <c r="W430" s="604"/>
      <c r="X430" s="604"/>
    </row>
    <row r="431" spans="1:24" ht="15.6">
      <c r="A431" s="604"/>
      <c r="B431" s="604"/>
      <c r="C431" s="609"/>
      <c r="D431" s="604"/>
      <c r="E431" s="604"/>
      <c r="F431" s="604"/>
      <c r="G431" s="604"/>
      <c r="H431" s="604"/>
      <c r="I431" s="604"/>
      <c r="J431" s="604"/>
      <c r="K431" s="604"/>
      <c r="L431" s="604"/>
      <c r="M431" s="604"/>
      <c r="N431" s="604"/>
      <c r="O431" s="604"/>
      <c r="P431" s="604"/>
      <c r="Q431" s="604"/>
      <c r="R431" s="604"/>
      <c r="S431" s="604"/>
      <c r="T431" s="604"/>
      <c r="U431" s="604"/>
      <c r="V431" s="604"/>
      <c r="W431" s="604"/>
      <c r="X431" s="604"/>
    </row>
    <row r="432" spans="1:24" ht="15.6">
      <c r="A432" s="604"/>
      <c r="B432" s="604"/>
      <c r="C432" s="609"/>
      <c r="D432" s="604"/>
      <c r="E432" s="604"/>
      <c r="F432" s="604"/>
      <c r="G432" s="604"/>
      <c r="H432" s="604"/>
      <c r="I432" s="604"/>
      <c r="J432" s="604"/>
      <c r="K432" s="604"/>
      <c r="L432" s="604"/>
      <c r="M432" s="604"/>
      <c r="N432" s="604"/>
      <c r="O432" s="604"/>
      <c r="P432" s="604"/>
      <c r="Q432" s="604"/>
      <c r="R432" s="604"/>
      <c r="S432" s="604"/>
      <c r="T432" s="604"/>
      <c r="U432" s="604"/>
      <c r="V432" s="604"/>
      <c r="W432" s="604"/>
      <c r="X432" s="604"/>
    </row>
    <row r="433" spans="1:24" ht="15.6">
      <c r="A433" s="604"/>
      <c r="B433" s="604"/>
      <c r="C433" s="609"/>
      <c r="D433" s="604"/>
      <c r="E433" s="604"/>
      <c r="F433" s="604"/>
      <c r="G433" s="604"/>
      <c r="H433" s="604"/>
      <c r="I433" s="604"/>
      <c r="J433" s="604"/>
      <c r="K433" s="604"/>
      <c r="L433" s="604"/>
      <c r="M433" s="604"/>
      <c r="N433" s="604"/>
      <c r="O433" s="604"/>
      <c r="P433" s="604"/>
      <c r="Q433" s="604"/>
      <c r="R433" s="604"/>
      <c r="S433" s="604"/>
      <c r="T433" s="604"/>
      <c r="U433" s="604"/>
      <c r="V433" s="604"/>
      <c r="W433" s="604"/>
      <c r="X433" s="604"/>
    </row>
    <row r="434" spans="1:24" ht="15.6">
      <c r="A434" s="604"/>
      <c r="B434" s="604"/>
      <c r="C434" s="609"/>
      <c r="D434" s="604"/>
      <c r="E434" s="604"/>
      <c r="F434" s="604"/>
      <c r="G434" s="604"/>
      <c r="H434" s="604"/>
      <c r="I434" s="604"/>
      <c r="J434" s="604"/>
      <c r="K434" s="604"/>
      <c r="L434" s="604"/>
      <c r="M434" s="604"/>
      <c r="N434" s="604"/>
      <c r="O434" s="604"/>
      <c r="P434" s="604"/>
      <c r="Q434" s="604"/>
      <c r="R434" s="604"/>
      <c r="S434" s="604"/>
      <c r="T434" s="604"/>
      <c r="U434" s="604"/>
      <c r="V434" s="604"/>
      <c r="W434" s="604"/>
      <c r="X434" s="604"/>
    </row>
    <row r="435" spans="1:24" ht="15.6">
      <c r="A435" s="604"/>
      <c r="B435" s="604"/>
      <c r="C435" s="609"/>
      <c r="D435" s="604"/>
      <c r="E435" s="604"/>
      <c r="F435" s="604"/>
      <c r="G435" s="604"/>
      <c r="H435" s="604"/>
      <c r="I435" s="604"/>
      <c r="J435" s="604"/>
      <c r="K435" s="604"/>
      <c r="L435" s="604"/>
      <c r="M435" s="604"/>
      <c r="N435" s="604"/>
      <c r="O435" s="604"/>
      <c r="P435" s="604"/>
      <c r="Q435" s="604"/>
      <c r="R435" s="604"/>
      <c r="S435" s="604"/>
      <c r="T435" s="604"/>
      <c r="U435" s="604"/>
      <c r="V435" s="604"/>
      <c r="W435" s="604"/>
      <c r="X435" s="604"/>
    </row>
    <row r="436" spans="1:24" ht="15.6">
      <c r="A436" s="604"/>
      <c r="B436" s="604"/>
      <c r="C436" s="609"/>
      <c r="D436" s="604"/>
      <c r="E436" s="604"/>
      <c r="F436" s="604"/>
      <c r="G436" s="604"/>
      <c r="H436" s="604"/>
      <c r="I436" s="604"/>
      <c r="J436" s="604"/>
      <c r="K436" s="604"/>
      <c r="L436" s="604"/>
      <c r="M436" s="604"/>
      <c r="N436" s="604"/>
      <c r="O436" s="604"/>
      <c r="P436" s="604"/>
      <c r="Q436" s="604"/>
      <c r="R436" s="604"/>
      <c r="S436" s="604"/>
      <c r="T436" s="604"/>
      <c r="U436" s="604"/>
      <c r="V436" s="604"/>
      <c r="W436" s="604"/>
      <c r="X436" s="604"/>
    </row>
    <row r="437" spans="1:24" ht="15.6">
      <c r="A437" s="604"/>
      <c r="B437" s="604"/>
      <c r="C437" s="609"/>
      <c r="D437" s="604"/>
      <c r="E437" s="604"/>
      <c r="F437" s="604"/>
      <c r="G437" s="604"/>
      <c r="H437" s="604"/>
      <c r="I437" s="604"/>
      <c r="J437" s="604"/>
      <c r="K437" s="604"/>
      <c r="L437" s="604"/>
      <c r="M437" s="604"/>
      <c r="N437" s="604"/>
      <c r="O437" s="604"/>
      <c r="P437" s="604"/>
      <c r="Q437" s="604"/>
      <c r="R437" s="604"/>
      <c r="S437" s="604"/>
      <c r="T437" s="604"/>
      <c r="U437" s="604"/>
      <c r="V437" s="604"/>
      <c r="W437" s="604"/>
      <c r="X437" s="604"/>
    </row>
    <row r="438" spans="1:24" ht="15.6">
      <c r="A438" s="604"/>
      <c r="B438" s="604"/>
      <c r="C438" s="609"/>
      <c r="D438" s="604"/>
      <c r="E438" s="604"/>
      <c r="F438" s="604"/>
      <c r="G438" s="604"/>
      <c r="H438" s="604"/>
      <c r="I438" s="604"/>
      <c r="J438" s="604"/>
      <c r="K438" s="604"/>
      <c r="L438" s="604"/>
      <c r="M438" s="604"/>
      <c r="N438" s="604"/>
      <c r="O438" s="604"/>
      <c r="P438" s="604"/>
      <c r="Q438" s="604"/>
      <c r="R438" s="604"/>
      <c r="S438" s="604"/>
      <c r="T438" s="604"/>
      <c r="U438" s="604"/>
      <c r="V438" s="604"/>
      <c r="W438" s="604"/>
      <c r="X438" s="604"/>
    </row>
    <row r="439" spans="1:24" ht="15.6">
      <c r="A439" s="604"/>
      <c r="B439" s="604"/>
      <c r="C439" s="609"/>
      <c r="D439" s="604"/>
      <c r="E439" s="604"/>
      <c r="F439" s="604"/>
      <c r="G439" s="604"/>
      <c r="H439" s="604"/>
      <c r="I439" s="604"/>
      <c r="J439" s="604"/>
      <c r="K439" s="604"/>
      <c r="L439" s="604"/>
      <c r="M439" s="604"/>
      <c r="N439" s="604"/>
      <c r="O439" s="604"/>
      <c r="P439" s="604"/>
      <c r="Q439" s="604"/>
      <c r="R439" s="604"/>
      <c r="S439" s="604"/>
      <c r="T439" s="604"/>
      <c r="U439" s="604"/>
      <c r="V439" s="604"/>
      <c r="W439" s="604"/>
      <c r="X439" s="604"/>
    </row>
    <row r="440" spans="1:24" ht="15.6">
      <c r="A440" s="604"/>
      <c r="B440" s="604"/>
      <c r="C440" s="609"/>
      <c r="D440" s="604"/>
      <c r="E440" s="604"/>
      <c r="F440" s="604"/>
      <c r="G440" s="604"/>
      <c r="H440" s="604"/>
      <c r="I440" s="604"/>
      <c r="J440" s="604"/>
      <c r="K440" s="604"/>
      <c r="L440" s="604"/>
      <c r="M440" s="604"/>
      <c r="N440" s="604"/>
      <c r="O440" s="604"/>
      <c r="P440" s="604"/>
      <c r="Q440" s="604"/>
      <c r="R440" s="604"/>
      <c r="S440" s="604"/>
      <c r="T440" s="604"/>
      <c r="U440" s="604"/>
      <c r="V440" s="604"/>
      <c r="W440" s="604"/>
      <c r="X440" s="604"/>
    </row>
    <row r="441" spans="1:24" ht="15.6">
      <c r="A441" s="604"/>
      <c r="B441" s="604"/>
      <c r="C441" s="609"/>
      <c r="D441" s="604"/>
      <c r="E441" s="604"/>
      <c r="F441" s="604"/>
      <c r="G441" s="604"/>
      <c r="H441" s="604"/>
      <c r="I441" s="604"/>
      <c r="J441" s="604"/>
      <c r="K441" s="604"/>
      <c r="L441" s="604"/>
      <c r="M441" s="604"/>
      <c r="N441" s="604"/>
      <c r="O441" s="604"/>
      <c r="P441" s="604"/>
      <c r="Q441" s="604"/>
      <c r="R441" s="604"/>
      <c r="S441" s="604"/>
      <c r="T441" s="604"/>
      <c r="U441" s="604"/>
      <c r="V441" s="604"/>
      <c r="W441" s="604"/>
      <c r="X441" s="604"/>
    </row>
    <row r="442" spans="1:24" ht="15.6">
      <c r="A442" s="604"/>
      <c r="B442" s="604"/>
      <c r="C442" s="609"/>
      <c r="D442" s="604"/>
      <c r="E442" s="604"/>
      <c r="F442" s="604"/>
      <c r="G442" s="604"/>
      <c r="H442" s="604"/>
      <c r="I442" s="604"/>
      <c r="J442" s="604"/>
      <c r="K442" s="604"/>
      <c r="L442" s="604"/>
      <c r="M442" s="604"/>
      <c r="N442" s="604"/>
      <c r="O442" s="604"/>
      <c r="P442" s="604"/>
      <c r="Q442" s="604"/>
      <c r="R442" s="604"/>
      <c r="S442" s="604"/>
      <c r="T442" s="604"/>
      <c r="U442" s="604"/>
      <c r="V442" s="604"/>
      <c r="W442" s="604"/>
      <c r="X442" s="604"/>
    </row>
    <row r="443" spans="1:24" ht="15.6">
      <c r="A443" s="604"/>
      <c r="B443" s="604"/>
      <c r="C443" s="609"/>
      <c r="D443" s="604"/>
      <c r="E443" s="604"/>
      <c r="F443" s="604"/>
      <c r="G443" s="604"/>
      <c r="H443" s="604"/>
      <c r="I443" s="604"/>
      <c r="J443" s="604"/>
      <c r="K443" s="604"/>
      <c r="L443" s="604"/>
      <c r="M443" s="604"/>
      <c r="N443" s="604"/>
      <c r="O443" s="604"/>
      <c r="P443" s="604"/>
      <c r="Q443" s="604"/>
      <c r="R443" s="604"/>
      <c r="S443" s="604"/>
      <c r="T443" s="604"/>
      <c r="U443" s="604"/>
      <c r="V443" s="604"/>
      <c r="W443" s="604"/>
      <c r="X443" s="604"/>
    </row>
    <row r="444" spans="1:24" ht="15.6">
      <c r="A444" s="604"/>
      <c r="B444" s="604"/>
      <c r="C444" s="609"/>
      <c r="D444" s="604"/>
      <c r="E444" s="604"/>
      <c r="F444" s="604"/>
      <c r="G444" s="604"/>
      <c r="H444" s="604"/>
      <c r="I444" s="604"/>
      <c r="J444" s="604"/>
      <c r="K444" s="604"/>
      <c r="L444" s="604"/>
      <c r="M444" s="604"/>
      <c r="N444" s="604"/>
      <c r="O444" s="604"/>
      <c r="P444" s="604"/>
      <c r="Q444" s="604"/>
      <c r="R444" s="604"/>
      <c r="S444" s="604"/>
      <c r="T444" s="604"/>
      <c r="U444" s="604"/>
      <c r="V444" s="604"/>
      <c r="W444" s="604"/>
      <c r="X444" s="604"/>
    </row>
    <row r="445" spans="1:24" ht="15.6">
      <c r="A445" s="604"/>
      <c r="B445" s="604"/>
      <c r="C445" s="609"/>
      <c r="D445" s="604"/>
      <c r="E445" s="604"/>
      <c r="F445" s="604"/>
      <c r="G445" s="604"/>
      <c r="H445" s="604"/>
      <c r="I445" s="604"/>
      <c r="J445" s="604"/>
      <c r="K445" s="604"/>
      <c r="L445" s="604"/>
      <c r="M445" s="604"/>
      <c r="N445" s="604"/>
      <c r="O445" s="604"/>
      <c r="P445" s="604"/>
      <c r="Q445" s="604"/>
      <c r="R445" s="604"/>
      <c r="S445" s="604"/>
      <c r="T445" s="604"/>
      <c r="U445" s="604"/>
      <c r="V445" s="604"/>
      <c r="W445" s="604"/>
      <c r="X445" s="604"/>
    </row>
    <row r="446" spans="1:24" ht="15.6">
      <c r="A446" s="604"/>
      <c r="B446" s="604"/>
      <c r="C446" s="609"/>
      <c r="D446" s="604"/>
      <c r="E446" s="604"/>
      <c r="F446" s="604"/>
      <c r="G446" s="604"/>
      <c r="H446" s="604"/>
      <c r="I446" s="604"/>
      <c r="J446" s="604"/>
      <c r="K446" s="604"/>
      <c r="L446" s="604"/>
      <c r="M446" s="604"/>
      <c r="N446" s="604"/>
      <c r="O446" s="604"/>
      <c r="P446" s="604"/>
      <c r="Q446" s="604"/>
      <c r="R446" s="604"/>
      <c r="S446" s="604"/>
      <c r="T446" s="604"/>
      <c r="U446" s="604"/>
      <c r="V446" s="604"/>
      <c r="W446" s="604"/>
      <c r="X446" s="604"/>
    </row>
    <row r="447" spans="1:24" ht="15.6">
      <c r="A447" s="604"/>
      <c r="B447" s="604"/>
      <c r="C447" s="609"/>
      <c r="D447" s="604"/>
      <c r="E447" s="604"/>
      <c r="F447" s="604"/>
      <c r="G447" s="604"/>
      <c r="H447" s="604"/>
      <c r="I447" s="604"/>
      <c r="J447" s="604"/>
      <c r="K447" s="604"/>
      <c r="L447" s="604"/>
      <c r="M447" s="604"/>
      <c r="N447" s="604"/>
      <c r="O447" s="604"/>
      <c r="P447" s="604"/>
      <c r="Q447" s="604"/>
      <c r="R447" s="604"/>
      <c r="S447" s="604"/>
      <c r="T447" s="604"/>
      <c r="U447" s="604"/>
      <c r="V447" s="604"/>
      <c r="W447" s="604"/>
      <c r="X447" s="604"/>
    </row>
    <row r="448" spans="1:24" ht="15.6">
      <c r="A448" s="604"/>
      <c r="B448" s="604"/>
      <c r="C448" s="609"/>
      <c r="D448" s="604"/>
      <c r="E448" s="604"/>
      <c r="F448" s="604"/>
      <c r="G448" s="604"/>
      <c r="H448" s="604"/>
      <c r="I448" s="604"/>
      <c r="J448" s="604"/>
      <c r="K448" s="604"/>
      <c r="L448" s="604"/>
      <c r="M448" s="604"/>
      <c r="N448" s="604"/>
      <c r="O448" s="604"/>
      <c r="P448" s="604"/>
      <c r="Q448" s="604"/>
      <c r="R448" s="604"/>
      <c r="S448" s="604"/>
      <c r="T448" s="604"/>
      <c r="U448" s="604"/>
      <c r="V448" s="604"/>
      <c r="W448" s="604"/>
      <c r="X448" s="604"/>
    </row>
    <row r="449" spans="1:24" ht="15.6">
      <c r="A449" s="604"/>
      <c r="B449" s="604"/>
      <c r="C449" s="609"/>
      <c r="D449" s="604"/>
      <c r="E449" s="604"/>
      <c r="F449" s="604"/>
      <c r="G449" s="604"/>
      <c r="H449" s="604"/>
      <c r="I449" s="604"/>
      <c r="J449" s="604"/>
      <c r="K449" s="604"/>
      <c r="L449" s="604"/>
      <c r="M449" s="604"/>
      <c r="N449" s="604"/>
      <c r="O449" s="604"/>
      <c r="P449" s="604"/>
      <c r="Q449" s="604"/>
      <c r="R449" s="604"/>
      <c r="S449" s="604"/>
      <c r="T449" s="604"/>
      <c r="U449" s="604"/>
      <c r="V449" s="604"/>
      <c r="W449" s="604"/>
      <c r="X449" s="604"/>
    </row>
    <row r="450" spans="1:24" ht="15.6">
      <c r="A450" s="604"/>
      <c r="B450" s="604"/>
      <c r="C450" s="609"/>
      <c r="D450" s="604"/>
      <c r="E450" s="604"/>
      <c r="F450" s="604"/>
      <c r="G450" s="604"/>
      <c r="H450" s="604"/>
      <c r="I450" s="604"/>
      <c r="J450" s="604"/>
      <c r="K450" s="604"/>
      <c r="L450" s="604"/>
      <c r="M450" s="604"/>
      <c r="N450" s="604"/>
      <c r="O450" s="604"/>
      <c r="P450" s="604"/>
      <c r="Q450" s="604"/>
      <c r="R450" s="604"/>
      <c r="S450" s="604"/>
      <c r="T450" s="604"/>
      <c r="U450" s="604"/>
      <c r="V450" s="604"/>
      <c r="W450" s="604"/>
      <c r="X450" s="604"/>
    </row>
    <row r="451" spans="1:24" ht="15.6">
      <c r="A451" s="604"/>
      <c r="B451" s="604"/>
      <c r="C451" s="609"/>
      <c r="D451" s="604"/>
      <c r="E451" s="604"/>
      <c r="F451" s="604"/>
      <c r="G451" s="604"/>
      <c r="H451" s="604"/>
      <c r="I451" s="604"/>
      <c r="J451" s="604"/>
      <c r="K451" s="604"/>
      <c r="L451" s="604"/>
      <c r="M451" s="604"/>
      <c r="N451" s="604"/>
      <c r="O451" s="604"/>
      <c r="P451" s="604"/>
      <c r="Q451" s="604"/>
      <c r="R451" s="604"/>
      <c r="S451" s="604"/>
      <c r="T451" s="604"/>
      <c r="U451" s="604"/>
      <c r="V451" s="604"/>
      <c r="W451" s="604"/>
      <c r="X451" s="604"/>
    </row>
    <row r="452" spans="1:24" ht="15.6">
      <c r="A452" s="604"/>
      <c r="B452" s="604"/>
      <c r="C452" s="609"/>
      <c r="D452" s="604"/>
      <c r="E452" s="604"/>
      <c r="F452" s="604"/>
      <c r="G452" s="604"/>
      <c r="H452" s="604"/>
      <c r="I452" s="604"/>
      <c r="J452" s="604"/>
      <c r="K452" s="604"/>
      <c r="L452" s="604"/>
      <c r="M452" s="604"/>
      <c r="N452" s="604"/>
      <c r="O452" s="604"/>
      <c r="P452" s="604"/>
      <c r="Q452" s="604"/>
      <c r="R452" s="604"/>
      <c r="S452" s="604"/>
      <c r="T452" s="604"/>
      <c r="U452" s="604"/>
      <c r="V452" s="604"/>
      <c r="W452" s="604"/>
      <c r="X452" s="604"/>
    </row>
    <row r="453" spans="1:24" ht="15.6">
      <c r="A453" s="604"/>
      <c r="B453" s="604"/>
      <c r="C453" s="609"/>
      <c r="D453" s="604"/>
      <c r="E453" s="604"/>
      <c r="F453" s="604"/>
      <c r="G453" s="604"/>
      <c r="H453" s="604"/>
      <c r="I453" s="604"/>
      <c r="J453" s="604"/>
      <c r="K453" s="604"/>
      <c r="L453" s="604"/>
      <c r="M453" s="604"/>
      <c r="N453" s="604"/>
      <c r="O453" s="604"/>
      <c r="P453" s="604"/>
      <c r="Q453" s="604"/>
      <c r="R453" s="604"/>
      <c r="S453" s="604"/>
      <c r="T453" s="604"/>
      <c r="U453" s="604"/>
      <c r="V453" s="604"/>
      <c r="W453" s="604"/>
      <c r="X453" s="604"/>
    </row>
    <row r="454" spans="1:24" ht="15.6">
      <c r="A454" s="604"/>
      <c r="B454" s="604"/>
      <c r="C454" s="609"/>
      <c r="D454" s="604"/>
      <c r="E454" s="604"/>
      <c r="F454" s="604"/>
      <c r="G454" s="604"/>
      <c r="H454" s="604"/>
      <c r="I454" s="604"/>
      <c r="J454" s="604"/>
      <c r="K454" s="604"/>
      <c r="L454" s="604"/>
      <c r="M454" s="604"/>
      <c r="N454" s="604"/>
      <c r="O454" s="604"/>
      <c r="P454" s="604"/>
      <c r="Q454" s="604"/>
      <c r="R454" s="604"/>
      <c r="S454" s="604"/>
      <c r="T454" s="604"/>
      <c r="U454" s="604"/>
      <c r="V454" s="604"/>
      <c r="W454" s="604"/>
      <c r="X454" s="604"/>
    </row>
    <row r="455" spans="1:24" ht="15.6">
      <c r="A455" s="604"/>
      <c r="B455" s="604"/>
      <c r="C455" s="609"/>
      <c r="D455" s="604"/>
      <c r="E455" s="604"/>
      <c r="F455" s="604"/>
      <c r="G455" s="604"/>
      <c r="H455" s="604"/>
      <c r="I455" s="604"/>
      <c r="J455" s="604"/>
      <c r="K455" s="604"/>
      <c r="L455" s="604"/>
      <c r="M455" s="604"/>
      <c r="N455" s="604"/>
      <c r="O455" s="604"/>
      <c r="P455" s="604"/>
      <c r="Q455" s="604"/>
      <c r="R455" s="604"/>
      <c r="S455" s="604"/>
      <c r="T455" s="604"/>
      <c r="U455" s="604"/>
      <c r="V455" s="604"/>
      <c r="W455" s="604"/>
      <c r="X455" s="604"/>
    </row>
    <row r="456" spans="1:24" ht="15.6">
      <c r="A456" s="604"/>
      <c r="B456" s="604"/>
      <c r="C456" s="609"/>
      <c r="D456" s="604"/>
      <c r="E456" s="604"/>
      <c r="F456" s="604"/>
      <c r="G456" s="604"/>
      <c r="H456" s="604"/>
      <c r="I456" s="604"/>
      <c r="J456" s="604"/>
      <c r="K456" s="604"/>
      <c r="L456" s="604"/>
      <c r="M456" s="604"/>
      <c r="N456" s="604"/>
      <c r="O456" s="604"/>
      <c r="P456" s="604"/>
      <c r="Q456" s="604"/>
      <c r="R456" s="604"/>
      <c r="S456" s="604"/>
      <c r="T456" s="604"/>
      <c r="U456" s="604"/>
      <c r="V456" s="604"/>
      <c r="W456" s="604"/>
      <c r="X456" s="604"/>
    </row>
    <row r="457" spans="1:24" ht="15.6">
      <c r="A457" s="604"/>
      <c r="B457" s="604"/>
      <c r="C457" s="609"/>
      <c r="D457" s="604"/>
      <c r="E457" s="604"/>
      <c r="F457" s="604"/>
      <c r="G457" s="604"/>
      <c r="H457" s="604"/>
      <c r="I457" s="604"/>
      <c r="J457" s="604"/>
      <c r="K457" s="604"/>
      <c r="L457" s="604"/>
      <c r="M457" s="604"/>
      <c r="N457" s="604"/>
      <c r="O457" s="604"/>
      <c r="P457" s="604"/>
      <c r="Q457" s="604"/>
      <c r="R457" s="604"/>
      <c r="S457" s="604"/>
      <c r="T457" s="604"/>
      <c r="U457" s="604"/>
      <c r="V457" s="604"/>
      <c r="W457" s="604"/>
      <c r="X457" s="604"/>
    </row>
    <row r="458" spans="1:24" ht="15.6">
      <c r="A458" s="604"/>
      <c r="B458" s="604"/>
      <c r="C458" s="609"/>
      <c r="D458" s="604"/>
      <c r="E458" s="604"/>
      <c r="F458" s="604"/>
      <c r="G458" s="604"/>
      <c r="H458" s="604"/>
      <c r="I458" s="604"/>
      <c r="J458" s="604"/>
      <c r="K458" s="604"/>
      <c r="L458" s="604"/>
      <c r="M458" s="604"/>
      <c r="N458" s="604"/>
      <c r="O458" s="604"/>
      <c r="P458" s="604"/>
      <c r="Q458" s="604"/>
      <c r="R458" s="604"/>
      <c r="S458" s="604"/>
      <c r="T458" s="604"/>
      <c r="U458" s="604"/>
      <c r="V458" s="604"/>
      <c r="W458" s="604"/>
      <c r="X458" s="604"/>
    </row>
    <row r="459" spans="1:24" ht="15.6">
      <c r="A459" s="604"/>
      <c r="B459" s="604"/>
      <c r="C459" s="609"/>
      <c r="D459" s="604"/>
      <c r="E459" s="604"/>
      <c r="F459" s="604"/>
      <c r="G459" s="604"/>
      <c r="H459" s="604"/>
      <c r="I459" s="604"/>
      <c r="J459" s="604"/>
      <c r="K459" s="604"/>
      <c r="L459" s="604"/>
      <c r="M459" s="604"/>
      <c r="N459" s="604"/>
      <c r="O459" s="604"/>
      <c r="P459" s="604"/>
      <c r="Q459" s="604"/>
      <c r="R459" s="604"/>
      <c r="S459" s="604"/>
      <c r="T459" s="604"/>
      <c r="U459" s="604"/>
      <c r="V459" s="604"/>
      <c r="W459" s="604"/>
      <c r="X459" s="604"/>
    </row>
    <row r="460" spans="1:24" ht="15.6">
      <c r="A460" s="604"/>
      <c r="B460" s="604"/>
      <c r="C460" s="609"/>
      <c r="D460" s="604"/>
      <c r="E460" s="604"/>
      <c r="F460" s="604"/>
      <c r="G460" s="604"/>
      <c r="H460" s="604"/>
      <c r="I460" s="604"/>
      <c r="J460" s="604"/>
      <c r="K460" s="604"/>
      <c r="L460" s="604"/>
      <c r="M460" s="604"/>
      <c r="N460" s="604"/>
      <c r="O460" s="604"/>
      <c r="P460" s="604"/>
      <c r="Q460" s="604"/>
      <c r="R460" s="604"/>
      <c r="S460" s="604"/>
      <c r="T460" s="604"/>
      <c r="U460" s="604"/>
      <c r="V460" s="604"/>
      <c r="W460" s="604"/>
      <c r="X460" s="604"/>
    </row>
    <row r="461" spans="1:24" ht="15.6">
      <c r="A461" s="604"/>
      <c r="B461" s="604"/>
      <c r="C461" s="609"/>
      <c r="D461" s="604"/>
      <c r="E461" s="604"/>
      <c r="F461" s="604"/>
      <c r="G461" s="604"/>
      <c r="H461" s="604"/>
      <c r="I461" s="604"/>
      <c r="J461" s="604"/>
      <c r="K461" s="604"/>
      <c r="L461" s="604"/>
      <c r="M461" s="604"/>
      <c r="N461" s="604"/>
      <c r="O461" s="604"/>
      <c r="P461" s="604"/>
      <c r="Q461" s="604"/>
      <c r="R461" s="604"/>
      <c r="S461" s="604"/>
      <c r="T461" s="604"/>
      <c r="U461" s="604"/>
      <c r="V461" s="604"/>
      <c r="W461" s="604"/>
      <c r="X461" s="604"/>
    </row>
    <row r="462" spans="1:24" ht="15.6">
      <c r="A462" s="604"/>
      <c r="B462" s="604"/>
      <c r="C462" s="609"/>
      <c r="D462" s="604"/>
      <c r="E462" s="604"/>
      <c r="F462" s="604"/>
      <c r="G462" s="604"/>
      <c r="H462" s="604"/>
      <c r="I462" s="604"/>
      <c r="J462" s="604"/>
      <c r="K462" s="604"/>
      <c r="L462" s="604"/>
      <c r="M462" s="604"/>
      <c r="N462" s="604"/>
      <c r="O462" s="604"/>
      <c r="P462" s="604"/>
      <c r="Q462" s="604"/>
      <c r="R462" s="604"/>
      <c r="S462" s="604"/>
      <c r="T462" s="604"/>
      <c r="U462" s="604"/>
      <c r="V462" s="604"/>
      <c r="W462" s="604"/>
      <c r="X462" s="604"/>
    </row>
    <row r="463" spans="1:24" ht="15.6">
      <c r="A463" s="604"/>
      <c r="B463" s="604"/>
      <c r="C463" s="609"/>
      <c r="D463" s="604"/>
      <c r="E463" s="604"/>
      <c r="F463" s="604"/>
      <c r="G463" s="604"/>
      <c r="H463" s="604"/>
      <c r="I463" s="604"/>
      <c r="J463" s="604"/>
      <c r="K463" s="604"/>
      <c r="L463" s="604"/>
      <c r="M463" s="604"/>
      <c r="N463" s="604"/>
      <c r="O463" s="604"/>
      <c r="P463" s="604"/>
      <c r="Q463" s="604"/>
      <c r="R463" s="604"/>
      <c r="S463" s="604"/>
      <c r="T463" s="604"/>
      <c r="U463" s="604"/>
      <c r="V463" s="604"/>
      <c r="W463" s="604"/>
      <c r="X463" s="604"/>
    </row>
    <row r="464" spans="1:24" ht="15.6">
      <c r="A464" s="604"/>
      <c r="B464" s="604"/>
      <c r="C464" s="609"/>
      <c r="D464" s="604"/>
      <c r="E464" s="604"/>
      <c r="F464" s="604"/>
      <c r="G464" s="604"/>
      <c r="H464" s="604"/>
      <c r="I464" s="604"/>
      <c r="J464" s="604"/>
      <c r="K464" s="604"/>
      <c r="L464" s="604"/>
      <c r="M464" s="604"/>
      <c r="N464" s="604"/>
      <c r="O464" s="604"/>
      <c r="P464" s="604"/>
      <c r="Q464" s="604"/>
      <c r="R464" s="604"/>
      <c r="S464" s="604"/>
      <c r="T464" s="604"/>
      <c r="U464" s="604"/>
      <c r="V464" s="604"/>
      <c r="W464" s="604"/>
      <c r="X464" s="604"/>
    </row>
    <row r="465" spans="1:24" ht="15.6">
      <c r="A465" s="604"/>
      <c r="B465" s="604"/>
      <c r="C465" s="609"/>
      <c r="D465" s="604"/>
      <c r="E465" s="604"/>
      <c r="F465" s="604"/>
      <c r="G465" s="604"/>
      <c r="H465" s="604"/>
      <c r="I465" s="604"/>
      <c r="J465" s="604"/>
      <c r="K465" s="604"/>
      <c r="L465" s="604"/>
      <c r="M465" s="604"/>
      <c r="N465" s="604"/>
      <c r="O465" s="604"/>
      <c r="P465" s="604"/>
      <c r="Q465" s="604"/>
      <c r="R465" s="604"/>
      <c r="S465" s="604"/>
      <c r="T465" s="604"/>
      <c r="U465" s="604"/>
      <c r="V465" s="604"/>
      <c r="W465" s="604"/>
      <c r="X465" s="604"/>
    </row>
    <row r="466" spans="1:24" ht="15.6">
      <c r="A466" s="604"/>
      <c r="B466" s="604"/>
      <c r="C466" s="609"/>
      <c r="D466" s="604"/>
      <c r="E466" s="604"/>
      <c r="F466" s="604"/>
      <c r="G466" s="604"/>
      <c r="H466" s="604"/>
      <c r="I466" s="604"/>
      <c r="J466" s="604"/>
      <c r="K466" s="604"/>
      <c r="L466" s="604"/>
      <c r="M466" s="604"/>
      <c r="N466" s="604"/>
      <c r="O466" s="604"/>
      <c r="P466" s="604"/>
      <c r="Q466" s="604"/>
      <c r="R466" s="604"/>
      <c r="S466" s="604"/>
      <c r="T466" s="604"/>
      <c r="U466" s="604"/>
      <c r="V466" s="604"/>
      <c r="W466" s="604"/>
      <c r="X466" s="604"/>
    </row>
    <row r="467" spans="1:24" ht="15.6">
      <c r="A467" s="604"/>
      <c r="B467" s="604"/>
      <c r="C467" s="609"/>
      <c r="D467" s="604"/>
      <c r="E467" s="604"/>
      <c r="F467" s="604"/>
      <c r="G467" s="604"/>
      <c r="H467" s="604"/>
      <c r="I467" s="604"/>
      <c r="J467" s="604"/>
      <c r="K467" s="604"/>
      <c r="L467" s="604"/>
      <c r="M467" s="604"/>
      <c r="N467" s="604"/>
      <c r="O467" s="604"/>
      <c r="P467" s="604"/>
      <c r="Q467" s="604"/>
      <c r="R467" s="604"/>
      <c r="S467" s="604"/>
      <c r="T467" s="604"/>
      <c r="U467" s="604"/>
      <c r="V467" s="604"/>
      <c r="W467" s="604"/>
      <c r="X467" s="604"/>
    </row>
    <row r="468" spans="1:24" ht="15.6">
      <c r="A468" s="604"/>
      <c r="B468" s="604"/>
      <c r="C468" s="609"/>
      <c r="D468" s="604"/>
      <c r="E468" s="604"/>
      <c r="F468" s="604"/>
      <c r="G468" s="604"/>
      <c r="H468" s="604"/>
      <c r="I468" s="604"/>
      <c r="J468" s="604"/>
      <c r="K468" s="604"/>
      <c r="L468" s="604"/>
      <c r="M468" s="604"/>
      <c r="N468" s="604"/>
      <c r="O468" s="604"/>
      <c r="P468" s="604"/>
      <c r="Q468" s="604"/>
      <c r="R468" s="604"/>
      <c r="S468" s="604"/>
      <c r="T468" s="604"/>
      <c r="U468" s="604"/>
      <c r="V468" s="604"/>
      <c r="W468" s="604"/>
      <c r="X468" s="604"/>
    </row>
    <row r="469" spans="1:24" ht="15.6">
      <c r="A469" s="604"/>
      <c r="B469" s="604"/>
      <c r="C469" s="609"/>
      <c r="D469" s="604"/>
      <c r="E469" s="604"/>
      <c r="F469" s="604"/>
      <c r="G469" s="604"/>
      <c r="H469" s="604"/>
      <c r="I469" s="604"/>
      <c r="J469" s="604"/>
      <c r="K469" s="604"/>
      <c r="L469" s="604"/>
      <c r="M469" s="604"/>
      <c r="N469" s="604"/>
      <c r="O469" s="604"/>
      <c r="P469" s="604"/>
      <c r="Q469" s="604"/>
      <c r="R469" s="604"/>
      <c r="S469" s="604"/>
      <c r="T469" s="604"/>
      <c r="U469" s="604"/>
      <c r="V469" s="604"/>
      <c r="W469" s="604"/>
      <c r="X469" s="604"/>
    </row>
    <row r="470" spans="1:24" ht="15.6">
      <c r="A470" s="604"/>
      <c r="B470" s="604"/>
      <c r="C470" s="609"/>
      <c r="D470" s="604"/>
      <c r="E470" s="604"/>
      <c r="F470" s="604"/>
      <c r="G470" s="604"/>
      <c r="H470" s="604"/>
      <c r="I470" s="604"/>
      <c r="J470" s="604"/>
      <c r="K470" s="604"/>
      <c r="L470" s="604"/>
      <c r="M470" s="604"/>
      <c r="N470" s="604"/>
      <c r="O470" s="604"/>
      <c r="P470" s="604"/>
      <c r="Q470" s="604"/>
      <c r="R470" s="604"/>
      <c r="S470" s="604"/>
      <c r="T470" s="604"/>
      <c r="U470" s="604"/>
      <c r="V470" s="604"/>
      <c r="W470" s="604"/>
      <c r="X470" s="604"/>
    </row>
    <row r="471" spans="1:24" ht="15.6">
      <c r="A471" s="604"/>
      <c r="B471" s="604"/>
      <c r="C471" s="609"/>
      <c r="D471" s="604"/>
      <c r="E471" s="604"/>
      <c r="F471" s="604"/>
      <c r="G471" s="604"/>
      <c r="H471" s="604"/>
      <c r="I471" s="604"/>
      <c r="J471" s="604"/>
      <c r="K471" s="604"/>
      <c r="L471" s="604"/>
      <c r="M471" s="604"/>
      <c r="N471" s="604"/>
      <c r="O471" s="604"/>
      <c r="P471" s="604"/>
      <c r="Q471" s="604"/>
      <c r="R471" s="604"/>
      <c r="S471" s="604"/>
      <c r="T471" s="604"/>
      <c r="U471" s="604"/>
      <c r="V471" s="604"/>
      <c r="W471" s="604"/>
      <c r="X471" s="604"/>
    </row>
    <row r="472" spans="1:24" ht="15.6">
      <c r="A472" s="604"/>
      <c r="B472" s="604"/>
      <c r="C472" s="609"/>
      <c r="D472" s="604"/>
      <c r="E472" s="604"/>
      <c r="F472" s="604"/>
      <c r="G472" s="604"/>
      <c r="H472" s="604"/>
      <c r="I472" s="604"/>
      <c r="J472" s="604"/>
      <c r="K472" s="604"/>
      <c r="L472" s="604"/>
      <c r="M472" s="604"/>
      <c r="N472" s="604"/>
      <c r="O472" s="604"/>
      <c r="P472" s="604"/>
      <c r="Q472" s="604"/>
      <c r="R472" s="604"/>
      <c r="S472" s="604"/>
      <c r="T472" s="604"/>
      <c r="U472" s="604"/>
      <c r="V472" s="604"/>
      <c r="W472" s="604"/>
      <c r="X472" s="604"/>
    </row>
    <row r="473" spans="1:24" ht="15.6">
      <c r="A473" s="604"/>
      <c r="B473" s="604"/>
      <c r="C473" s="609"/>
      <c r="D473" s="604"/>
      <c r="E473" s="604"/>
      <c r="F473" s="604"/>
      <c r="G473" s="604"/>
      <c r="H473" s="604"/>
      <c r="I473" s="604"/>
      <c r="J473" s="604"/>
      <c r="K473" s="604"/>
      <c r="L473" s="604"/>
      <c r="M473" s="604"/>
      <c r="N473" s="604"/>
      <c r="O473" s="604"/>
      <c r="P473" s="604"/>
      <c r="Q473" s="604"/>
      <c r="R473" s="604"/>
      <c r="S473" s="604"/>
      <c r="T473" s="604"/>
      <c r="U473" s="604"/>
      <c r="V473" s="604"/>
      <c r="W473" s="604"/>
      <c r="X473" s="604"/>
    </row>
    <row r="474" spans="1:24" ht="15.6">
      <c r="A474" s="604"/>
      <c r="B474" s="604"/>
      <c r="C474" s="609"/>
      <c r="D474" s="604"/>
      <c r="E474" s="604"/>
      <c r="F474" s="604"/>
      <c r="G474" s="604"/>
      <c r="H474" s="604"/>
      <c r="I474" s="604"/>
      <c r="J474" s="604"/>
      <c r="K474" s="604"/>
      <c r="L474" s="604"/>
      <c r="M474" s="604"/>
      <c r="N474" s="604"/>
      <c r="O474" s="604"/>
      <c r="P474" s="604"/>
      <c r="Q474" s="604"/>
      <c r="R474" s="604"/>
      <c r="S474" s="604"/>
      <c r="T474" s="604"/>
      <c r="U474" s="604"/>
      <c r="V474" s="604"/>
      <c r="W474" s="604"/>
      <c r="X474" s="604"/>
    </row>
    <row r="475" spans="1:24" ht="15.6">
      <c r="A475" s="604"/>
      <c r="B475" s="604"/>
      <c r="C475" s="609"/>
      <c r="D475" s="604"/>
      <c r="E475" s="604"/>
      <c r="F475" s="604"/>
      <c r="G475" s="604"/>
      <c r="H475" s="604"/>
      <c r="I475" s="604"/>
      <c r="J475" s="604"/>
      <c r="K475" s="604"/>
      <c r="L475" s="604"/>
      <c r="M475" s="604"/>
      <c r="N475" s="604"/>
      <c r="O475" s="604"/>
      <c r="P475" s="604"/>
      <c r="Q475" s="604"/>
      <c r="R475" s="604"/>
      <c r="S475" s="604"/>
      <c r="T475" s="604"/>
      <c r="U475" s="604"/>
      <c r="V475" s="604"/>
      <c r="W475" s="604"/>
      <c r="X475" s="604"/>
    </row>
    <row r="476" spans="1:24" ht="15.6">
      <c r="A476" s="604"/>
      <c r="B476" s="604"/>
      <c r="C476" s="609"/>
      <c r="D476" s="604"/>
      <c r="E476" s="604"/>
      <c r="F476" s="604"/>
      <c r="G476" s="604"/>
      <c r="H476" s="604"/>
      <c r="I476" s="604"/>
      <c r="J476" s="604"/>
      <c r="K476" s="604"/>
      <c r="L476" s="604"/>
      <c r="M476" s="604"/>
      <c r="N476" s="604"/>
      <c r="O476" s="604"/>
      <c r="P476" s="604"/>
      <c r="Q476" s="604"/>
      <c r="R476" s="604"/>
      <c r="S476" s="604"/>
      <c r="T476" s="604"/>
      <c r="U476" s="604"/>
      <c r="V476" s="604"/>
      <c r="W476" s="604"/>
      <c r="X476" s="604"/>
    </row>
    <row r="477" spans="1:24" ht="15.6">
      <c r="A477" s="604"/>
      <c r="B477" s="604"/>
      <c r="C477" s="609"/>
      <c r="D477" s="604"/>
      <c r="E477" s="604"/>
      <c r="F477" s="604"/>
      <c r="G477" s="604"/>
      <c r="H477" s="604"/>
      <c r="I477" s="604"/>
      <c r="J477" s="604"/>
      <c r="K477" s="604"/>
      <c r="L477" s="604"/>
      <c r="M477" s="604"/>
      <c r="N477" s="604"/>
      <c r="O477" s="604"/>
      <c r="P477" s="604"/>
      <c r="Q477" s="604"/>
      <c r="R477" s="604"/>
      <c r="S477" s="604"/>
      <c r="T477" s="604"/>
      <c r="U477" s="604"/>
      <c r="V477" s="604"/>
      <c r="W477" s="604"/>
      <c r="X477" s="604"/>
    </row>
    <row r="478" spans="1:24" ht="15.6">
      <c r="A478" s="604"/>
      <c r="B478" s="604"/>
      <c r="C478" s="609"/>
      <c r="D478" s="604"/>
      <c r="E478" s="604"/>
      <c r="F478" s="604"/>
      <c r="G478" s="604"/>
      <c r="H478" s="604"/>
      <c r="I478" s="604"/>
      <c r="J478" s="604"/>
      <c r="K478" s="604"/>
      <c r="L478" s="604"/>
      <c r="M478" s="604"/>
      <c r="N478" s="604"/>
      <c r="O478" s="604"/>
      <c r="P478" s="604"/>
      <c r="Q478" s="604"/>
      <c r="R478" s="604"/>
      <c r="S478" s="604"/>
      <c r="T478" s="604"/>
      <c r="U478" s="604"/>
      <c r="V478" s="604"/>
      <c r="W478" s="604"/>
      <c r="X478" s="604"/>
    </row>
    <row r="479" spans="1:24" ht="15.6">
      <c r="A479" s="604"/>
      <c r="B479" s="604"/>
      <c r="C479" s="609"/>
      <c r="D479" s="604"/>
      <c r="E479" s="604"/>
      <c r="F479" s="604"/>
      <c r="G479" s="604"/>
      <c r="H479" s="604"/>
      <c r="I479" s="604"/>
      <c r="J479" s="604"/>
      <c r="K479" s="604"/>
      <c r="L479" s="604"/>
      <c r="M479" s="604"/>
      <c r="N479" s="604"/>
      <c r="O479" s="604"/>
      <c r="P479" s="604"/>
      <c r="Q479" s="604"/>
      <c r="R479" s="604"/>
      <c r="S479" s="604"/>
      <c r="T479" s="604"/>
      <c r="U479" s="604"/>
      <c r="V479" s="604"/>
      <c r="W479" s="604"/>
      <c r="X479" s="604"/>
    </row>
    <row r="480" spans="1:24" ht="15.6">
      <c r="A480" s="604"/>
      <c r="B480" s="604"/>
      <c r="C480" s="609"/>
      <c r="D480" s="604"/>
      <c r="E480" s="604"/>
      <c r="F480" s="604"/>
      <c r="G480" s="604"/>
      <c r="H480" s="604"/>
      <c r="I480" s="604"/>
      <c r="J480" s="604"/>
      <c r="K480" s="604"/>
      <c r="L480" s="604"/>
      <c r="M480" s="604"/>
      <c r="N480" s="604"/>
      <c r="O480" s="604"/>
      <c r="P480" s="604"/>
      <c r="Q480" s="604"/>
      <c r="R480" s="604"/>
      <c r="S480" s="604"/>
      <c r="T480" s="604"/>
      <c r="U480" s="604"/>
      <c r="V480" s="604"/>
      <c r="W480" s="604"/>
      <c r="X480" s="604"/>
    </row>
    <row r="481" spans="1:24" ht="15.6">
      <c r="A481" s="604"/>
      <c r="B481" s="604"/>
      <c r="C481" s="609"/>
      <c r="D481" s="604"/>
      <c r="E481" s="604"/>
      <c r="F481" s="604"/>
      <c r="G481" s="604"/>
      <c r="H481" s="604"/>
      <c r="I481" s="604"/>
      <c r="J481" s="604"/>
      <c r="K481" s="604"/>
      <c r="L481" s="604"/>
      <c r="M481" s="604"/>
      <c r="N481" s="604"/>
      <c r="O481" s="604"/>
      <c r="P481" s="604"/>
      <c r="Q481" s="604"/>
      <c r="R481" s="604"/>
      <c r="S481" s="604"/>
      <c r="T481" s="604"/>
      <c r="U481" s="604"/>
      <c r="V481" s="604"/>
      <c r="W481" s="604"/>
      <c r="X481" s="604"/>
    </row>
    <row r="482" spans="1:24" ht="15.6">
      <c r="A482" s="604"/>
      <c r="B482" s="604"/>
      <c r="C482" s="609"/>
      <c r="D482" s="604"/>
      <c r="E482" s="604"/>
      <c r="F482" s="604"/>
      <c r="G482" s="604"/>
      <c r="H482" s="604"/>
      <c r="I482" s="604"/>
      <c r="J482" s="604"/>
      <c r="K482" s="604"/>
      <c r="L482" s="604"/>
      <c r="M482" s="604"/>
      <c r="N482" s="604"/>
      <c r="O482" s="604"/>
      <c r="P482" s="604"/>
      <c r="Q482" s="604"/>
      <c r="R482" s="604"/>
      <c r="S482" s="604"/>
      <c r="T482" s="604"/>
      <c r="U482" s="604"/>
      <c r="V482" s="604"/>
      <c r="W482" s="604"/>
      <c r="X482" s="604"/>
    </row>
    <row r="483" spans="1:24" ht="15.6">
      <c r="A483" s="604"/>
      <c r="B483" s="604"/>
      <c r="C483" s="609"/>
      <c r="D483" s="604"/>
      <c r="E483" s="604"/>
      <c r="F483" s="604"/>
      <c r="G483" s="604"/>
      <c r="H483" s="604"/>
      <c r="I483" s="604"/>
      <c r="J483" s="604"/>
      <c r="K483" s="604"/>
      <c r="L483" s="604"/>
      <c r="M483" s="604"/>
      <c r="N483" s="604"/>
      <c r="O483" s="604"/>
      <c r="P483" s="604"/>
      <c r="Q483" s="604"/>
      <c r="R483" s="604"/>
      <c r="S483" s="604"/>
      <c r="T483" s="604"/>
      <c r="U483" s="604"/>
      <c r="V483" s="604"/>
      <c r="W483" s="604"/>
      <c r="X483" s="604"/>
    </row>
    <row r="484" spans="1:24" ht="15.6">
      <c r="A484" s="604"/>
      <c r="B484" s="604"/>
      <c r="C484" s="609"/>
      <c r="D484" s="604"/>
      <c r="E484" s="604"/>
      <c r="F484" s="604"/>
      <c r="G484" s="604"/>
      <c r="H484" s="604"/>
      <c r="I484" s="604"/>
      <c r="J484" s="604"/>
      <c r="K484" s="604"/>
      <c r="L484" s="604"/>
      <c r="M484" s="604"/>
      <c r="N484" s="604"/>
      <c r="O484" s="604"/>
      <c r="P484" s="604"/>
      <c r="Q484" s="604"/>
      <c r="R484" s="604"/>
      <c r="S484" s="604"/>
      <c r="T484" s="604"/>
      <c r="U484" s="604"/>
      <c r="V484" s="604"/>
      <c r="W484" s="604"/>
      <c r="X484" s="604"/>
    </row>
    <row r="485" spans="1:24" ht="15.6">
      <c r="A485" s="604"/>
      <c r="B485" s="604"/>
      <c r="C485" s="609"/>
      <c r="D485" s="604"/>
      <c r="E485" s="604"/>
      <c r="F485" s="604"/>
      <c r="G485" s="604"/>
      <c r="H485" s="604"/>
      <c r="I485" s="604"/>
      <c r="J485" s="604"/>
      <c r="K485" s="604"/>
      <c r="L485" s="604"/>
      <c r="M485" s="604"/>
      <c r="N485" s="604"/>
      <c r="O485" s="604"/>
      <c r="P485" s="604"/>
      <c r="Q485" s="604"/>
      <c r="R485" s="604"/>
      <c r="S485" s="604"/>
      <c r="T485" s="604"/>
      <c r="U485" s="604"/>
      <c r="V485" s="604"/>
      <c r="W485" s="604"/>
      <c r="X485" s="604"/>
    </row>
    <row r="486" spans="1:24" ht="15.6">
      <c r="A486" s="604"/>
      <c r="B486" s="604"/>
      <c r="C486" s="609"/>
      <c r="D486" s="604"/>
      <c r="E486" s="604"/>
      <c r="F486" s="604"/>
      <c r="G486" s="604"/>
      <c r="H486" s="604"/>
      <c r="I486" s="604"/>
      <c r="J486" s="604"/>
      <c r="K486" s="604"/>
      <c r="L486" s="604"/>
      <c r="M486" s="604"/>
      <c r="N486" s="604"/>
      <c r="O486" s="604"/>
      <c r="P486" s="604"/>
      <c r="Q486" s="604"/>
      <c r="R486" s="604"/>
      <c r="S486" s="604"/>
      <c r="T486" s="604"/>
      <c r="U486" s="604"/>
      <c r="V486" s="604"/>
      <c r="W486" s="604"/>
      <c r="X486" s="604"/>
    </row>
    <row r="487" spans="1:24" ht="15.6">
      <c r="A487" s="604"/>
      <c r="B487" s="604"/>
      <c r="C487" s="609"/>
      <c r="D487" s="604"/>
      <c r="E487" s="604"/>
      <c r="F487" s="604"/>
      <c r="G487" s="604"/>
      <c r="H487" s="604"/>
      <c r="I487" s="604"/>
      <c r="J487" s="604"/>
      <c r="K487" s="604"/>
      <c r="L487" s="604"/>
      <c r="M487" s="604"/>
      <c r="N487" s="604"/>
      <c r="O487" s="604"/>
      <c r="P487" s="604"/>
      <c r="Q487" s="604"/>
      <c r="R487" s="604"/>
      <c r="S487" s="604"/>
      <c r="T487" s="604"/>
      <c r="U487" s="604"/>
      <c r="V487" s="604"/>
      <c r="W487" s="604"/>
      <c r="X487" s="604"/>
    </row>
    <row r="488" spans="1:24" ht="15.6">
      <c r="A488" s="604"/>
      <c r="B488" s="604"/>
      <c r="C488" s="609"/>
      <c r="D488" s="604"/>
      <c r="E488" s="604"/>
      <c r="F488" s="604"/>
      <c r="G488" s="604"/>
      <c r="H488" s="604"/>
      <c r="I488" s="604"/>
      <c r="J488" s="604"/>
      <c r="K488" s="604"/>
      <c r="L488" s="604"/>
      <c r="M488" s="604"/>
      <c r="N488" s="604"/>
      <c r="O488" s="604"/>
      <c r="P488" s="604"/>
      <c r="Q488" s="604"/>
      <c r="R488" s="604"/>
      <c r="S488" s="604"/>
      <c r="T488" s="604"/>
      <c r="U488" s="604"/>
      <c r="V488" s="604"/>
      <c r="W488" s="604"/>
      <c r="X488" s="604"/>
    </row>
    <row r="489" spans="1:24" ht="15.6">
      <c r="A489" s="604"/>
      <c r="B489" s="604"/>
      <c r="C489" s="609"/>
      <c r="D489" s="604"/>
      <c r="E489" s="604"/>
      <c r="F489" s="604"/>
      <c r="G489" s="604"/>
      <c r="H489" s="604"/>
      <c r="I489" s="604"/>
      <c r="J489" s="604"/>
      <c r="K489" s="604"/>
      <c r="L489" s="604"/>
      <c r="M489" s="604"/>
      <c r="N489" s="604"/>
      <c r="O489" s="604"/>
      <c r="P489" s="604"/>
      <c r="Q489" s="604"/>
      <c r="R489" s="604"/>
      <c r="S489" s="604"/>
      <c r="T489" s="604"/>
      <c r="U489" s="604"/>
      <c r="V489" s="604"/>
      <c r="W489" s="604"/>
      <c r="X489" s="604"/>
    </row>
    <row r="490" spans="1:24" ht="15.6">
      <c r="A490" s="604"/>
      <c r="B490" s="604"/>
      <c r="C490" s="609"/>
      <c r="D490" s="604"/>
      <c r="E490" s="604"/>
      <c r="F490" s="604"/>
      <c r="G490" s="604"/>
      <c r="H490" s="604"/>
      <c r="I490" s="604"/>
      <c r="J490" s="604"/>
      <c r="K490" s="604"/>
      <c r="L490" s="604"/>
      <c r="M490" s="604"/>
      <c r="N490" s="604"/>
      <c r="O490" s="604"/>
      <c r="P490" s="604"/>
      <c r="Q490" s="604"/>
      <c r="R490" s="604"/>
      <c r="S490" s="604"/>
      <c r="T490" s="604"/>
      <c r="U490" s="604"/>
      <c r="V490" s="604"/>
      <c r="W490" s="604"/>
      <c r="X490" s="604"/>
    </row>
    <row r="491" spans="1:24" ht="15.6">
      <c r="A491" s="604"/>
      <c r="B491" s="604"/>
      <c r="C491" s="609"/>
      <c r="D491" s="604"/>
      <c r="E491" s="604"/>
      <c r="F491" s="604"/>
      <c r="G491" s="604"/>
      <c r="H491" s="604"/>
      <c r="I491" s="604"/>
      <c r="J491" s="604"/>
      <c r="K491" s="604"/>
      <c r="L491" s="604"/>
      <c r="M491" s="604"/>
      <c r="N491" s="604"/>
      <c r="O491" s="604"/>
      <c r="P491" s="604"/>
      <c r="Q491" s="604"/>
      <c r="R491" s="604"/>
      <c r="S491" s="604"/>
      <c r="T491" s="604"/>
      <c r="U491" s="604"/>
      <c r="V491" s="604"/>
      <c r="W491" s="604"/>
      <c r="X491" s="604"/>
    </row>
    <row r="492" spans="1:24" ht="15.6">
      <c r="A492" s="604"/>
      <c r="B492" s="604"/>
      <c r="C492" s="609"/>
      <c r="D492" s="604"/>
      <c r="E492" s="604"/>
      <c r="F492" s="604"/>
      <c r="G492" s="604"/>
      <c r="H492" s="604"/>
      <c r="I492" s="604"/>
      <c r="J492" s="604"/>
      <c r="K492" s="604"/>
      <c r="L492" s="604"/>
      <c r="M492" s="604"/>
      <c r="N492" s="604"/>
      <c r="O492" s="604"/>
      <c r="P492" s="604"/>
      <c r="Q492" s="604"/>
      <c r="R492" s="604"/>
      <c r="S492" s="604"/>
      <c r="T492" s="604"/>
      <c r="U492" s="604"/>
      <c r="V492" s="604"/>
      <c r="W492" s="604"/>
      <c r="X492" s="604"/>
    </row>
    <row r="493" spans="1:24" ht="15.6">
      <c r="A493" s="604"/>
      <c r="B493" s="604"/>
      <c r="C493" s="609"/>
      <c r="D493" s="604"/>
      <c r="E493" s="604"/>
      <c r="F493" s="604"/>
      <c r="G493" s="604"/>
      <c r="H493" s="604"/>
      <c r="I493" s="604"/>
      <c r="J493" s="604"/>
      <c r="K493" s="604"/>
      <c r="L493" s="604"/>
      <c r="M493" s="604"/>
      <c r="N493" s="604"/>
      <c r="O493" s="604"/>
      <c r="P493" s="604"/>
      <c r="Q493" s="604"/>
      <c r="R493" s="604"/>
      <c r="S493" s="604"/>
      <c r="T493" s="604"/>
      <c r="U493" s="604"/>
      <c r="V493" s="604"/>
      <c r="W493" s="604"/>
      <c r="X493" s="604"/>
    </row>
    <row r="494" spans="1:24" ht="15.6">
      <c r="A494" s="604"/>
      <c r="B494" s="604"/>
      <c r="C494" s="609"/>
      <c r="D494" s="604"/>
      <c r="E494" s="604"/>
      <c r="F494" s="604"/>
      <c r="G494" s="604"/>
      <c r="H494" s="604"/>
      <c r="I494" s="604"/>
      <c r="J494" s="604"/>
      <c r="K494" s="604"/>
      <c r="L494" s="604"/>
      <c r="M494" s="604"/>
      <c r="N494" s="604"/>
      <c r="O494" s="604"/>
      <c r="P494" s="604"/>
      <c r="Q494" s="604"/>
      <c r="R494" s="604"/>
      <c r="S494" s="604"/>
      <c r="T494" s="604"/>
      <c r="U494" s="604"/>
      <c r="V494" s="604"/>
      <c r="W494" s="604"/>
      <c r="X494" s="604"/>
    </row>
    <row r="495" spans="1:24" ht="15.6">
      <c r="A495" s="604"/>
      <c r="B495" s="604"/>
      <c r="C495" s="609"/>
      <c r="D495" s="604"/>
      <c r="E495" s="604"/>
      <c r="F495" s="604"/>
      <c r="G495" s="604"/>
      <c r="H495" s="604"/>
      <c r="I495" s="604"/>
      <c r="J495" s="604"/>
      <c r="K495" s="604"/>
      <c r="L495" s="604"/>
      <c r="M495" s="604"/>
      <c r="N495" s="604"/>
      <c r="O495" s="604"/>
      <c r="P495" s="604"/>
      <c r="Q495" s="604"/>
      <c r="R495" s="604"/>
      <c r="S495" s="604"/>
      <c r="T495" s="604"/>
      <c r="U495" s="604"/>
      <c r="V495" s="604"/>
      <c r="W495" s="604"/>
      <c r="X495" s="604"/>
    </row>
    <row r="496" spans="1:24" ht="15.6">
      <c r="A496" s="604"/>
      <c r="B496" s="604"/>
      <c r="C496" s="609"/>
      <c r="D496" s="604"/>
      <c r="E496" s="604"/>
      <c r="F496" s="604"/>
      <c r="G496" s="604"/>
      <c r="H496" s="604"/>
      <c r="I496" s="604"/>
      <c r="J496" s="604"/>
      <c r="K496" s="604"/>
      <c r="L496" s="604"/>
      <c r="M496" s="604"/>
      <c r="N496" s="604"/>
      <c r="O496" s="604"/>
      <c r="P496" s="604"/>
      <c r="Q496" s="604"/>
      <c r="R496" s="604"/>
      <c r="S496" s="604"/>
      <c r="T496" s="604"/>
      <c r="U496" s="604"/>
      <c r="V496" s="604"/>
      <c r="W496" s="604"/>
      <c r="X496" s="604"/>
    </row>
    <row r="497" spans="1:24" ht="15.6">
      <c r="A497" s="604"/>
      <c r="B497" s="604"/>
      <c r="C497" s="609"/>
      <c r="D497" s="604"/>
      <c r="E497" s="604"/>
      <c r="F497" s="604"/>
      <c r="G497" s="604"/>
      <c r="H497" s="604"/>
      <c r="I497" s="604"/>
      <c r="J497" s="604"/>
      <c r="K497" s="604"/>
      <c r="L497" s="604"/>
      <c r="M497" s="604"/>
      <c r="N497" s="604"/>
      <c r="O497" s="604"/>
      <c r="P497" s="604"/>
      <c r="Q497" s="604"/>
      <c r="R497" s="604"/>
      <c r="S497" s="604"/>
      <c r="T497" s="604"/>
      <c r="U497" s="604"/>
      <c r="V497" s="604"/>
      <c r="W497" s="604"/>
      <c r="X497" s="604"/>
    </row>
    <row r="498" spans="1:24" ht="15.6">
      <c r="A498" s="604"/>
      <c r="B498" s="604"/>
      <c r="C498" s="609"/>
      <c r="D498" s="604"/>
      <c r="E498" s="604"/>
      <c r="F498" s="604"/>
      <c r="G498" s="604"/>
      <c r="H498" s="604"/>
      <c r="I498" s="604"/>
      <c r="J498" s="604"/>
      <c r="K498" s="604"/>
      <c r="L498" s="604"/>
      <c r="M498" s="604"/>
      <c r="N498" s="604"/>
      <c r="O498" s="604"/>
      <c r="P498" s="604"/>
      <c r="Q498" s="604"/>
      <c r="R498" s="604"/>
      <c r="S498" s="604"/>
      <c r="T498" s="604"/>
      <c r="U498" s="604"/>
      <c r="V498" s="604"/>
      <c r="W498" s="604"/>
      <c r="X498" s="604"/>
    </row>
    <row r="499" spans="1:24" ht="15.6">
      <c r="A499" s="604"/>
      <c r="B499" s="604"/>
      <c r="C499" s="609"/>
      <c r="D499" s="604"/>
      <c r="E499" s="604"/>
      <c r="F499" s="604"/>
      <c r="G499" s="604"/>
      <c r="H499" s="604"/>
      <c r="I499" s="604"/>
      <c r="J499" s="604"/>
      <c r="K499" s="604"/>
      <c r="L499" s="604"/>
      <c r="M499" s="604"/>
      <c r="N499" s="604"/>
      <c r="O499" s="604"/>
      <c r="P499" s="604"/>
      <c r="Q499" s="604"/>
      <c r="R499" s="604"/>
      <c r="S499" s="604"/>
      <c r="T499" s="604"/>
      <c r="U499" s="604"/>
      <c r="V499" s="604"/>
      <c r="W499" s="604"/>
      <c r="X499" s="604"/>
    </row>
    <row r="500" spans="1:24" ht="15.6">
      <c r="A500" s="604"/>
      <c r="B500" s="604"/>
      <c r="C500" s="609"/>
      <c r="D500" s="604"/>
      <c r="E500" s="604"/>
      <c r="F500" s="604"/>
      <c r="G500" s="604"/>
      <c r="H500" s="604"/>
      <c r="I500" s="604"/>
      <c r="J500" s="604"/>
      <c r="K500" s="604"/>
      <c r="L500" s="604"/>
      <c r="M500" s="604"/>
      <c r="N500" s="604"/>
      <c r="O500" s="604"/>
      <c r="P500" s="604"/>
      <c r="Q500" s="604"/>
      <c r="R500" s="604"/>
      <c r="S500" s="604"/>
      <c r="T500" s="604"/>
      <c r="U500" s="604"/>
      <c r="V500" s="604"/>
      <c r="W500" s="604"/>
      <c r="X500" s="604"/>
    </row>
    <row r="501" spans="1:24" ht="15.6">
      <c r="A501" s="604"/>
      <c r="B501" s="604"/>
      <c r="C501" s="609"/>
      <c r="D501" s="604"/>
      <c r="E501" s="604"/>
      <c r="F501" s="604"/>
      <c r="G501" s="604"/>
      <c r="H501" s="604"/>
      <c r="I501" s="604"/>
      <c r="J501" s="604"/>
      <c r="K501" s="604"/>
      <c r="L501" s="604"/>
      <c r="M501" s="604"/>
      <c r="N501" s="604"/>
      <c r="O501" s="604"/>
      <c r="P501" s="604"/>
      <c r="Q501" s="604"/>
      <c r="R501" s="604"/>
      <c r="S501" s="604"/>
      <c r="T501" s="604"/>
      <c r="U501" s="604"/>
      <c r="V501" s="604"/>
      <c r="W501" s="604"/>
      <c r="X501" s="604"/>
    </row>
    <row r="502" spans="1:24" ht="15.6">
      <c r="A502" s="604"/>
      <c r="B502" s="604"/>
      <c r="C502" s="609"/>
      <c r="D502" s="604"/>
      <c r="E502" s="604"/>
      <c r="F502" s="604"/>
      <c r="G502" s="604"/>
      <c r="H502" s="604"/>
      <c r="I502" s="604"/>
      <c r="J502" s="604"/>
      <c r="K502" s="604"/>
      <c r="L502" s="604"/>
      <c r="M502" s="604"/>
      <c r="N502" s="604"/>
      <c r="O502" s="604"/>
      <c r="P502" s="604"/>
      <c r="Q502" s="604"/>
      <c r="R502" s="604"/>
      <c r="S502" s="604"/>
      <c r="T502" s="604"/>
      <c r="U502" s="604"/>
      <c r="V502" s="604"/>
      <c r="W502" s="604"/>
      <c r="X502" s="604"/>
    </row>
    <row r="503" spans="1:24" ht="15.6">
      <c r="A503" s="604"/>
      <c r="B503" s="604"/>
      <c r="C503" s="609"/>
      <c r="D503" s="604"/>
      <c r="E503" s="604"/>
      <c r="F503" s="604"/>
      <c r="G503" s="604"/>
      <c r="H503" s="604"/>
      <c r="I503" s="604"/>
      <c r="J503" s="604"/>
      <c r="K503" s="604"/>
      <c r="L503" s="604"/>
      <c r="M503" s="604"/>
      <c r="N503" s="604"/>
      <c r="O503" s="604"/>
      <c r="P503" s="604"/>
      <c r="Q503" s="604"/>
      <c r="R503" s="604"/>
      <c r="S503" s="604"/>
      <c r="T503" s="604"/>
      <c r="U503" s="604"/>
      <c r="V503" s="604"/>
      <c r="W503" s="604"/>
      <c r="X503" s="604"/>
    </row>
    <row r="504" spans="1:24" ht="15.6">
      <c r="A504" s="604"/>
      <c r="B504" s="604"/>
      <c r="C504" s="609"/>
      <c r="D504" s="604"/>
      <c r="E504" s="604"/>
      <c r="F504" s="604"/>
      <c r="G504" s="604"/>
      <c r="H504" s="604"/>
      <c r="I504" s="604"/>
      <c r="J504" s="604"/>
      <c r="K504" s="604"/>
      <c r="L504" s="604"/>
      <c r="M504" s="604"/>
      <c r="N504" s="604"/>
      <c r="O504" s="604"/>
      <c r="P504" s="604"/>
      <c r="Q504" s="604"/>
      <c r="R504" s="604"/>
      <c r="S504" s="604"/>
      <c r="T504" s="604"/>
      <c r="U504" s="604"/>
      <c r="V504" s="604"/>
      <c r="W504" s="604"/>
      <c r="X504" s="604"/>
    </row>
    <row r="505" spans="1:24" ht="15.6">
      <c r="A505" s="604"/>
      <c r="B505" s="604"/>
      <c r="C505" s="609"/>
      <c r="D505" s="604"/>
      <c r="E505" s="604"/>
      <c r="F505" s="604"/>
      <c r="G505" s="604"/>
      <c r="H505" s="604"/>
      <c r="I505" s="604"/>
      <c r="J505" s="604"/>
      <c r="K505" s="604"/>
      <c r="L505" s="604"/>
      <c r="M505" s="604"/>
      <c r="N505" s="604"/>
      <c r="O505" s="604"/>
      <c r="P505" s="604"/>
      <c r="Q505" s="604"/>
      <c r="R505" s="604"/>
      <c r="S505" s="604"/>
      <c r="T505" s="604"/>
      <c r="U505" s="604"/>
      <c r="V505" s="604"/>
      <c r="W505" s="604"/>
      <c r="X505" s="604"/>
    </row>
    <row r="506" spans="1:24" ht="15.6">
      <c r="A506" s="604"/>
      <c r="B506" s="604"/>
      <c r="C506" s="609"/>
      <c r="D506" s="604"/>
      <c r="E506" s="604"/>
      <c r="F506" s="604"/>
      <c r="G506" s="604"/>
      <c r="H506" s="604"/>
      <c r="I506" s="604"/>
      <c r="J506" s="604"/>
      <c r="K506" s="604"/>
      <c r="L506" s="604"/>
      <c r="M506" s="604"/>
      <c r="N506" s="604"/>
      <c r="O506" s="604"/>
      <c r="P506" s="604"/>
      <c r="Q506" s="604"/>
      <c r="R506" s="604"/>
      <c r="S506" s="604"/>
      <c r="T506" s="604"/>
      <c r="U506" s="604"/>
      <c r="V506" s="604"/>
      <c r="W506" s="604"/>
      <c r="X506" s="604"/>
    </row>
    <row r="507" spans="1:24" ht="15.6">
      <c r="A507" s="604"/>
      <c r="B507" s="604"/>
      <c r="C507" s="609"/>
      <c r="D507" s="604"/>
      <c r="E507" s="604"/>
      <c r="F507" s="604"/>
      <c r="G507" s="604"/>
      <c r="H507" s="604"/>
      <c r="I507" s="604"/>
      <c r="J507" s="604"/>
      <c r="K507" s="604"/>
      <c r="L507" s="604"/>
      <c r="M507" s="604"/>
      <c r="N507" s="604"/>
      <c r="O507" s="604"/>
      <c r="P507" s="604"/>
      <c r="Q507" s="604"/>
      <c r="R507" s="604"/>
      <c r="S507" s="604"/>
      <c r="T507" s="604"/>
      <c r="U507" s="604"/>
      <c r="V507" s="604"/>
      <c r="W507" s="604"/>
      <c r="X507" s="604"/>
    </row>
    <row r="508" spans="1:24" ht="15.6">
      <c r="A508" s="604"/>
      <c r="B508" s="604"/>
      <c r="C508" s="609"/>
      <c r="D508" s="604"/>
      <c r="E508" s="604"/>
      <c r="F508" s="604"/>
      <c r="G508" s="604"/>
      <c r="H508" s="604"/>
      <c r="I508" s="604"/>
      <c r="J508" s="604"/>
      <c r="K508" s="604"/>
      <c r="L508" s="604"/>
      <c r="M508" s="604"/>
      <c r="N508" s="604"/>
      <c r="O508" s="604"/>
      <c r="P508" s="604"/>
      <c r="Q508" s="604"/>
      <c r="R508" s="604"/>
      <c r="S508" s="604"/>
      <c r="T508" s="604"/>
      <c r="U508" s="604"/>
      <c r="V508" s="604"/>
      <c r="W508" s="604"/>
      <c r="X508" s="604"/>
    </row>
    <row r="509" spans="1:24" ht="15.6">
      <c r="A509" s="604"/>
      <c r="B509" s="604"/>
      <c r="C509" s="609"/>
      <c r="D509" s="604"/>
      <c r="E509" s="604"/>
      <c r="F509" s="604"/>
      <c r="G509" s="604"/>
      <c r="H509" s="604"/>
      <c r="I509" s="604"/>
      <c r="J509" s="604"/>
      <c r="K509" s="604"/>
      <c r="L509" s="604"/>
      <c r="M509" s="604"/>
      <c r="N509" s="604"/>
      <c r="O509" s="604"/>
      <c r="P509" s="604"/>
      <c r="Q509" s="604"/>
      <c r="R509" s="604"/>
      <c r="S509" s="604"/>
      <c r="T509" s="604"/>
      <c r="U509" s="604"/>
      <c r="V509" s="604"/>
      <c r="W509" s="604"/>
      <c r="X509" s="604"/>
    </row>
    <row r="510" spans="1:24" ht="15.6">
      <c r="A510" s="604"/>
      <c r="B510" s="604"/>
      <c r="C510" s="609"/>
      <c r="D510" s="604"/>
      <c r="E510" s="604"/>
      <c r="F510" s="604"/>
      <c r="G510" s="604"/>
      <c r="H510" s="604"/>
      <c r="I510" s="604"/>
      <c r="J510" s="604"/>
      <c r="K510" s="604"/>
      <c r="L510" s="604"/>
      <c r="M510" s="604"/>
      <c r="N510" s="604"/>
      <c r="O510" s="604"/>
      <c r="P510" s="604"/>
      <c r="Q510" s="604"/>
      <c r="R510" s="604"/>
      <c r="S510" s="604"/>
      <c r="T510" s="604"/>
      <c r="U510" s="604"/>
      <c r="V510" s="604"/>
      <c r="W510" s="604"/>
      <c r="X510" s="604"/>
    </row>
    <row r="511" spans="1:24" ht="15.6">
      <c r="A511" s="604"/>
      <c r="B511" s="604"/>
      <c r="C511" s="609"/>
      <c r="D511" s="604"/>
      <c r="E511" s="604"/>
      <c r="F511" s="604"/>
      <c r="G511" s="604"/>
      <c r="H511" s="604"/>
      <c r="I511" s="604"/>
      <c r="J511" s="604"/>
      <c r="K511" s="604"/>
      <c r="L511" s="604"/>
      <c r="M511" s="604"/>
      <c r="N511" s="604"/>
      <c r="O511" s="604"/>
      <c r="P511" s="604"/>
      <c r="Q511" s="604"/>
      <c r="R511" s="604"/>
      <c r="S511" s="604"/>
      <c r="T511" s="604"/>
      <c r="U511" s="604"/>
      <c r="V511" s="604"/>
      <c r="W511" s="604"/>
      <c r="X511" s="604"/>
    </row>
    <row r="512" spans="1:24" ht="15.6">
      <c r="A512" s="604"/>
      <c r="B512" s="604"/>
      <c r="C512" s="609"/>
      <c r="D512" s="604"/>
      <c r="E512" s="604"/>
      <c r="F512" s="604"/>
      <c r="G512" s="604"/>
      <c r="H512" s="604"/>
      <c r="I512" s="604"/>
      <c r="J512" s="604"/>
      <c r="K512" s="604"/>
      <c r="L512" s="604"/>
      <c r="M512" s="604"/>
      <c r="N512" s="604"/>
      <c r="O512" s="604"/>
      <c r="P512" s="604"/>
      <c r="Q512" s="604"/>
      <c r="R512" s="604"/>
      <c r="S512" s="604"/>
      <c r="T512" s="604"/>
      <c r="U512" s="604"/>
      <c r="V512" s="604"/>
      <c r="W512" s="604"/>
      <c r="X512" s="604"/>
    </row>
    <row r="513" spans="1:24" ht="15.6">
      <c r="A513" s="604"/>
      <c r="B513" s="604"/>
      <c r="C513" s="609"/>
      <c r="D513" s="604"/>
      <c r="E513" s="604"/>
      <c r="F513" s="604"/>
      <c r="G513" s="604"/>
      <c r="H513" s="604"/>
      <c r="I513" s="604"/>
      <c r="J513" s="604"/>
      <c r="K513" s="604"/>
      <c r="L513" s="604"/>
      <c r="M513" s="604"/>
      <c r="N513" s="604"/>
      <c r="O513" s="604"/>
      <c r="P513" s="604"/>
      <c r="Q513" s="604"/>
      <c r="R513" s="604"/>
      <c r="S513" s="604"/>
      <c r="T513" s="604"/>
      <c r="U513" s="604"/>
      <c r="V513" s="604"/>
      <c r="W513" s="604"/>
      <c r="X513" s="604"/>
    </row>
    <row r="514" spans="1:24" ht="15.6">
      <c r="A514" s="604"/>
      <c r="B514" s="604"/>
      <c r="C514" s="609"/>
      <c r="D514" s="604"/>
      <c r="E514" s="604"/>
      <c r="F514" s="604"/>
      <c r="G514" s="604"/>
      <c r="H514" s="604"/>
      <c r="I514" s="604"/>
      <c r="J514" s="604"/>
      <c r="K514" s="604"/>
      <c r="L514" s="604"/>
      <c r="M514" s="604"/>
      <c r="N514" s="604"/>
      <c r="O514" s="604"/>
      <c r="P514" s="604"/>
      <c r="Q514" s="604"/>
      <c r="R514" s="604"/>
      <c r="S514" s="604"/>
      <c r="T514" s="604"/>
      <c r="U514" s="604"/>
      <c r="V514" s="604"/>
      <c r="W514" s="604"/>
      <c r="X514" s="604"/>
    </row>
    <row r="515" spans="1:24" ht="15.6">
      <c r="A515" s="604"/>
      <c r="B515" s="604"/>
      <c r="C515" s="609"/>
      <c r="D515" s="604"/>
      <c r="E515" s="604"/>
      <c r="F515" s="604"/>
      <c r="G515" s="604"/>
      <c r="H515" s="604"/>
      <c r="I515" s="604"/>
      <c r="J515" s="604"/>
      <c r="K515" s="604"/>
      <c r="L515" s="604"/>
      <c r="M515" s="604"/>
      <c r="N515" s="604"/>
      <c r="O515" s="604"/>
      <c r="P515" s="604"/>
      <c r="Q515" s="604"/>
      <c r="R515" s="604"/>
      <c r="S515" s="604"/>
      <c r="T515" s="604"/>
      <c r="U515" s="604"/>
      <c r="V515" s="604"/>
      <c r="W515" s="604"/>
      <c r="X515" s="604"/>
    </row>
    <row r="516" spans="1:24" ht="15.6">
      <c r="A516" s="604"/>
      <c r="B516" s="604"/>
      <c r="C516" s="609"/>
      <c r="D516" s="604"/>
      <c r="E516" s="604"/>
      <c r="F516" s="604"/>
      <c r="G516" s="604"/>
      <c r="H516" s="604"/>
      <c r="I516" s="604"/>
      <c r="J516" s="604"/>
      <c r="K516" s="604"/>
      <c r="L516" s="604"/>
      <c r="M516" s="604"/>
      <c r="N516" s="604"/>
      <c r="O516" s="604"/>
      <c r="P516" s="604"/>
      <c r="Q516" s="604"/>
      <c r="R516" s="604"/>
      <c r="S516" s="604"/>
      <c r="T516" s="604"/>
      <c r="U516" s="604"/>
      <c r="V516" s="604"/>
      <c r="W516" s="604"/>
      <c r="X516" s="604"/>
    </row>
    <row r="517" spans="1:24" ht="15.6">
      <c r="A517" s="604"/>
      <c r="B517" s="604"/>
      <c r="C517" s="609"/>
      <c r="D517" s="604"/>
      <c r="E517" s="604"/>
      <c r="F517" s="604"/>
      <c r="G517" s="604"/>
      <c r="H517" s="604"/>
      <c r="I517" s="604"/>
      <c r="J517" s="604"/>
      <c r="K517" s="604"/>
      <c r="L517" s="604"/>
      <c r="M517" s="604"/>
      <c r="N517" s="604"/>
      <c r="O517" s="604"/>
      <c r="P517" s="604"/>
      <c r="Q517" s="604"/>
      <c r="R517" s="604"/>
      <c r="S517" s="604"/>
      <c r="T517" s="604"/>
      <c r="U517" s="604"/>
      <c r="V517" s="604"/>
      <c r="W517" s="604"/>
      <c r="X517" s="604"/>
    </row>
    <row r="518" spans="1:24" ht="15.6">
      <c r="A518" s="604"/>
      <c r="B518" s="604"/>
      <c r="C518" s="609"/>
      <c r="D518" s="604"/>
      <c r="E518" s="604"/>
      <c r="F518" s="604"/>
      <c r="G518" s="604"/>
      <c r="H518" s="604"/>
      <c r="I518" s="604"/>
      <c r="J518" s="604"/>
      <c r="K518" s="604"/>
      <c r="L518" s="604"/>
      <c r="M518" s="604"/>
      <c r="N518" s="604"/>
      <c r="O518" s="604"/>
      <c r="P518" s="604"/>
      <c r="Q518" s="604"/>
      <c r="R518" s="604"/>
      <c r="S518" s="604"/>
      <c r="T518" s="604"/>
      <c r="U518" s="604"/>
      <c r="V518" s="604"/>
      <c r="W518" s="604"/>
      <c r="X518" s="604"/>
    </row>
    <row r="519" spans="1:24" ht="15.6">
      <c r="A519" s="604"/>
      <c r="B519" s="604"/>
      <c r="C519" s="609"/>
      <c r="D519" s="604"/>
      <c r="E519" s="604"/>
      <c r="F519" s="604"/>
      <c r="G519" s="604"/>
      <c r="H519" s="604"/>
      <c r="I519" s="604"/>
      <c r="J519" s="604"/>
      <c r="K519" s="604"/>
      <c r="L519" s="604"/>
      <c r="M519" s="604"/>
      <c r="N519" s="604"/>
      <c r="O519" s="604"/>
      <c r="P519" s="604"/>
      <c r="Q519" s="604"/>
      <c r="R519" s="604"/>
      <c r="S519" s="604"/>
      <c r="T519" s="604"/>
      <c r="U519" s="604"/>
      <c r="V519" s="604"/>
      <c r="W519" s="604"/>
      <c r="X519" s="604"/>
    </row>
    <row r="520" spans="1:24" ht="15.6">
      <c r="A520" s="604"/>
      <c r="B520" s="604"/>
      <c r="C520" s="609"/>
      <c r="D520" s="604"/>
      <c r="E520" s="604"/>
      <c r="F520" s="604"/>
      <c r="G520" s="604"/>
      <c r="H520" s="604"/>
      <c r="I520" s="604"/>
      <c r="J520" s="604"/>
      <c r="K520" s="604"/>
      <c r="L520" s="604"/>
      <c r="M520" s="604"/>
      <c r="N520" s="604"/>
      <c r="O520" s="604"/>
      <c r="P520" s="604"/>
      <c r="Q520" s="604"/>
      <c r="R520" s="604"/>
      <c r="S520" s="604"/>
      <c r="T520" s="604"/>
      <c r="U520" s="604"/>
      <c r="V520" s="604"/>
      <c r="W520" s="604"/>
      <c r="X520" s="604"/>
    </row>
    <row r="521" spans="1:24" ht="15.6">
      <c r="A521" s="604"/>
      <c r="B521" s="604"/>
      <c r="C521" s="609"/>
      <c r="D521" s="604"/>
      <c r="E521" s="604"/>
      <c r="F521" s="604"/>
      <c r="G521" s="604"/>
      <c r="H521" s="604"/>
      <c r="I521" s="604"/>
      <c r="J521" s="604"/>
      <c r="K521" s="604"/>
      <c r="L521" s="604"/>
      <c r="M521" s="604"/>
      <c r="N521" s="604"/>
      <c r="O521" s="604"/>
      <c r="P521" s="604"/>
      <c r="Q521" s="604"/>
      <c r="R521" s="604"/>
      <c r="S521" s="604"/>
      <c r="T521" s="604"/>
      <c r="U521" s="604"/>
      <c r="V521" s="604"/>
      <c r="W521" s="604"/>
      <c r="X521" s="604"/>
    </row>
    <row r="522" spans="1:24" ht="15.6">
      <c r="A522" s="604"/>
      <c r="B522" s="604"/>
      <c r="C522" s="609"/>
      <c r="D522" s="604"/>
      <c r="E522" s="604"/>
      <c r="F522" s="604"/>
      <c r="G522" s="604"/>
      <c r="H522" s="604"/>
      <c r="I522" s="604"/>
      <c r="J522" s="604"/>
      <c r="K522" s="604"/>
      <c r="L522" s="604"/>
      <c r="M522" s="604"/>
      <c r="N522" s="604"/>
      <c r="O522" s="604"/>
      <c r="P522" s="604"/>
      <c r="Q522" s="604"/>
      <c r="R522" s="604"/>
      <c r="S522" s="604"/>
      <c r="T522" s="604"/>
      <c r="U522" s="604"/>
      <c r="V522" s="604"/>
      <c r="W522" s="604"/>
      <c r="X522" s="604"/>
    </row>
    <row r="523" spans="1:24" ht="15.6">
      <c r="A523" s="604"/>
      <c r="B523" s="604"/>
      <c r="C523" s="609"/>
      <c r="D523" s="604"/>
      <c r="E523" s="604"/>
      <c r="F523" s="604"/>
      <c r="G523" s="604"/>
      <c r="H523" s="604"/>
      <c r="I523" s="604"/>
      <c r="J523" s="604"/>
      <c r="K523" s="604"/>
      <c r="L523" s="604"/>
      <c r="M523" s="604"/>
      <c r="N523" s="604"/>
      <c r="O523" s="604"/>
      <c r="P523" s="604"/>
      <c r="Q523" s="604"/>
      <c r="R523" s="604"/>
      <c r="S523" s="604"/>
      <c r="T523" s="604"/>
      <c r="U523" s="604"/>
      <c r="V523" s="604"/>
      <c r="W523" s="604"/>
      <c r="X523" s="604"/>
    </row>
    <row r="524" spans="1:24" ht="15.6">
      <c r="A524" s="604"/>
      <c r="B524" s="604"/>
      <c r="C524" s="609"/>
      <c r="D524" s="604"/>
      <c r="E524" s="604"/>
      <c r="F524" s="604"/>
      <c r="G524" s="604"/>
      <c r="H524" s="604"/>
      <c r="I524" s="604"/>
      <c r="J524" s="604"/>
      <c r="K524" s="604"/>
      <c r="L524" s="604"/>
      <c r="M524" s="604"/>
      <c r="N524" s="604"/>
      <c r="O524" s="604"/>
      <c r="P524" s="604"/>
      <c r="Q524" s="604"/>
      <c r="R524" s="604"/>
      <c r="S524" s="604"/>
      <c r="T524" s="604"/>
      <c r="U524" s="604"/>
      <c r="V524" s="604"/>
      <c r="W524" s="604"/>
      <c r="X524" s="604"/>
    </row>
    <row r="525" spans="1:24" ht="15.6">
      <c r="A525" s="604"/>
      <c r="B525" s="604"/>
      <c r="C525" s="609"/>
      <c r="D525" s="604"/>
      <c r="E525" s="604"/>
      <c r="F525" s="604"/>
      <c r="G525" s="604"/>
      <c r="H525" s="604"/>
      <c r="I525" s="604"/>
      <c r="J525" s="604"/>
      <c r="K525" s="604"/>
      <c r="L525" s="604"/>
      <c r="M525" s="604"/>
      <c r="N525" s="604"/>
      <c r="O525" s="604"/>
      <c r="P525" s="604"/>
      <c r="Q525" s="604"/>
      <c r="R525" s="604"/>
      <c r="S525" s="604"/>
      <c r="T525" s="604"/>
      <c r="U525" s="604"/>
      <c r="V525" s="604"/>
      <c r="W525" s="604"/>
      <c r="X525" s="604"/>
    </row>
    <row r="526" spans="1:24" ht="15.6">
      <c r="A526" s="604"/>
      <c r="B526" s="604"/>
      <c r="C526" s="609"/>
      <c r="D526" s="604"/>
      <c r="E526" s="604"/>
      <c r="F526" s="604"/>
      <c r="G526" s="604"/>
      <c r="H526" s="604"/>
      <c r="I526" s="604"/>
      <c r="J526" s="604"/>
      <c r="K526" s="604"/>
      <c r="L526" s="604"/>
      <c r="M526" s="604"/>
      <c r="N526" s="604"/>
      <c r="O526" s="604"/>
      <c r="P526" s="604"/>
      <c r="Q526" s="604"/>
      <c r="R526" s="604"/>
      <c r="S526" s="604"/>
      <c r="T526" s="604"/>
      <c r="U526" s="604"/>
      <c r="V526" s="604"/>
      <c r="W526" s="604"/>
      <c r="X526" s="604"/>
    </row>
    <row r="527" spans="1:24" ht="15.6">
      <c r="A527" s="604"/>
      <c r="B527" s="604"/>
      <c r="C527" s="609"/>
      <c r="D527" s="604"/>
      <c r="E527" s="604"/>
      <c r="F527" s="604"/>
      <c r="G527" s="604"/>
      <c r="H527" s="604"/>
      <c r="I527" s="604"/>
      <c r="J527" s="604"/>
      <c r="K527" s="604"/>
      <c r="L527" s="604"/>
      <c r="M527" s="604"/>
      <c r="N527" s="604"/>
      <c r="O527" s="604"/>
      <c r="P527" s="604"/>
      <c r="Q527" s="604"/>
      <c r="R527" s="604"/>
      <c r="S527" s="604"/>
      <c r="T527" s="604"/>
      <c r="U527" s="604"/>
      <c r="V527" s="604"/>
      <c r="W527" s="604"/>
      <c r="X527" s="604"/>
    </row>
    <row r="528" spans="1:24" ht="15.6">
      <c r="A528" s="604"/>
      <c r="B528" s="604"/>
      <c r="C528" s="609"/>
      <c r="D528" s="604"/>
      <c r="E528" s="604"/>
      <c r="F528" s="604"/>
      <c r="G528" s="604"/>
      <c r="H528" s="604"/>
      <c r="I528" s="604"/>
      <c r="J528" s="604"/>
      <c r="K528" s="604"/>
      <c r="L528" s="604"/>
      <c r="M528" s="604"/>
      <c r="N528" s="604"/>
      <c r="O528" s="604"/>
      <c r="P528" s="604"/>
      <c r="Q528" s="604"/>
      <c r="R528" s="604"/>
      <c r="S528" s="604"/>
      <c r="T528" s="604"/>
      <c r="U528" s="604"/>
      <c r="V528" s="604"/>
      <c r="W528" s="604"/>
      <c r="X528" s="604"/>
    </row>
    <row r="529" spans="1:24" ht="15.6">
      <c r="A529" s="604"/>
      <c r="B529" s="604"/>
      <c r="C529" s="609"/>
      <c r="D529" s="604"/>
      <c r="E529" s="604"/>
      <c r="F529" s="604"/>
      <c r="G529" s="604"/>
      <c r="H529" s="604"/>
      <c r="I529" s="604"/>
      <c r="J529" s="604"/>
      <c r="K529" s="604"/>
      <c r="L529" s="604"/>
      <c r="M529" s="604"/>
      <c r="N529" s="604"/>
      <c r="O529" s="604"/>
      <c r="P529" s="604"/>
      <c r="Q529" s="604"/>
      <c r="R529" s="604"/>
      <c r="S529" s="604"/>
      <c r="T529" s="604"/>
      <c r="U529" s="604"/>
      <c r="V529" s="604"/>
      <c r="W529" s="604"/>
      <c r="X529" s="604"/>
    </row>
    <row r="530" spans="1:24" ht="15.6">
      <c r="A530" s="604"/>
      <c r="B530" s="604"/>
      <c r="C530" s="609"/>
      <c r="D530" s="604"/>
      <c r="E530" s="604"/>
      <c r="F530" s="604"/>
      <c r="G530" s="604"/>
      <c r="H530" s="604"/>
      <c r="I530" s="604"/>
      <c r="J530" s="604"/>
      <c r="K530" s="604"/>
      <c r="L530" s="604"/>
      <c r="M530" s="604"/>
      <c r="N530" s="604"/>
      <c r="O530" s="604"/>
      <c r="P530" s="604"/>
      <c r="Q530" s="604"/>
      <c r="R530" s="604"/>
      <c r="S530" s="604"/>
      <c r="T530" s="604"/>
      <c r="U530" s="604"/>
      <c r="V530" s="604"/>
      <c r="W530" s="604"/>
      <c r="X530" s="604"/>
    </row>
    <row r="531" spans="1:24" ht="15.6">
      <c r="A531" s="604"/>
      <c r="B531" s="604"/>
      <c r="C531" s="609"/>
      <c r="D531" s="604"/>
      <c r="E531" s="604"/>
      <c r="F531" s="604"/>
      <c r="G531" s="604"/>
      <c r="H531" s="604"/>
      <c r="I531" s="604"/>
      <c r="J531" s="604"/>
      <c r="K531" s="604"/>
      <c r="L531" s="604"/>
      <c r="M531" s="604"/>
      <c r="N531" s="604"/>
      <c r="O531" s="604"/>
      <c r="P531" s="604"/>
      <c r="Q531" s="604"/>
      <c r="R531" s="604"/>
      <c r="S531" s="604"/>
      <c r="T531" s="604"/>
      <c r="U531" s="604"/>
      <c r="V531" s="604"/>
      <c r="W531" s="604"/>
      <c r="X531" s="604"/>
    </row>
    <row r="532" spans="1:24" ht="15.6">
      <c r="A532" s="604"/>
      <c r="B532" s="604"/>
      <c r="C532" s="609"/>
      <c r="D532" s="604"/>
      <c r="E532" s="604"/>
      <c r="F532" s="604"/>
      <c r="G532" s="604"/>
      <c r="H532" s="604"/>
      <c r="I532" s="604"/>
      <c r="J532" s="604"/>
      <c r="K532" s="604"/>
      <c r="L532" s="604"/>
      <c r="M532" s="604"/>
      <c r="N532" s="604"/>
      <c r="O532" s="604"/>
      <c r="P532" s="604"/>
      <c r="Q532" s="604"/>
      <c r="R532" s="604"/>
      <c r="S532" s="604"/>
      <c r="T532" s="604"/>
      <c r="U532" s="604"/>
      <c r="V532" s="604"/>
      <c r="W532" s="604"/>
      <c r="X532" s="604"/>
    </row>
    <row r="533" spans="1:24" ht="15.6">
      <c r="A533" s="604"/>
      <c r="B533" s="604"/>
      <c r="C533" s="609"/>
      <c r="D533" s="604"/>
      <c r="E533" s="604"/>
      <c r="F533" s="604"/>
      <c r="G533" s="604"/>
      <c r="H533" s="604"/>
      <c r="I533" s="604"/>
      <c r="J533" s="604"/>
      <c r="K533" s="604"/>
      <c r="L533" s="604"/>
      <c r="M533" s="604"/>
      <c r="N533" s="604"/>
      <c r="O533" s="604"/>
      <c r="P533" s="604"/>
      <c r="Q533" s="604"/>
      <c r="R533" s="604"/>
      <c r="S533" s="604"/>
      <c r="T533" s="604"/>
      <c r="U533" s="604"/>
      <c r="V533" s="604"/>
      <c r="W533" s="604"/>
      <c r="X533" s="604"/>
    </row>
    <row r="534" spans="1:24" ht="15.6">
      <c r="A534" s="604"/>
      <c r="B534" s="604"/>
      <c r="C534" s="609"/>
      <c r="D534" s="604"/>
      <c r="E534" s="604"/>
      <c r="F534" s="604"/>
      <c r="G534" s="604"/>
      <c r="H534" s="604"/>
      <c r="I534" s="604"/>
      <c r="J534" s="604"/>
      <c r="K534" s="604"/>
      <c r="L534" s="604"/>
      <c r="M534" s="604"/>
      <c r="N534" s="604"/>
      <c r="O534" s="604"/>
      <c r="P534" s="604"/>
      <c r="Q534" s="604"/>
      <c r="R534" s="604"/>
      <c r="S534" s="604"/>
      <c r="T534" s="604"/>
      <c r="U534" s="604"/>
      <c r="V534" s="604"/>
      <c r="W534" s="604"/>
      <c r="X534" s="604"/>
    </row>
    <row r="535" spans="1:24" ht="15.6">
      <c r="A535" s="604"/>
      <c r="B535" s="604"/>
      <c r="C535" s="609"/>
      <c r="D535" s="604"/>
      <c r="E535" s="604"/>
      <c r="F535" s="604"/>
      <c r="G535" s="604"/>
      <c r="H535" s="604"/>
      <c r="I535" s="604"/>
      <c r="J535" s="604"/>
      <c r="K535" s="604"/>
      <c r="L535" s="604"/>
      <c r="M535" s="604"/>
      <c r="N535" s="604"/>
      <c r="O535" s="604"/>
      <c r="P535" s="604"/>
      <c r="Q535" s="604"/>
      <c r="R535" s="604"/>
      <c r="S535" s="604"/>
      <c r="T535" s="604"/>
      <c r="U535" s="604"/>
      <c r="V535" s="604"/>
      <c r="W535" s="604"/>
      <c r="X535" s="604"/>
    </row>
    <row r="536" spans="1:24" ht="15.6">
      <c r="A536" s="604"/>
      <c r="B536" s="604"/>
      <c r="C536" s="609"/>
      <c r="D536" s="604"/>
      <c r="E536" s="604"/>
      <c r="F536" s="604"/>
      <c r="G536" s="604"/>
      <c r="H536" s="604"/>
      <c r="I536" s="604"/>
      <c r="J536" s="604"/>
      <c r="K536" s="604"/>
      <c r="L536" s="604"/>
      <c r="M536" s="604"/>
      <c r="N536" s="604"/>
      <c r="O536" s="604"/>
      <c r="P536" s="604"/>
      <c r="Q536" s="604"/>
      <c r="R536" s="604"/>
      <c r="S536" s="604"/>
      <c r="T536" s="604"/>
      <c r="U536" s="604"/>
      <c r="V536" s="604"/>
      <c r="W536" s="604"/>
      <c r="X536" s="604"/>
    </row>
    <row r="537" spans="1:24" ht="15.6">
      <c r="A537" s="604"/>
      <c r="B537" s="604"/>
      <c r="C537" s="609"/>
      <c r="D537" s="604"/>
      <c r="E537" s="604"/>
      <c r="F537" s="604"/>
      <c r="G537" s="604"/>
      <c r="H537" s="604"/>
      <c r="I537" s="604"/>
      <c r="J537" s="604"/>
      <c r="K537" s="604"/>
      <c r="L537" s="604"/>
      <c r="M537" s="604"/>
      <c r="N537" s="604"/>
      <c r="O537" s="604"/>
      <c r="P537" s="604"/>
      <c r="Q537" s="604"/>
      <c r="R537" s="604"/>
      <c r="S537" s="604"/>
      <c r="T537" s="604"/>
      <c r="U537" s="604"/>
      <c r="V537" s="604"/>
      <c r="W537" s="604"/>
      <c r="X537" s="604"/>
    </row>
    <row r="538" spans="1:24" ht="15.6">
      <c r="A538" s="604"/>
      <c r="B538" s="604"/>
      <c r="C538" s="609"/>
      <c r="D538" s="604"/>
      <c r="E538" s="604"/>
      <c r="F538" s="604"/>
      <c r="G538" s="604"/>
      <c r="H538" s="604"/>
      <c r="I538" s="604"/>
      <c r="J538" s="604"/>
      <c r="K538" s="604"/>
      <c r="L538" s="604"/>
      <c r="M538" s="604"/>
      <c r="N538" s="604"/>
      <c r="O538" s="604"/>
      <c r="P538" s="604"/>
      <c r="Q538" s="604"/>
      <c r="R538" s="604"/>
      <c r="S538" s="604"/>
      <c r="T538" s="604"/>
      <c r="U538" s="604"/>
      <c r="V538" s="604"/>
      <c r="W538" s="604"/>
      <c r="X538" s="604"/>
    </row>
    <row r="539" spans="1:24" ht="15.6">
      <c r="A539" s="604"/>
      <c r="B539" s="604"/>
      <c r="C539" s="609"/>
      <c r="D539" s="604"/>
      <c r="E539" s="604"/>
      <c r="F539" s="604"/>
      <c r="G539" s="604"/>
      <c r="H539" s="604"/>
      <c r="I539" s="604"/>
      <c r="J539" s="604"/>
      <c r="K539" s="604"/>
      <c r="L539" s="604"/>
      <c r="M539" s="604"/>
      <c r="N539" s="604"/>
      <c r="O539" s="604"/>
      <c r="P539" s="604"/>
      <c r="Q539" s="604"/>
      <c r="R539" s="604"/>
      <c r="S539" s="604"/>
      <c r="T539" s="604"/>
      <c r="U539" s="604"/>
      <c r="V539" s="604"/>
      <c r="W539" s="604"/>
      <c r="X539" s="604"/>
    </row>
    <row r="540" spans="1:24" ht="15.6">
      <c r="A540" s="604"/>
      <c r="B540" s="604"/>
      <c r="C540" s="609"/>
      <c r="D540" s="604"/>
      <c r="E540" s="604"/>
      <c r="F540" s="604"/>
      <c r="G540" s="604"/>
      <c r="H540" s="604"/>
      <c r="I540" s="604"/>
      <c r="J540" s="604"/>
      <c r="K540" s="604"/>
      <c r="L540" s="604"/>
      <c r="M540" s="604"/>
      <c r="N540" s="604"/>
      <c r="O540" s="604"/>
      <c r="P540" s="604"/>
      <c r="Q540" s="604"/>
      <c r="R540" s="604"/>
      <c r="S540" s="604"/>
      <c r="T540" s="604"/>
      <c r="U540" s="604"/>
      <c r="V540" s="604"/>
      <c r="W540" s="604"/>
      <c r="X540" s="604"/>
    </row>
    <row r="541" spans="1:24" ht="15.6">
      <c r="A541" s="604"/>
      <c r="B541" s="604"/>
      <c r="C541" s="609"/>
      <c r="D541" s="604"/>
      <c r="E541" s="604"/>
      <c r="F541" s="604"/>
      <c r="G541" s="604"/>
      <c r="H541" s="604"/>
      <c r="I541" s="604"/>
      <c r="J541" s="604"/>
      <c r="K541" s="604"/>
      <c r="L541" s="604"/>
      <c r="M541" s="604"/>
      <c r="N541" s="604"/>
      <c r="O541" s="604"/>
      <c r="P541" s="604"/>
      <c r="Q541" s="604"/>
      <c r="R541" s="604"/>
      <c r="S541" s="604"/>
      <c r="T541" s="604"/>
      <c r="U541" s="604"/>
      <c r="V541" s="604"/>
      <c r="W541" s="604"/>
      <c r="X541" s="604"/>
    </row>
    <row r="542" spans="1:24" ht="15.6">
      <c r="A542" s="604"/>
      <c r="B542" s="604"/>
      <c r="C542" s="609"/>
      <c r="D542" s="604"/>
      <c r="E542" s="604"/>
      <c r="F542" s="604"/>
      <c r="G542" s="604"/>
      <c r="H542" s="604"/>
      <c r="I542" s="604"/>
      <c r="J542" s="604"/>
      <c r="K542" s="604"/>
      <c r="L542" s="604"/>
      <c r="M542" s="604"/>
      <c r="N542" s="604"/>
      <c r="O542" s="604"/>
      <c r="P542" s="604"/>
      <c r="Q542" s="604"/>
      <c r="R542" s="604"/>
      <c r="S542" s="604"/>
      <c r="T542" s="604"/>
      <c r="U542" s="604"/>
      <c r="V542" s="604"/>
      <c r="W542" s="604"/>
      <c r="X542" s="604"/>
    </row>
    <row r="543" spans="1:24" ht="15.6">
      <c r="A543" s="604"/>
      <c r="B543" s="604"/>
      <c r="C543" s="609"/>
      <c r="D543" s="604"/>
      <c r="E543" s="604"/>
      <c r="F543" s="604"/>
      <c r="G543" s="604"/>
      <c r="H543" s="604"/>
      <c r="I543" s="604"/>
      <c r="J543" s="604"/>
      <c r="K543" s="604"/>
      <c r="L543" s="604"/>
      <c r="M543" s="604"/>
      <c r="N543" s="604"/>
      <c r="O543" s="604"/>
      <c r="P543" s="604"/>
      <c r="Q543" s="604"/>
      <c r="R543" s="604"/>
      <c r="S543" s="604"/>
      <c r="T543" s="604"/>
      <c r="U543" s="604"/>
      <c r="V543" s="604"/>
      <c r="W543" s="604"/>
      <c r="X543" s="604"/>
    </row>
    <row r="544" spans="1:24" ht="15.6">
      <c r="A544" s="604"/>
      <c r="B544" s="604"/>
      <c r="C544" s="609"/>
      <c r="D544" s="604"/>
      <c r="E544" s="604"/>
      <c r="F544" s="604"/>
      <c r="G544" s="604"/>
      <c r="H544" s="604"/>
      <c r="I544" s="604"/>
      <c r="J544" s="604"/>
      <c r="K544" s="604"/>
      <c r="L544" s="604"/>
      <c r="M544" s="604"/>
      <c r="N544" s="604"/>
      <c r="O544" s="604"/>
      <c r="P544" s="604"/>
      <c r="Q544" s="604"/>
      <c r="R544" s="604"/>
      <c r="S544" s="604"/>
      <c r="T544" s="604"/>
      <c r="U544" s="604"/>
      <c r="V544" s="604"/>
      <c r="W544" s="604"/>
      <c r="X544" s="604"/>
    </row>
    <row r="545" spans="1:24" ht="15.6">
      <c r="A545" s="604"/>
      <c r="B545" s="604"/>
      <c r="C545" s="609"/>
      <c r="D545" s="604"/>
      <c r="E545" s="604"/>
      <c r="F545" s="604"/>
      <c r="G545" s="604"/>
      <c r="H545" s="604"/>
      <c r="I545" s="604"/>
      <c r="J545" s="604"/>
      <c r="K545" s="604"/>
      <c r="L545" s="604"/>
      <c r="M545" s="604"/>
      <c r="N545" s="604"/>
      <c r="O545" s="604"/>
      <c r="P545" s="604"/>
      <c r="Q545" s="604"/>
      <c r="R545" s="604"/>
      <c r="S545" s="604"/>
      <c r="T545" s="604"/>
      <c r="U545" s="604"/>
      <c r="V545" s="604"/>
      <c r="W545" s="604"/>
      <c r="X545" s="604"/>
    </row>
    <row r="546" spans="1:24" ht="15.6">
      <c r="A546" s="604"/>
      <c r="B546" s="604"/>
      <c r="C546" s="609"/>
      <c r="D546" s="604"/>
      <c r="E546" s="604"/>
      <c r="F546" s="604"/>
      <c r="G546" s="604"/>
      <c r="H546" s="604"/>
      <c r="I546" s="604"/>
      <c r="J546" s="604"/>
      <c r="K546" s="604"/>
      <c r="L546" s="604"/>
      <c r="M546" s="604"/>
      <c r="N546" s="604"/>
      <c r="O546" s="604"/>
      <c r="P546" s="604"/>
      <c r="Q546" s="604"/>
      <c r="R546" s="604"/>
      <c r="S546" s="604"/>
      <c r="T546" s="604"/>
      <c r="U546" s="604"/>
      <c r="V546" s="604"/>
      <c r="W546" s="604"/>
      <c r="X546" s="604"/>
    </row>
    <row r="547" spans="1:24" ht="15.6">
      <c r="A547" s="604"/>
      <c r="B547" s="604"/>
      <c r="C547" s="609"/>
      <c r="D547" s="604"/>
      <c r="E547" s="604"/>
      <c r="F547" s="604"/>
      <c r="G547" s="604"/>
      <c r="H547" s="604"/>
      <c r="I547" s="604"/>
      <c r="J547" s="604"/>
      <c r="K547" s="604"/>
      <c r="L547" s="604"/>
      <c r="M547" s="604"/>
      <c r="N547" s="604"/>
      <c r="O547" s="604"/>
      <c r="P547" s="604"/>
      <c r="Q547" s="604"/>
      <c r="R547" s="604"/>
      <c r="S547" s="604"/>
      <c r="T547" s="604"/>
      <c r="U547" s="604"/>
      <c r="V547" s="604"/>
      <c r="W547" s="604"/>
      <c r="X547" s="604"/>
    </row>
    <row r="548" spans="1:24" ht="15.6">
      <c r="A548" s="604"/>
      <c r="B548" s="604"/>
      <c r="C548" s="609"/>
      <c r="D548" s="604"/>
      <c r="E548" s="604"/>
      <c r="F548" s="604"/>
      <c r="G548" s="604"/>
      <c r="H548" s="604"/>
      <c r="I548" s="604"/>
      <c r="J548" s="604"/>
      <c r="K548" s="604"/>
      <c r="L548" s="604"/>
      <c r="M548" s="604"/>
      <c r="N548" s="604"/>
      <c r="O548" s="604"/>
      <c r="P548" s="604"/>
      <c r="Q548" s="604"/>
      <c r="R548" s="604"/>
      <c r="S548" s="604"/>
      <c r="T548" s="604"/>
      <c r="U548" s="604"/>
      <c r="V548" s="604"/>
      <c r="W548" s="604"/>
      <c r="X548" s="604"/>
    </row>
    <row r="549" spans="1:24" ht="15.6">
      <c r="A549" s="604"/>
      <c r="B549" s="604"/>
      <c r="C549" s="609"/>
      <c r="D549" s="604"/>
      <c r="E549" s="604"/>
      <c r="F549" s="604"/>
      <c r="G549" s="604"/>
      <c r="H549" s="604"/>
      <c r="I549" s="604"/>
      <c r="J549" s="604"/>
      <c r="K549" s="604"/>
      <c r="L549" s="604"/>
      <c r="M549" s="604"/>
      <c r="N549" s="604"/>
      <c r="O549" s="604"/>
      <c r="P549" s="604"/>
      <c r="Q549" s="604"/>
      <c r="R549" s="604"/>
      <c r="S549" s="604"/>
      <c r="T549" s="604"/>
      <c r="U549" s="604"/>
      <c r="V549" s="604"/>
      <c r="W549" s="604"/>
      <c r="X549" s="604"/>
    </row>
    <row r="550" spans="1:24" ht="15.6">
      <c r="A550" s="604"/>
      <c r="B550" s="604"/>
      <c r="C550" s="609"/>
      <c r="D550" s="604"/>
      <c r="E550" s="604"/>
      <c r="F550" s="604"/>
      <c r="G550" s="604"/>
      <c r="H550" s="604"/>
      <c r="I550" s="604"/>
      <c r="J550" s="604"/>
      <c r="K550" s="604"/>
      <c r="L550" s="604"/>
      <c r="M550" s="604"/>
      <c r="N550" s="604"/>
      <c r="O550" s="604"/>
      <c r="P550" s="604"/>
      <c r="Q550" s="604"/>
      <c r="R550" s="604"/>
      <c r="S550" s="604"/>
      <c r="T550" s="604"/>
      <c r="U550" s="604"/>
      <c r="V550" s="604"/>
      <c r="W550" s="604"/>
      <c r="X550" s="604"/>
    </row>
    <row r="551" spans="1:24" ht="15.6">
      <c r="A551" s="604"/>
      <c r="B551" s="604"/>
      <c r="C551" s="609"/>
      <c r="D551" s="604"/>
      <c r="E551" s="604"/>
      <c r="F551" s="604"/>
      <c r="G551" s="604"/>
      <c r="H551" s="604"/>
      <c r="I551" s="604"/>
      <c r="J551" s="604"/>
      <c r="K551" s="604"/>
      <c r="L551" s="604"/>
      <c r="M551" s="604"/>
      <c r="N551" s="604"/>
      <c r="O551" s="604"/>
      <c r="P551" s="604"/>
      <c r="Q551" s="604"/>
      <c r="R551" s="604"/>
      <c r="S551" s="604"/>
      <c r="T551" s="604"/>
      <c r="U551" s="604"/>
      <c r="V551" s="604"/>
      <c r="W551" s="604"/>
      <c r="X551" s="604"/>
    </row>
    <row r="552" spans="1:24" ht="15.6">
      <c r="A552" s="604"/>
      <c r="B552" s="604"/>
      <c r="C552" s="609"/>
      <c r="D552" s="604"/>
      <c r="E552" s="604"/>
      <c r="F552" s="604"/>
      <c r="G552" s="604"/>
      <c r="H552" s="604"/>
      <c r="I552" s="604"/>
      <c r="J552" s="604"/>
      <c r="K552" s="604"/>
      <c r="L552" s="604"/>
      <c r="M552" s="604"/>
      <c r="N552" s="604"/>
      <c r="O552" s="604"/>
      <c r="P552" s="604"/>
      <c r="Q552" s="604"/>
      <c r="R552" s="604"/>
      <c r="S552" s="604"/>
      <c r="T552" s="604"/>
      <c r="U552" s="604"/>
      <c r="V552" s="604"/>
      <c r="W552" s="604"/>
      <c r="X552" s="604"/>
    </row>
    <row r="553" spans="1:24" ht="15.6">
      <c r="A553" s="604"/>
      <c r="B553" s="604"/>
      <c r="C553" s="609"/>
      <c r="D553" s="604"/>
      <c r="E553" s="604"/>
      <c r="F553" s="604"/>
      <c r="G553" s="604"/>
      <c r="H553" s="604"/>
      <c r="I553" s="604"/>
      <c r="J553" s="604"/>
      <c r="K553" s="604"/>
      <c r="L553" s="604"/>
      <c r="M553" s="604"/>
      <c r="N553" s="604"/>
      <c r="O553" s="604"/>
      <c r="P553" s="604"/>
      <c r="Q553" s="604"/>
      <c r="R553" s="604"/>
      <c r="S553" s="604"/>
      <c r="T553" s="604"/>
      <c r="U553" s="604"/>
      <c r="V553" s="604"/>
      <c r="W553" s="604"/>
      <c r="X553" s="604"/>
    </row>
    <row r="554" spans="1:24" ht="15.6">
      <c r="A554" s="604"/>
      <c r="B554" s="604"/>
      <c r="C554" s="609"/>
      <c r="D554" s="604"/>
      <c r="E554" s="604"/>
      <c r="F554" s="604"/>
      <c r="G554" s="604"/>
      <c r="H554" s="604"/>
      <c r="I554" s="604"/>
      <c r="J554" s="604"/>
      <c r="K554" s="604"/>
      <c r="L554" s="604"/>
      <c r="M554" s="604"/>
      <c r="N554" s="604"/>
      <c r="O554" s="604"/>
      <c r="P554" s="604"/>
      <c r="Q554" s="604"/>
      <c r="R554" s="604"/>
      <c r="S554" s="604"/>
      <c r="T554" s="604"/>
      <c r="U554" s="604"/>
      <c r="V554" s="604"/>
      <c r="W554" s="604"/>
      <c r="X554" s="604"/>
    </row>
    <row r="555" spans="1:24" ht="15.6">
      <c r="A555" s="604"/>
      <c r="B555" s="604"/>
      <c r="C555" s="609"/>
      <c r="D555" s="604"/>
      <c r="E555" s="604"/>
      <c r="F555" s="604"/>
      <c r="G555" s="604"/>
      <c r="H555" s="604"/>
      <c r="I555" s="604"/>
      <c r="J555" s="604"/>
      <c r="K555" s="604"/>
      <c r="L555" s="604"/>
      <c r="M555" s="604"/>
      <c r="N555" s="604"/>
      <c r="O555" s="604"/>
      <c r="P555" s="604"/>
      <c r="Q555" s="604"/>
      <c r="R555" s="604"/>
      <c r="S555" s="604"/>
      <c r="T555" s="604"/>
      <c r="U555" s="604"/>
      <c r="V555" s="604"/>
      <c r="W555" s="604"/>
      <c r="X555" s="604"/>
    </row>
    <row r="556" spans="1:24" ht="15.6">
      <c r="A556" s="604"/>
      <c r="B556" s="604"/>
      <c r="C556" s="609"/>
      <c r="D556" s="604"/>
      <c r="E556" s="604"/>
      <c r="F556" s="604"/>
      <c r="G556" s="604"/>
      <c r="H556" s="604"/>
      <c r="I556" s="604"/>
      <c r="J556" s="604"/>
      <c r="K556" s="604"/>
      <c r="L556" s="604"/>
      <c r="M556" s="604"/>
      <c r="N556" s="604"/>
      <c r="O556" s="604"/>
      <c r="P556" s="604"/>
      <c r="Q556" s="604"/>
      <c r="R556" s="604"/>
      <c r="S556" s="604"/>
      <c r="T556" s="604"/>
      <c r="U556" s="604"/>
      <c r="V556" s="604"/>
      <c r="W556" s="604"/>
      <c r="X556" s="604"/>
    </row>
    <row r="557" spans="1:24" ht="15.6">
      <c r="A557" s="604"/>
      <c r="B557" s="604"/>
      <c r="C557" s="609"/>
      <c r="D557" s="604"/>
      <c r="E557" s="604"/>
      <c r="F557" s="604"/>
      <c r="G557" s="604"/>
      <c r="H557" s="604"/>
      <c r="I557" s="604"/>
      <c r="J557" s="604"/>
      <c r="K557" s="604"/>
      <c r="L557" s="604"/>
      <c r="M557" s="604"/>
      <c r="N557" s="604"/>
      <c r="O557" s="604"/>
      <c r="P557" s="604"/>
      <c r="Q557" s="604"/>
      <c r="R557" s="604"/>
      <c r="S557" s="604"/>
      <c r="T557" s="604"/>
      <c r="U557" s="604"/>
      <c r="V557" s="604"/>
      <c r="W557" s="604"/>
      <c r="X557" s="604"/>
    </row>
    <row r="558" spans="1:24" ht="15.6">
      <c r="A558" s="604"/>
      <c r="B558" s="604"/>
      <c r="C558" s="609"/>
      <c r="D558" s="604"/>
      <c r="E558" s="604"/>
      <c r="F558" s="604"/>
      <c r="G558" s="604"/>
      <c r="H558" s="604"/>
      <c r="I558" s="604"/>
      <c r="J558" s="604"/>
      <c r="K558" s="604"/>
      <c r="L558" s="604"/>
      <c r="M558" s="604"/>
      <c r="N558" s="604"/>
      <c r="O558" s="604"/>
      <c r="P558" s="604"/>
      <c r="Q558" s="604"/>
      <c r="R558" s="604"/>
      <c r="S558" s="604"/>
      <c r="T558" s="604"/>
      <c r="U558" s="604"/>
      <c r="V558" s="604"/>
      <c r="W558" s="604"/>
      <c r="X558" s="604"/>
    </row>
    <row r="559" spans="1:24" ht="15.6">
      <c r="A559" s="604"/>
      <c r="B559" s="604"/>
      <c r="C559" s="609"/>
      <c r="D559" s="604"/>
      <c r="E559" s="604"/>
      <c r="F559" s="604"/>
      <c r="G559" s="604"/>
      <c r="H559" s="604"/>
      <c r="I559" s="604"/>
      <c r="J559" s="604"/>
      <c r="K559" s="604"/>
      <c r="L559" s="604"/>
      <c r="M559" s="604"/>
      <c r="N559" s="604"/>
      <c r="O559" s="604"/>
      <c r="P559" s="604"/>
      <c r="Q559" s="604"/>
      <c r="R559" s="604"/>
      <c r="S559" s="604"/>
      <c r="T559" s="604"/>
      <c r="U559" s="604"/>
      <c r="V559" s="604"/>
      <c r="W559" s="604"/>
      <c r="X559" s="604"/>
    </row>
    <row r="560" spans="1:24" ht="15.6">
      <c r="A560" s="604"/>
      <c r="B560" s="604"/>
      <c r="C560" s="609"/>
      <c r="D560" s="604"/>
      <c r="E560" s="604"/>
      <c r="F560" s="604"/>
      <c r="G560" s="604"/>
      <c r="H560" s="604"/>
      <c r="I560" s="604"/>
      <c r="J560" s="604"/>
      <c r="K560" s="604"/>
      <c r="L560" s="604"/>
      <c r="M560" s="604"/>
      <c r="N560" s="604"/>
      <c r="O560" s="604"/>
      <c r="P560" s="604"/>
      <c r="Q560" s="604"/>
      <c r="R560" s="604"/>
      <c r="S560" s="604"/>
      <c r="T560" s="604"/>
      <c r="U560" s="604"/>
      <c r="V560" s="604"/>
      <c r="W560" s="604"/>
      <c r="X560" s="604"/>
    </row>
    <row r="561" spans="1:24" ht="15.6">
      <c r="A561" s="604"/>
      <c r="B561" s="604"/>
      <c r="C561" s="609"/>
      <c r="D561" s="604"/>
      <c r="E561" s="604"/>
      <c r="F561" s="604"/>
      <c r="G561" s="604"/>
      <c r="H561" s="604"/>
      <c r="I561" s="604"/>
      <c r="J561" s="604"/>
      <c r="K561" s="604"/>
      <c r="L561" s="604"/>
      <c r="M561" s="604"/>
      <c r="N561" s="604"/>
      <c r="O561" s="604"/>
      <c r="P561" s="604"/>
      <c r="Q561" s="604"/>
      <c r="R561" s="604"/>
      <c r="S561" s="604"/>
      <c r="T561" s="604"/>
      <c r="U561" s="604"/>
      <c r="V561" s="604"/>
      <c r="W561" s="604"/>
      <c r="X561" s="604"/>
    </row>
    <row r="562" spans="1:24" ht="15.6">
      <c r="A562" s="604"/>
      <c r="B562" s="604"/>
      <c r="C562" s="609"/>
      <c r="D562" s="604"/>
      <c r="E562" s="604"/>
      <c r="F562" s="604"/>
      <c r="G562" s="604"/>
      <c r="H562" s="604"/>
      <c r="I562" s="604"/>
      <c r="J562" s="604"/>
      <c r="K562" s="604"/>
      <c r="L562" s="604"/>
      <c r="M562" s="604"/>
      <c r="N562" s="604"/>
      <c r="O562" s="604"/>
      <c r="P562" s="604"/>
      <c r="Q562" s="604"/>
      <c r="R562" s="604"/>
      <c r="S562" s="604"/>
      <c r="T562" s="604"/>
      <c r="U562" s="604"/>
      <c r="V562" s="604"/>
      <c r="W562" s="604"/>
      <c r="X562" s="604"/>
    </row>
    <row r="563" spans="1:24" ht="15.6">
      <c r="A563" s="604"/>
      <c r="B563" s="604"/>
      <c r="C563" s="609"/>
      <c r="D563" s="604"/>
      <c r="E563" s="604"/>
      <c r="F563" s="604"/>
      <c r="G563" s="604"/>
      <c r="H563" s="604"/>
      <c r="I563" s="604"/>
      <c r="J563" s="604"/>
      <c r="K563" s="604"/>
      <c r="L563" s="604"/>
      <c r="M563" s="604"/>
      <c r="N563" s="604"/>
      <c r="O563" s="604"/>
      <c r="P563" s="604"/>
      <c r="Q563" s="604"/>
      <c r="R563" s="604"/>
      <c r="S563" s="604"/>
      <c r="T563" s="604"/>
      <c r="U563" s="604"/>
      <c r="V563" s="604"/>
      <c r="W563" s="604"/>
      <c r="X563" s="604"/>
    </row>
    <row r="564" spans="1:24" ht="15.6">
      <c r="A564" s="604"/>
      <c r="B564" s="604"/>
      <c r="C564" s="609"/>
      <c r="D564" s="604"/>
      <c r="E564" s="604"/>
      <c r="F564" s="604"/>
      <c r="G564" s="604"/>
      <c r="H564" s="604"/>
      <c r="I564" s="604"/>
      <c r="J564" s="604"/>
      <c r="K564" s="604"/>
      <c r="L564" s="604"/>
      <c r="M564" s="604"/>
      <c r="N564" s="604"/>
      <c r="O564" s="604"/>
      <c r="P564" s="604"/>
      <c r="Q564" s="604"/>
      <c r="R564" s="604"/>
      <c r="S564" s="604"/>
      <c r="T564" s="604"/>
      <c r="U564" s="604"/>
      <c r="V564" s="604"/>
      <c r="W564" s="604"/>
      <c r="X564" s="604"/>
    </row>
    <row r="565" spans="1:24" ht="15.6">
      <c r="A565" s="604"/>
      <c r="B565" s="604"/>
      <c r="C565" s="609"/>
      <c r="D565" s="604"/>
      <c r="E565" s="604"/>
      <c r="F565" s="604"/>
      <c r="G565" s="604"/>
      <c r="H565" s="604"/>
      <c r="I565" s="604"/>
      <c r="J565" s="604"/>
      <c r="K565" s="604"/>
      <c r="L565" s="604"/>
      <c r="M565" s="604"/>
      <c r="N565" s="604"/>
      <c r="O565" s="604"/>
      <c r="P565" s="604"/>
      <c r="Q565" s="604"/>
      <c r="R565" s="604"/>
      <c r="S565" s="604"/>
      <c r="T565" s="604"/>
      <c r="U565" s="604"/>
      <c r="V565" s="604"/>
      <c r="W565" s="604"/>
      <c r="X565" s="604"/>
    </row>
    <row r="566" spans="1:24" ht="15.6">
      <c r="A566" s="604"/>
      <c r="B566" s="604"/>
      <c r="C566" s="609"/>
      <c r="D566" s="604"/>
      <c r="E566" s="604"/>
      <c r="F566" s="604"/>
      <c r="G566" s="604"/>
      <c r="H566" s="604"/>
      <c r="I566" s="604"/>
      <c r="J566" s="604"/>
      <c r="K566" s="604"/>
      <c r="L566" s="604"/>
      <c r="M566" s="604"/>
      <c r="N566" s="604"/>
      <c r="O566" s="604"/>
      <c r="P566" s="604"/>
      <c r="Q566" s="604"/>
      <c r="R566" s="604"/>
      <c r="S566" s="604"/>
      <c r="T566" s="604"/>
      <c r="U566" s="604"/>
      <c r="V566" s="604"/>
      <c r="W566" s="604"/>
      <c r="X566" s="604"/>
    </row>
    <row r="567" spans="1:24" ht="15.6">
      <c r="A567" s="604"/>
      <c r="B567" s="604"/>
      <c r="C567" s="609"/>
      <c r="D567" s="604"/>
      <c r="E567" s="604"/>
      <c r="F567" s="604"/>
      <c r="G567" s="604"/>
      <c r="H567" s="604"/>
      <c r="I567" s="604"/>
      <c r="J567" s="604"/>
      <c r="K567" s="604"/>
      <c r="L567" s="604"/>
      <c r="M567" s="604"/>
      <c r="N567" s="604"/>
      <c r="O567" s="604"/>
      <c r="P567" s="604"/>
      <c r="Q567" s="604"/>
      <c r="R567" s="604"/>
      <c r="S567" s="604"/>
      <c r="T567" s="604"/>
      <c r="U567" s="604"/>
      <c r="V567" s="604"/>
      <c r="W567" s="604"/>
      <c r="X567" s="604"/>
    </row>
    <row r="568" spans="1:24" ht="15.6">
      <c r="A568" s="604"/>
      <c r="B568" s="604"/>
      <c r="C568" s="609"/>
      <c r="D568" s="604"/>
      <c r="E568" s="604"/>
      <c r="F568" s="604"/>
      <c r="G568" s="604"/>
      <c r="H568" s="604"/>
      <c r="I568" s="604"/>
      <c r="J568" s="604"/>
      <c r="K568" s="604"/>
      <c r="L568" s="604"/>
      <c r="M568" s="604"/>
      <c r="N568" s="604"/>
      <c r="O568" s="604"/>
      <c r="P568" s="604"/>
      <c r="Q568" s="604"/>
      <c r="R568" s="604"/>
      <c r="S568" s="604"/>
      <c r="T568" s="604"/>
      <c r="U568" s="604"/>
      <c r="V568" s="604"/>
      <c r="W568" s="604"/>
      <c r="X568" s="604"/>
    </row>
    <row r="569" spans="1:24" ht="15.6">
      <c r="A569" s="604"/>
      <c r="B569" s="604"/>
      <c r="C569" s="609"/>
      <c r="D569" s="604"/>
      <c r="E569" s="604"/>
      <c r="F569" s="604"/>
      <c r="G569" s="604"/>
      <c r="H569" s="604"/>
      <c r="I569" s="604"/>
      <c r="J569" s="604"/>
      <c r="K569" s="604"/>
      <c r="L569" s="604"/>
      <c r="M569" s="604"/>
      <c r="N569" s="604"/>
      <c r="O569" s="604"/>
      <c r="P569" s="604"/>
      <c r="Q569" s="604"/>
      <c r="R569" s="604"/>
      <c r="S569" s="604"/>
      <c r="T569" s="604"/>
      <c r="U569" s="604"/>
      <c r="V569" s="604"/>
      <c r="W569" s="604"/>
      <c r="X569" s="604"/>
    </row>
    <row r="570" spans="1:24" ht="15.6">
      <c r="A570" s="604"/>
      <c r="B570" s="604"/>
      <c r="C570" s="609"/>
      <c r="D570" s="604"/>
      <c r="E570" s="604"/>
      <c r="F570" s="604"/>
      <c r="G570" s="604"/>
      <c r="H570" s="604"/>
      <c r="I570" s="604"/>
      <c r="J570" s="604"/>
      <c r="K570" s="604"/>
      <c r="L570" s="604"/>
      <c r="M570" s="604"/>
      <c r="N570" s="604"/>
      <c r="O570" s="604"/>
      <c r="P570" s="604"/>
      <c r="Q570" s="604"/>
      <c r="R570" s="604"/>
      <c r="S570" s="604"/>
      <c r="T570" s="604"/>
      <c r="U570" s="604"/>
      <c r="V570" s="604"/>
      <c r="W570" s="604"/>
      <c r="X570" s="604"/>
    </row>
    <row r="571" spans="1:24" ht="15.6">
      <c r="A571" s="604"/>
      <c r="B571" s="604"/>
      <c r="C571" s="609"/>
      <c r="D571" s="604"/>
      <c r="E571" s="604"/>
      <c r="F571" s="604"/>
      <c r="G571" s="604"/>
      <c r="H571" s="604"/>
      <c r="I571" s="604"/>
      <c r="J571" s="604"/>
      <c r="K571" s="604"/>
      <c r="L571" s="604"/>
      <c r="M571" s="604"/>
      <c r="N571" s="604"/>
      <c r="O571" s="604"/>
      <c r="P571" s="604"/>
      <c r="Q571" s="604"/>
      <c r="R571" s="604"/>
      <c r="S571" s="604"/>
      <c r="T571" s="604"/>
      <c r="U571" s="604"/>
      <c r="V571" s="604"/>
      <c r="W571" s="604"/>
      <c r="X571" s="604"/>
    </row>
    <row r="572" spans="1:24" ht="15.6">
      <c r="A572" s="604"/>
      <c r="B572" s="604"/>
      <c r="C572" s="609"/>
      <c r="D572" s="604"/>
      <c r="E572" s="604"/>
      <c r="F572" s="604"/>
      <c r="G572" s="604"/>
      <c r="H572" s="604"/>
      <c r="I572" s="604"/>
      <c r="J572" s="604"/>
      <c r="K572" s="604"/>
      <c r="L572" s="604"/>
      <c r="M572" s="604"/>
      <c r="N572" s="604"/>
      <c r="O572" s="604"/>
      <c r="P572" s="604"/>
      <c r="Q572" s="604"/>
      <c r="R572" s="604"/>
      <c r="S572" s="604"/>
      <c r="T572" s="604"/>
      <c r="U572" s="604"/>
      <c r="V572" s="604"/>
      <c r="W572" s="604"/>
      <c r="X572" s="604"/>
    </row>
    <row r="573" spans="1:24" ht="15.6">
      <c r="A573" s="604"/>
      <c r="B573" s="604"/>
      <c r="C573" s="609"/>
      <c r="D573" s="604"/>
      <c r="E573" s="604"/>
      <c r="F573" s="604"/>
      <c r="G573" s="604"/>
      <c r="H573" s="604"/>
      <c r="I573" s="604"/>
      <c r="J573" s="604"/>
      <c r="K573" s="604"/>
      <c r="L573" s="604"/>
      <c r="M573" s="604"/>
      <c r="N573" s="604"/>
      <c r="O573" s="604"/>
      <c r="P573" s="604"/>
      <c r="Q573" s="604"/>
      <c r="R573" s="604"/>
      <c r="S573" s="604"/>
      <c r="T573" s="604"/>
      <c r="U573" s="604"/>
      <c r="V573" s="604"/>
      <c r="W573" s="604"/>
      <c r="X573" s="604"/>
    </row>
    <row r="574" spans="1:24" ht="15.6">
      <c r="A574" s="604"/>
      <c r="B574" s="604"/>
      <c r="C574" s="609"/>
      <c r="D574" s="604"/>
      <c r="E574" s="604"/>
      <c r="F574" s="604"/>
      <c r="G574" s="604"/>
      <c r="H574" s="604"/>
      <c r="I574" s="604"/>
      <c r="J574" s="604"/>
      <c r="K574" s="604"/>
      <c r="L574" s="604"/>
      <c r="M574" s="604"/>
      <c r="N574" s="604"/>
      <c r="O574" s="604"/>
      <c r="P574" s="604"/>
      <c r="Q574" s="604"/>
      <c r="R574" s="604"/>
      <c r="S574" s="604"/>
      <c r="T574" s="604"/>
      <c r="U574" s="604"/>
      <c r="V574" s="604"/>
      <c r="W574" s="604"/>
      <c r="X574" s="604"/>
    </row>
    <row r="575" spans="1:24" ht="15.6">
      <c r="A575" s="604"/>
      <c r="B575" s="604"/>
      <c r="C575" s="609"/>
      <c r="D575" s="604"/>
      <c r="E575" s="604"/>
      <c r="F575" s="604"/>
      <c r="G575" s="604"/>
      <c r="H575" s="604"/>
      <c r="I575" s="604"/>
      <c r="J575" s="604"/>
      <c r="K575" s="604"/>
      <c r="L575" s="604"/>
      <c r="M575" s="604"/>
      <c r="N575" s="604"/>
      <c r="O575" s="604"/>
      <c r="P575" s="604"/>
      <c r="Q575" s="604"/>
      <c r="R575" s="604"/>
      <c r="S575" s="604"/>
      <c r="T575" s="604"/>
      <c r="U575" s="604"/>
      <c r="V575" s="604"/>
      <c r="W575" s="604"/>
      <c r="X575" s="604"/>
    </row>
    <row r="576" spans="1:24" ht="15.6">
      <c r="A576" s="604"/>
      <c r="B576" s="604"/>
      <c r="C576" s="609"/>
      <c r="D576" s="604"/>
      <c r="E576" s="604"/>
      <c r="F576" s="604"/>
      <c r="G576" s="604"/>
      <c r="H576" s="604"/>
      <c r="I576" s="604"/>
      <c r="J576" s="604"/>
      <c r="K576" s="604"/>
      <c r="L576" s="604"/>
      <c r="M576" s="604"/>
      <c r="N576" s="604"/>
      <c r="O576" s="604"/>
      <c r="P576" s="604"/>
      <c r="Q576" s="604"/>
      <c r="R576" s="604"/>
      <c r="S576" s="604"/>
      <c r="T576" s="604"/>
      <c r="U576" s="604"/>
      <c r="V576" s="604"/>
      <c r="W576" s="604"/>
      <c r="X576" s="604"/>
    </row>
    <row r="577" spans="1:24" ht="15.6">
      <c r="A577" s="604"/>
      <c r="B577" s="604"/>
      <c r="C577" s="609"/>
      <c r="D577" s="604"/>
      <c r="E577" s="604"/>
      <c r="F577" s="604"/>
      <c r="G577" s="604"/>
      <c r="H577" s="604"/>
      <c r="I577" s="604"/>
      <c r="J577" s="604"/>
      <c r="K577" s="604"/>
      <c r="L577" s="604"/>
      <c r="M577" s="604"/>
      <c r="N577" s="604"/>
      <c r="O577" s="604"/>
      <c r="P577" s="604"/>
      <c r="Q577" s="604"/>
      <c r="R577" s="604"/>
      <c r="S577" s="604"/>
      <c r="T577" s="604"/>
      <c r="U577" s="604"/>
      <c r="V577" s="604"/>
      <c r="W577" s="604"/>
      <c r="X577" s="604"/>
    </row>
    <row r="578" spans="1:24" ht="15.6">
      <c r="A578" s="604"/>
      <c r="B578" s="604"/>
      <c r="C578" s="609"/>
      <c r="D578" s="604"/>
      <c r="E578" s="604"/>
      <c r="F578" s="604"/>
      <c r="G578" s="604"/>
      <c r="H578" s="604"/>
      <c r="I578" s="604"/>
      <c r="J578" s="604"/>
      <c r="K578" s="604"/>
      <c r="L578" s="604"/>
      <c r="M578" s="604"/>
      <c r="N578" s="604"/>
      <c r="O578" s="604"/>
      <c r="P578" s="604"/>
      <c r="Q578" s="604"/>
      <c r="R578" s="604"/>
      <c r="S578" s="604"/>
      <c r="T578" s="604"/>
      <c r="U578" s="604"/>
      <c r="V578" s="604"/>
      <c r="W578" s="604"/>
      <c r="X578" s="604"/>
    </row>
    <row r="579" spans="1:24" ht="15.6">
      <c r="A579" s="604"/>
      <c r="B579" s="604"/>
      <c r="C579" s="609"/>
      <c r="D579" s="604"/>
      <c r="E579" s="604"/>
      <c r="F579" s="604"/>
      <c r="G579" s="604"/>
      <c r="H579" s="604"/>
      <c r="I579" s="604"/>
      <c r="J579" s="604"/>
      <c r="K579" s="604"/>
      <c r="L579" s="604"/>
      <c r="M579" s="604"/>
      <c r="N579" s="604"/>
      <c r="O579" s="604"/>
      <c r="P579" s="604"/>
      <c r="Q579" s="604"/>
      <c r="R579" s="604"/>
      <c r="S579" s="604"/>
      <c r="T579" s="604"/>
      <c r="U579" s="604"/>
      <c r="V579" s="604"/>
      <c r="W579" s="604"/>
      <c r="X579" s="604"/>
    </row>
    <row r="580" spans="1:24" ht="15.6">
      <c r="A580" s="604"/>
      <c r="B580" s="604"/>
      <c r="C580" s="609"/>
      <c r="D580" s="604"/>
      <c r="E580" s="604"/>
      <c r="F580" s="604"/>
      <c r="G580" s="604"/>
      <c r="H580" s="604"/>
      <c r="I580" s="604"/>
      <c r="J580" s="604"/>
      <c r="K580" s="604"/>
      <c r="L580" s="604"/>
      <c r="M580" s="604"/>
      <c r="N580" s="604"/>
      <c r="O580" s="604"/>
      <c r="P580" s="604"/>
      <c r="Q580" s="604"/>
      <c r="R580" s="604"/>
      <c r="S580" s="604"/>
      <c r="T580" s="604"/>
      <c r="U580" s="604"/>
      <c r="V580" s="604"/>
      <c r="W580" s="604"/>
      <c r="X580" s="604"/>
    </row>
    <row r="581" spans="1:24" ht="15.6">
      <c r="A581" s="604"/>
      <c r="B581" s="604"/>
      <c r="C581" s="609"/>
      <c r="D581" s="604"/>
      <c r="E581" s="604"/>
      <c r="F581" s="604"/>
      <c r="G581" s="604"/>
      <c r="H581" s="604"/>
      <c r="I581" s="604"/>
      <c r="J581" s="604"/>
      <c r="K581" s="604"/>
      <c r="L581" s="604"/>
      <c r="M581" s="604"/>
      <c r="N581" s="604"/>
      <c r="O581" s="604"/>
      <c r="P581" s="604"/>
      <c r="Q581" s="604"/>
      <c r="R581" s="604"/>
      <c r="S581" s="604"/>
      <c r="T581" s="604"/>
      <c r="U581" s="604"/>
      <c r="V581" s="604"/>
      <c r="W581" s="604"/>
      <c r="X581" s="604"/>
    </row>
    <row r="582" spans="1:24" ht="15.6">
      <c r="A582" s="604"/>
      <c r="B582" s="604"/>
      <c r="C582" s="609"/>
      <c r="D582" s="604"/>
      <c r="E582" s="604"/>
      <c r="F582" s="604"/>
      <c r="G582" s="604"/>
      <c r="H582" s="604"/>
      <c r="I582" s="604"/>
      <c r="J582" s="604"/>
      <c r="K582" s="604"/>
      <c r="L582" s="604"/>
      <c r="M582" s="604"/>
      <c r="N582" s="604"/>
      <c r="O582" s="604"/>
      <c r="P582" s="604"/>
      <c r="Q582" s="604"/>
      <c r="R582" s="604"/>
      <c r="S582" s="604"/>
      <c r="T582" s="604"/>
      <c r="U582" s="604"/>
      <c r="V582" s="604"/>
      <c r="W582" s="604"/>
      <c r="X582" s="604"/>
    </row>
    <row r="583" spans="1:24" ht="15.6">
      <c r="A583" s="604"/>
      <c r="B583" s="604"/>
      <c r="C583" s="609"/>
      <c r="D583" s="604"/>
      <c r="E583" s="604"/>
      <c r="F583" s="604"/>
      <c r="G583" s="604"/>
      <c r="H583" s="604"/>
      <c r="I583" s="604"/>
      <c r="J583" s="604"/>
      <c r="K583" s="604"/>
      <c r="L583" s="604"/>
      <c r="M583" s="604"/>
      <c r="N583" s="604"/>
      <c r="O583" s="604"/>
      <c r="P583" s="604"/>
      <c r="Q583" s="604"/>
      <c r="R583" s="604"/>
      <c r="S583" s="604"/>
      <c r="T583" s="604"/>
      <c r="U583" s="604"/>
      <c r="V583" s="604"/>
      <c r="W583" s="604"/>
      <c r="X583" s="604"/>
    </row>
    <row r="584" spans="1:24" ht="15.6">
      <c r="A584" s="604"/>
      <c r="B584" s="604"/>
      <c r="C584" s="609"/>
      <c r="D584" s="604"/>
      <c r="E584" s="604"/>
      <c r="F584" s="604"/>
      <c r="G584" s="604"/>
      <c r="H584" s="604"/>
      <c r="I584" s="604"/>
      <c r="J584" s="604"/>
      <c r="K584" s="604"/>
      <c r="L584" s="604"/>
      <c r="M584" s="604"/>
      <c r="N584" s="604"/>
      <c r="O584" s="604"/>
      <c r="P584" s="604"/>
      <c r="Q584" s="604"/>
      <c r="R584" s="604"/>
      <c r="S584" s="604"/>
      <c r="T584" s="604"/>
      <c r="U584" s="604"/>
      <c r="V584" s="604"/>
      <c r="W584" s="604"/>
      <c r="X584" s="604"/>
    </row>
    <row r="585" spans="1:24" ht="15.6">
      <c r="A585" s="604"/>
      <c r="B585" s="604"/>
      <c r="C585" s="609"/>
      <c r="D585" s="604"/>
      <c r="E585" s="604"/>
      <c r="F585" s="604"/>
      <c r="G585" s="604"/>
      <c r="H585" s="604"/>
      <c r="I585" s="604"/>
      <c r="J585" s="604"/>
      <c r="K585" s="604"/>
      <c r="L585" s="604"/>
      <c r="M585" s="604"/>
      <c r="N585" s="604"/>
      <c r="O585" s="604"/>
      <c r="P585" s="604"/>
      <c r="Q585" s="604"/>
      <c r="R585" s="604"/>
      <c r="S585" s="604"/>
      <c r="T585" s="604"/>
      <c r="U585" s="604"/>
      <c r="V585" s="604"/>
      <c r="W585" s="604"/>
      <c r="X585" s="604"/>
    </row>
    <row r="586" spans="1:24" ht="15.6">
      <c r="A586" s="604"/>
      <c r="B586" s="604"/>
      <c r="C586" s="609"/>
      <c r="D586" s="604"/>
      <c r="E586" s="604"/>
      <c r="F586" s="604"/>
      <c r="G586" s="604"/>
      <c r="H586" s="604"/>
      <c r="I586" s="604"/>
      <c r="J586" s="604"/>
      <c r="K586" s="604"/>
      <c r="L586" s="604"/>
      <c r="M586" s="604"/>
      <c r="N586" s="604"/>
      <c r="O586" s="604"/>
      <c r="P586" s="604"/>
      <c r="Q586" s="604"/>
      <c r="R586" s="604"/>
      <c r="S586" s="604"/>
      <c r="T586" s="604"/>
      <c r="U586" s="604"/>
      <c r="V586" s="604"/>
      <c r="W586" s="604"/>
      <c r="X586" s="604"/>
    </row>
    <row r="587" spans="1:24" ht="15.6">
      <c r="A587" s="604"/>
      <c r="B587" s="604"/>
      <c r="C587" s="609"/>
      <c r="D587" s="604"/>
      <c r="E587" s="604"/>
      <c r="F587" s="604"/>
      <c r="G587" s="604"/>
      <c r="H587" s="604"/>
      <c r="I587" s="604"/>
      <c r="J587" s="604"/>
      <c r="K587" s="604"/>
      <c r="L587" s="604"/>
      <c r="M587" s="604"/>
      <c r="N587" s="604"/>
      <c r="O587" s="604"/>
      <c r="P587" s="604"/>
      <c r="Q587" s="604"/>
      <c r="R587" s="604"/>
      <c r="S587" s="604"/>
      <c r="T587" s="604"/>
      <c r="U587" s="604"/>
      <c r="V587" s="604"/>
      <c r="W587" s="604"/>
      <c r="X587" s="604"/>
    </row>
    <row r="588" spans="1:24" ht="15.6">
      <c r="A588" s="604"/>
      <c r="B588" s="604"/>
      <c r="C588" s="609"/>
      <c r="D588" s="604"/>
      <c r="E588" s="604"/>
      <c r="F588" s="604"/>
      <c r="G588" s="604"/>
      <c r="H588" s="604"/>
      <c r="I588" s="604"/>
      <c r="J588" s="604"/>
      <c r="K588" s="604"/>
      <c r="L588" s="604"/>
      <c r="M588" s="604"/>
      <c r="N588" s="604"/>
      <c r="O588" s="604"/>
      <c r="P588" s="604"/>
      <c r="Q588" s="604"/>
      <c r="R588" s="604"/>
      <c r="S588" s="604"/>
      <c r="T588" s="604"/>
      <c r="U588" s="604"/>
      <c r="V588" s="604"/>
      <c r="W588" s="604"/>
      <c r="X588" s="604"/>
    </row>
    <row r="589" spans="1:24" ht="15.6">
      <c r="A589" s="604"/>
      <c r="B589" s="604"/>
      <c r="C589" s="609"/>
      <c r="D589" s="604"/>
      <c r="E589" s="604"/>
      <c r="F589" s="604"/>
      <c r="G589" s="604"/>
      <c r="H589" s="604"/>
      <c r="I589" s="604"/>
      <c r="J589" s="604"/>
      <c r="K589" s="604"/>
      <c r="L589" s="604"/>
      <c r="M589" s="604"/>
      <c r="N589" s="604"/>
      <c r="O589" s="604"/>
      <c r="P589" s="604"/>
      <c r="Q589" s="604"/>
      <c r="R589" s="604"/>
      <c r="S589" s="604"/>
      <c r="T589" s="604"/>
      <c r="U589" s="604"/>
      <c r="V589" s="604"/>
      <c r="W589" s="604"/>
      <c r="X589" s="604"/>
    </row>
    <row r="590" spans="1:24" ht="15.6">
      <c r="A590" s="604"/>
      <c r="B590" s="604"/>
      <c r="C590" s="609"/>
      <c r="D590" s="604"/>
      <c r="E590" s="604"/>
      <c r="F590" s="604"/>
      <c r="G590" s="604"/>
      <c r="H590" s="604"/>
      <c r="I590" s="604"/>
      <c r="J590" s="604"/>
      <c r="K590" s="604"/>
      <c r="L590" s="604"/>
      <c r="M590" s="604"/>
      <c r="N590" s="604"/>
      <c r="O590" s="604"/>
      <c r="P590" s="604"/>
      <c r="Q590" s="604"/>
      <c r="R590" s="604"/>
      <c r="S590" s="604"/>
      <c r="T590" s="604"/>
      <c r="U590" s="604"/>
      <c r="V590" s="604"/>
      <c r="W590" s="604"/>
      <c r="X590" s="604"/>
    </row>
    <row r="591" spans="1:24" ht="15.6">
      <c r="A591" s="604"/>
      <c r="B591" s="604"/>
      <c r="C591" s="609"/>
      <c r="D591" s="604"/>
      <c r="E591" s="604"/>
      <c r="F591" s="604"/>
      <c r="G591" s="604"/>
      <c r="H591" s="604"/>
      <c r="I591" s="604"/>
      <c r="J591" s="604"/>
      <c r="K591" s="604"/>
      <c r="L591" s="604"/>
      <c r="M591" s="604"/>
      <c r="N591" s="604"/>
      <c r="O591" s="604"/>
      <c r="P591" s="604"/>
      <c r="Q591" s="604"/>
      <c r="R591" s="604"/>
      <c r="S591" s="604"/>
      <c r="T591" s="604"/>
      <c r="U591" s="604"/>
      <c r="V591" s="604"/>
      <c r="W591" s="604"/>
      <c r="X591" s="604"/>
    </row>
    <row r="592" spans="1:24" ht="15.6">
      <c r="A592" s="604"/>
      <c r="B592" s="604"/>
      <c r="C592" s="609"/>
      <c r="D592" s="604"/>
      <c r="E592" s="604"/>
      <c r="F592" s="604"/>
      <c r="G592" s="604"/>
      <c r="H592" s="604"/>
      <c r="I592" s="604"/>
      <c r="J592" s="604"/>
      <c r="K592" s="604"/>
      <c r="L592" s="604"/>
      <c r="M592" s="604"/>
      <c r="N592" s="604"/>
      <c r="O592" s="604"/>
      <c r="P592" s="604"/>
      <c r="Q592" s="604"/>
      <c r="R592" s="604"/>
      <c r="S592" s="604"/>
      <c r="T592" s="604"/>
      <c r="U592" s="604"/>
      <c r="V592" s="604"/>
      <c r="W592" s="604"/>
      <c r="X592" s="604"/>
    </row>
    <row r="593" spans="1:24" ht="15.6">
      <c r="A593" s="604"/>
      <c r="B593" s="604"/>
      <c r="C593" s="609"/>
      <c r="D593" s="604"/>
      <c r="E593" s="604"/>
      <c r="F593" s="604"/>
      <c r="G593" s="604"/>
      <c r="H593" s="604"/>
      <c r="I593" s="604"/>
      <c r="J593" s="604"/>
      <c r="K593" s="604"/>
      <c r="L593" s="604"/>
      <c r="M593" s="604"/>
      <c r="N593" s="604"/>
      <c r="O593" s="604"/>
      <c r="P593" s="604"/>
      <c r="Q593" s="604"/>
      <c r="R593" s="604"/>
      <c r="S593" s="604"/>
      <c r="T593" s="604"/>
      <c r="U593" s="604"/>
      <c r="V593" s="604"/>
      <c r="W593" s="604"/>
      <c r="X593" s="604"/>
    </row>
    <row r="594" spans="1:24" ht="15.6">
      <c r="A594" s="604"/>
      <c r="B594" s="604"/>
      <c r="C594" s="609"/>
      <c r="D594" s="604"/>
      <c r="E594" s="604"/>
      <c r="F594" s="604"/>
      <c r="G594" s="604"/>
      <c r="H594" s="604"/>
      <c r="I594" s="604"/>
      <c r="J594" s="604"/>
      <c r="K594" s="604"/>
      <c r="L594" s="604"/>
      <c r="M594" s="604"/>
      <c r="N594" s="604"/>
      <c r="O594" s="604"/>
      <c r="P594" s="604"/>
      <c r="Q594" s="604"/>
      <c r="R594" s="604"/>
      <c r="S594" s="604"/>
      <c r="T594" s="604"/>
      <c r="U594" s="604"/>
      <c r="V594" s="604"/>
      <c r="W594" s="604"/>
      <c r="X594" s="604"/>
    </row>
    <row r="595" spans="1:24" ht="15.6">
      <c r="A595" s="604"/>
      <c r="B595" s="604"/>
      <c r="C595" s="609"/>
      <c r="D595" s="604"/>
      <c r="E595" s="604"/>
      <c r="F595" s="604"/>
      <c r="G595" s="604"/>
      <c r="H595" s="604"/>
      <c r="I595" s="604"/>
      <c r="J595" s="604"/>
      <c r="K595" s="604"/>
      <c r="L595" s="604"/>
      <c r="M595" s="604"/>
      <c r="N595" s="604"/>
      <c r="O595" s="604"/>
      <c r="P595" s="604"/>
      <c r="Q595" s="604"/>
      <c r="R595" s="604"/>
      <c r="S595" s="604"/>
      <c r="T595" s="604"/>
      <c r="U595" s="604"/>
      <c r="V595" s="604"/>
      <c r="W595" s="604"/>
      <c r="X595" s="604"/>
    </row>
    <row r="596" spans="1:24" ht="15.6">
      <c r="A596" s="604"/>
      <c r="B596" s="604"/>
      <c r="C596" s="609"/>
      <c r="D596" s="604"/>
      <c r="E596" s="604"/>
      <c r="F596" s="604"/>
      <c r="G596" s="604"/>
      <c r="H596" s="604"/>
      <c r="I596" s="604"/>
      <c r="J596" s="604"/>
      <c r="K596" s="604"/>
      <c r="L596" s="604"/>
      <c r="M596" s="604"/>
      <c r="N596" s="604"/>
      <c r="O596" s="604"/>
      <c r="P596" s="604"/>
      <c r="Q596" s="604"/>
      <c r="R596" s="604"/>
      <c r="S596" s="604"/>
      <c r="T596" s="604"/>
      <c r="U596" s="604"/>
      <c r="V596" s="604"/>
      <c r="W596" s="604"/>
      <c r="X596" s="604"/>
    </row>
    <row r="597" spans="1:24" ht="15.6">
      <c r="A597" s="604"/>
      <c r="B597" s="604"/>
      <c r="C597" s="609"/>
      <c r="D597" s="604"/>
      <c r="E597" s="604"/>
      <c r="F597" s="604"/>
      <c r="G597" s="604"/>
      <c r="H597" s="604"/>
      <c r="I597" s="604"/>
      <c r="J597" s="604"/>
      <c r="K597" s="604"/>
      <c r="L597" s="604"/>
      <c r="M597" s="604"/>
      <c r="N597" s="604"/>
      <c r="O597" s="604"/>
      <c r="P597" s="604"/>
      <c r="Q597" s="604"/>
      <c r="R597" s="604"/>
      <c r="S597" s="604"/>
      <c r="T597" s="604"/>
      <c r="U597" s="604"/>
      <c r="V597" s="604"/>
      <c r="W597" s="604"/>
      <c r="X597" s="604"/>
    </row>
    <row r="598" spans="1:24" ht="15.6">
      <c r="A598" s="604"/>
      <c r="B598" s="604"/>
      <c r="C598" s="609"/>
      <c r="D598" s="604"/>
      <c r="E598" s="604"/>
      <c r="F598" s="604"/>
      <c r="G598" s="604"/>
      <c r="H598" s="604"/>
      <c r="I598" s="604"/>
      <c r="J598" s="604"/>
      <c r="K598" s="604"/>
      <c r="L598" s="604"/>
      <c r="M598" s="604"/>
      <c r="N598" s="604"/>
      <c r="O598" s="604"/>
      <c r="P598" s="604"/>
      <c r="Q598" s="604"/>
      <c r="R598" s="604"/>
      <c r="S598" s="604"/>
      <c r="T598" s="604"/>
      <c r="U598" s="604"/>
      <c r="V598" s="604"/>
      <c r="W598" s="604"/>
      <c r="X598" s="604"/>
    </row>
    <row r="599" spans="1:24" ht="15.6">
      <c r="A599" s="604"/>
      <c r="B599" s="604"/>
      <c r="C599" s="609"/>
      <c r="D599" s="604"/>
      <c r="E599" s="604"/>
      <c r="F599" s="604"/>
      <c r="G599" s="604"/>
      <c r="H599" s="604"/>
      <c r="I599" s="604"/>
      <c r="J599" s="604"/>
      <c r="K599" s="604"/>
      <c r="L599" s="604"/>
      <c r="M599" s="604"/>
      <c r="N599" s="604"/>
      <c r="O599" s="604"/>
      <c r="P599" s="604"/>
      <c r="Q599" s="604"/>
      <c r="R599" s="604"/>
      <c r="S599" s="604"/>
      <c r="T599" s="604"/>
      <c r="U599" s="604"/>
      <c r="V599" s="604"/>
      <c r="W599" s="604"/>
      <c r="X599" s="604"/>
    </row>
    <row r="600" spans="1:24" ht="15.6">
      <c r="A600" s="604"/>
      <c r="B600" s="604"/>
      <c r="C600" s="609"/>
      <c r="D600" s="604"/>
      <c r="E600" s="604"/>
      <c r="F600" s="604"/>
      <c r="G600" s="604"/>
      <c r="H600" s="604"/>
      <c r="I600" s="604"/>
      <c r="J600" s="604"/>
      <c r="K600" s="604"/>
      <c r="L600" s="604"/>
      <c r="M600" s="604"/>
      <c r="N600" s="604"/>
      <c r="O600" s="604"/>
      <c r="P600" s="604"/>
      <c r="Q600" s="604"/>
      <c r="R600" s="604"/>
      <c r="S600" s="604"/>
      <c r="T600" s="604"/>
      <c r="U600" s="604"/>
      <c r="V600" s="604"/>
      <c r="W600" s="604"/>
      <c r="X600" s="604"/>
    </row>
    <row r="601" spans="1:24" ht="15.6">
      <c r="A601" s="604"/>
      <c r="B601" s="604"/>
      <c r="C601" s="609"/>
      <c r="D601" s="604"/>
      <c r="E601" s="604"/>
      <c r="F601" s="604"/>
      <c r="G601" s="604"/>
      <c r="H601" s="604"/>
      <c r="I601" s="604"/>
      <c r="J601" s="604"/>
      <c r="K601" s="604"/>
      <c r="L601" s="604"/>
      <c r="M601" s="604"/>
      <c r="N601" s="604"/>
      <c r="O601" s="604"/>
      <c r="P601" s="604"/>
      <c r="Q601" s="604"/>
      <c r="R601" s="604"/>
      <c r="S601" s="604"/>
      <c r="T601" s="604"/>
      <c r="U601" s="604"/>
      <c r="V601" s="604"/>
      <c r="W601" s="604"/>
      <c r="X601" s="604"/>
    </row>
    <row r="602" spans="1:24" ht="15.6">
      <c r="A602" s="604"/>
      <c r="B602" s="604"/>
      <c r="C602" s="609"/>
      <c r="D602" s="604"/>
      <c r="E602" s="604"/>
      <c r="F602" s="604"/>
      <c r="G602" s="604"/>
      <c r="H602" s="604"/>
      <c r="I602" s="604"/>
      <c r="J602" s="604"/>
      <c r="K602" s="604"/>
      <c r="L602" s="604"/>
      <c r="M602" s="604"/>
      <c r="N602" s="604"/>
      <c r="O602" s="604"/>
      <c r="P602" s="604"/>
      <c r="Q602" s="604"/>
      <c r="R602" s="604"/>
      <c r="S602" s="604"/>
      <c r="T602" s="604"/>
      <c r="U602" s="604"/>
      <c r="V602" s="604"/>
      <c r="W602" s="604"/>
      <c r="X602" s="604"/>
    </row>
    <row r="603" spans="1:24" ht="15.6">
      <c r="A603" s="604"/>
      <c r="B603" s="604"/>
      <c r="C603" s="609"/>
      <c r="D603" s="604"/>
      <c r="E603" s="604"/>
      <c r="F603" s="604"/>
      <c r="G603" s="604"/>
      <c r="H603" s="604"/>
      <c r="I603" s="604"/>
      <c r="J603" s="604"/>
      <c r="K603" s="604"/>
      <c r="L603" s="604"/>
      <c r="M603" s="604"/>
      <c r="N603" s="604"/>
      <c r="O603" s="604"/>
      <c r="P603" s="604"/>
      <c r="Q603" s="604"/>
      <c r="R603" s="604"/>
      <c r="S603" s="604"/>
      <c r="T603" s="604"/>
      <c r="U603" s="604"/>
      <c r="V603" s="604"/>
      <c r="W603" s="604"/>
      <c r="X603" s="604"/>
    </row>
    <row r="604" spans="1:24" ht="15.6">
      <c r="A604" s="604"/>
      <c r="B604" s="604"/>
      <c r="C604" s="609"/>
      <c r="D604" s="604"/>
      <c r="E604" s="604"/>
      <c r="F604" s="604"/>
      <c r="G604" s="604"/>
      <c r="H604" s="604"/>
      <c r="I604" s="604"/>
      <c r="J604" s="604"/>
      <c r="K604" s="604"/>
      <c r="L604" s="604"/>
      <c r="M604" s="604"/>
      <c r="N604" s="604"/>
      <c r="O604" s="604"/>
      <c r="P604" s="604"/>
      <c r="Q604" s="604"/>
      <c r="R604" s="604"/>
      <c r="S604" s="604"/>
      <c r="T604" s="604"/>
      <c r="U604" s="604"/>
      <c r="V604" s="604"/>
      <c r="W604" s="604"/>
      <c r="X604" s="604"/>
    </row>
    <row r="605" spans="1:24" ht="15.6">
      <c r="A605" s="604"/>
      <c r="B605" s="604"/>
      <c r="C605" s="609"/>
      <c r="D605" s="604"/>
      <c r="E605" s="604"/>
      <c r="F605" s="604"/>
      <c r="G605" s="604"/>
      <c r="H605" s="604"/>
      <c r="I605" s="604"/>
      <c r="J605" s="604"/>
      <c r="K605" s="604"/>
      <c r="L605" s="604"/>
      <c r="M605" s="604"/>
      <c r="N605" s="604"/>
      <c r="O605" s="604"/>
      <c r="P605" s="604"/>
      <c r="Q605" s="604"/>
      <c r="R605" s="604"/>
      <c r="S605" s="604"/>
      <c r="T605" s="604"/>
      <c r="U605" s="604"/>
      <c r="V605" s="604"/>
      <c r="W605" s="604"/>
      <c r="X605" s="604"/>
    </row>
    <row r="606" spans="1:24" ht="15.6">
      <c r="A606" s="604"/>
      <c r="B606" s="604"/>
      <c r="C606" s="609"/>
      <c r="D606" s="604"/>
      <c r="E606" s="604"/>
      <c r="F606" s="604"/>
      <c r="G606" s="604"/>
      <c r="H606" s="604"/>
      <c r="I606" s="604"/>
      <c r="J606" s="604"/>
      <c r="K606" s="604"/>
      <c r="L606" s="604"/>
      <c r="M606" s="604"/>
      <c r="N606" s="604"/>
      <c r="O606" s="604"/>
      <c r="P606" s="604"/>
      <c r="Q606" s="604"/>
      <c r="R606" s="604"/>
      <c r="S606" s="604"/>
      <c r="T606" s="604"/>
      <c r="U606" s="604"/>
      <c r="V606" s="604"/>
      <c r="W606" s="604"/>
      <c r="X606" s="604"/>
    </row>
    <row r="607" spans="1:24" ht="15.6">
      <c r="A607" s="604"/>
      <c r="B607" s="604"/>
      <c r="C607" s="609"/>
      <c r="D607" s="604"/>
      <c r="E607" s="604"/>
      <c r="F607" s="604"/>
      <c r="G607" s="604"/>
      <c r="H607" s="604"/>
      <c r="I607" s="604"/>
      <c r="J607" s="604"/>
      <c r="K607" s="604"/>
      <c r="L607" s="604"/>
      <c r="M607" s="604"/>
      <c r="N607" s="604"/>
      <c r="O607" s="604"/>
      <c r="P607" s="604"/>
      <c r="Q607" s="604"/>
      <c r="R607" s="604"/>
      <c r="S607" s="604"/>
      <c r="T607" s="604"/>
      <c r="U607" s="604"/>
      <c r="V607" s="604"/>
      <c r="W607" s="604"/>
      <c r="X607" s="604"/>
    </row>
    <row r="608" spans="1:24" ht="15.6">
      <c r="A608" s="604"/>
      <c r="B608" s="604"/>
      <c r="C608" s="609"/>
      <c r="D608" s="604"/>
      <c r="E608" s="604"/>
      <c r="F608" s="604"/>
      <c r="G608" s="604"/>
      <c r="H608" s="604"/>
      <c r="I608" s="604"/>
      <c r="J608" s="604"/>
      <c r="K608" s="604"/>
      <c r="L608" s="604"/>
      <c r="M608" s="604"/>
      <c r="N608" s="604"/>
      <c r="O608" s="604"/>
      <c r="P608" s="604"/>
      <c r="Q608" s="604"/>
      <c r="R608" s="604"/>
      <c r="S608" s="604"/>
      <c r="T608" s="604"/>
      <c r="U608" s="604"/>
      <c r="V608" s="604"/>
      <c r="W608" s="604"/>
      <c r="X608" s="604"/>
    </row>
    <row r="609" spans="1:24" ht="15.6">
      <c r="A609" s="604"/>
      <c r="B609" s="604"/>
      <c r="C609" s="609"/>
      <c r="D609" s="604"/>
      <c r="E609" s="604"/>
      <c r="F609" s="604"/>
      <c r="G609" s="604"/>
      <c r="H609" s="604"/>
      <c r="I609" s="604"/>
      <c r="J609" s="604"/>
      <c r="K609" s="604"/>
      <c r="L609" s="604"/>
      <c r="M609" s="604"/>
      <c r="N609" s="604"/>
      <c r="O609" s="604"/>
      <c r="P609" s="604"/>
      <c r="Q609" s="604"/>
      <c r="R609" s="604"/>
      <c r="S609" s="604"/>
      <c r="T609" s="604"/>
      <c r="U609" s="604"/>
      <c r="V609" s="604"/>
      <c r="W609" s="604"/>
      <c r="X609" s="604"/>
    </row>
    <row r="610" spans="1:24" ht="15.6">
      <c r="A610" s="604"/>
      <c r="B610" s="604"/>
      <c r="C610" s="609"/>
      <c r="D610" s="604"/>
      <c r="E610" s="604"/>
      <c r="F610" s="604"/>
      <c r="G610" s="604"/>
      <c r="H610" s="604"/>
      <c r="I610" s="604"/>
      <c r="J610" s="604"/>
      <c r="K610" s="604"/>
      <c r="L610" s="604"/>
      <c r="M610" s="604"/>
      <c r="N610" s="604"/>
      <c r="O610" s="604"/>
      <c r="P610" s="604"/>
      <c r="Q610" s="604"/>
      <c r="R610" s="604"/>
      <c r="S610" s="604"/>
      <c r="T610" s="604"/>
      <c r="U610" s="604"/>
      <c r="V610" s="604"/>
      <c r="W610" s="604"/>
      <c r="X610" s="604"/>
    </row>
    <row r="611" spans="1:24" ht="15.6">
      <c r="A611" s="604"/>
      <c r="B611" s="604"/>
      <c r="C611" s="609"/>
      <c r="D611" s="604"/>
      <c r="E611" s="604"/>
      <c r="F611" s="604"/>
      <c r="G611" s="604"/>
      <c r="H611" s="604"/>
      <c r="I611" s="604"/>
      <c r="J611" s="604"/>
      <c r="K611" s="604"/>
      <c r="L611" s="604"/>
      <c r="M611" s="604"/>
      <c r="N611" s="604"/>
      <c r="O611" s="604"/>
      <c r="P611" s="604"/>
      <c r="Q611" s="604"/>
      <c r="R611" s="604"/>
      <c r="S611" s="604"/>
      <c r="T611" s="604"/>
      <c r="U611" s="604"/>
      <c r="V611" s="604"/>
      <c r="W611" s="604"/>
      <c r="X611" s="604"/>
    </row>
    <row r="612" spans="1:24" ht="15.6">
      <c r="A612" s="604"/>
      <c r="B612" s="604"/>
      <c r="C612" s="609"/>
      <c r="D612" s="604"/>
      <c r="E612" s="604"/>
      <c r="F612" s="604"/>
      <c r="G612" s="604"/>
      <c r="H612" s="604"/>
      <c r="I612" s="604"/>
      <c r="J612" s="604"/>
      <c r="K612" s="604"/>
      <c r="L612" s="604"/>
      <c r="M612" s="604"/>
      <c r="N612" s="604"/>
      <c r="O612" s="604"/>
      <c r="P612" s="604"/>
      <c r="Q612" s="604"/>
      <c r="R612" s="604"/>
      <c r="S612" s="604"/>
      <c r="T612" s="604"/>
      <c r="U612" s="604"/>
      <c r="V612" s="604"/>
      <c r="W612" s="604"/>
      <c r="X612" s="604"/>
    </row>
    <row r="613" spans="1:24" ht="15.6">
      <c r="A613" s="604"/>
      <c r="B613" s="604"/>
      <c r="C613" s="609"/>
      <c r="D613" s="604"/>
      <c r="E613" s="604"/>
      <c r="F613" s="604"/>
      <c r="G613" s="604"/>
      <c r="H613" s="604"/>
      <c r="I613" s="604"/>
      <c r="J613" s="604"/>
      <c r="K613" s="604"/>
      <c r="L613" s="604"/>
      <c r="M613" s="604"/>
      <c r="N613" s="604"/>
      <c r="O613" s="604"/>
      <c r="P613" s="604"/>
      <c r="Q613" s="604"/>
      <c r="R613" s="604"/>
      <c r="S613" s="604"/>
      <c r="T613" s="604"/>
      <c r="U613" s="604"/>
      <c r="V613" s="604"/>
      <c r="W613" s="604"/>
      <c r="X613" s="604"/>
    </row>
    <row r="614" spans="1:24" ht="15.6">
      <c r="A614" s="604"/>
      <c r="B614" s="604"/>
      <c r="C614" s="609"/>
      <c r="D614" s="604"/>
      <c r="E614" s="604"/>
      <c r="F614" s="604"/>
      <c r="G614" s="604"/>
      <c r="H614" s="604"/>
      <c r="I614" s="604"/>
      <c r="J614" s="604"/>
      <c r="K614" s="604"/>
      <c r="L614" s="604"/>
      <c r="M614" s="604"/>
      <c r="N614" s="604"/>
      <c r="O614" s="604"/>
      <c r="P614" s="604"/>
      <c r="Q614" s="604"/>
      <c r="R614" s="604"/>
      <c r="S614" s="604"/>
      <c r="T614" s="604"/>
      <c r="U614" s="604"/>
      <c r="V614" s="604"/>
      <c r="W614" s="604"/>
      <c r="X614" s="604"/>
    </row>
    <row r="615" spans="1:24" ht="15.6">
      <c r="A615" s="604"/>
      <c r="B615" s="604"/>
      <c r="C615" s="609"/>
      <c r="D615" s="604"/>
      <c r="E615" s="604"/>
      <c r="F615" s="604"/>
      <c r="G615" s="604"/>
      <c r="H615" s="604"/>
      <c r="I615" s="604"/>
      <c r="J615" s="604"/>
      <c r="K615" s="604"/>
      <c r="L615" s="604"/>
      <c r="M615" s="604"/>
      <c r="N615" s="604"/>
      <c r="O615" s="604"/>
      <c r="P615" s="604"/>
      <c r="Q615" s="604"/>
      <c r="R615" s="604"/>
      <c r="S615" s="604"/>
      <c r="T615" s="604"/>
      <c r="U615" s="604"/>
      <c r="V615" s="604"/>
      <c r="W615" s="604"/>
      <c r="X615" s="604"/>
    </row>
    <row r="616" spans="1:24" ht="15.6">
      <c r="A616" s="604"/>
      <c r="B616" s="604"/>
      <c r="C616" s="609"/>
      <c r="D616" s="604"/>
      <c r="E616" s="604"/>
      <c r="F616" s="604"/>
      <c r="G616" s="604"/>
      <c r="H616" s="604"/>
      <c r="I616" s="604"/>
      <c r="J616" s="604"/>
      <c r="K616" s="604"/>
      <c r="L616" s="604"/>
      <c r="M616" s="604"/>
      <c r="N616" s="604"/>
      <c r="O616" s="604"/>
      <c r="P616" s="604"/>
      <c r="Q616" s="604"/>
      <c r="R616" s="604"/>
      <c r="S616" s="604"/>
      <c r="T616" s="604"/>
      <c r="U616" s="604"/>
      <c r="V616" s="604"/>
      <c r="W616" s="604"/>
      <c r="X616" s="604"/>
    </row>
    <row r="617" spans="1:24" ht="15.6">
      <c r="A617" s="604"/>
      <c r="B617" s="604"/>
      <c r="C617" s="609"/>
      <c r="D617" s="604"/>
      <c r="E617" s="604"/>
      <c r="F617" s="604"/>
      <c r="G617" s="604"/>
      <c r="H617" s="604"/>
      <c r="I617" s="604"/>
      <c r="J617" s="604"/>
      <c r="K617" s="604"/>
      <c r="L617" s="604"/>
      <c r="M617" s="604"/>
      <c r="N617" s="604"/>
      <c r="O617" s="604"/>
      <c r="P617" s="604"/>
      <c r="Q617" s="604"/>
      <c r="R617" s="604"/>
      <c r="S617" s="604"/>
      <c r="T617" s="604"/>
      <c r="U617" s="604"/>
      <c r="V617" s="604"/>
      <c r="W617" s="604"/>
      <c r="X617" s="604"/>
    </row>
    <row r="618" spans="1:24" ht="15.6">
      <c r="A618" s="604"/>
      <c r="B618" s="604"/>
      <c r="C618" s="609"/>
      <c r="D618" s="604"/>
      <c r="E618" s="604"/>
      <c r="F618" s="604"/>
      <c r="G618" s="604"/>
      <c r="H618" s="604"/>
      <c r="I618" s="604"/>
      <c r="J618" s="604"/>
      <c r="K618" s="604"/>
      <c r="L618" s="604"/>
      <c r="M618" s="604"/>
      <c r="N618" s="604"/>
      <c r="O618" s="604"/>
      <c r="P618" s="604"/>
      <c r="Q618" s="604"/>
      <c r="R618" s="604"/>
      <c r="S618" s="604"/>
      <c r="T618" s="604"/>
      <c r="U618" s="604"/>
      <c r="V618" s="604"/>
      <c r="W618" s="604"/>
      <c r="X618" s="604"/>
    </row>
    <row r="619" spans="1:24" ht="15.6">
      <c r="A619" s="604"/>
      <c r="B619" s="604"/>
      <c r="C619" s="609"/>
      <c r="D619" s="604"/>
      <c r="E619" s="604"/>
      <c r="F619" s="604"/>
      <c r="G619" s="604"/>
      <c r="H619" s="604"/>
      <c r="I619" s="604"/>
      <c r="J619" s="604"/>
      <c r="K619" s="604"/>
      <c r="L619" s="604"/>
      <c r="M619" s="604"/>
      <c r="N619" s="604"/>
      <c r="O619" s="604"/>
      <c r="P619" s="604"/>
      <c r="Q619" s="604"/>
      <c r="R619" s="604"/>
      <c r="S619" s="604"/>
      <c r="T619" s="604"/>
      <c r="U619" s="604"/>
      <c r="V619" s="604"/>
      <c r="W619" s="604"/>
      <c r="X619" s="604"/>
    </row>
    <row r="620" spans="1:24" ht="15.6">
      <c r="A620" s="604"/>
      <c r="B620" s="604"/>
      <c r="C620" s="609"/>
      <c r="D620" s="604"/>
      <c r="E620" s="604"/>
      <c r="F620" s="604"/>
      <c r="G620" s="604"/>
      <c r="H620" s="604"/>
      <c r="I620" s="604"/>
      <c r="J620" s="604"/>
      <c r="K620" s="604"/>
      <c r="L620" s="604"/>
      <c r="M620" s="604"/>
      <c r="N620" s="604"/>
      <c r="O620" s="604"/>
      <c r="P620" s="604"/>
      <c r="Q620" s="604"/>
      <c r="R620" s="604"/>
      <c r="S620" s="604"/>
      <c r="T620" s="604"/>
      <c r="U620" s="604"/>
      <c r="V620" s="604"/>
      <c r="W620" s="604"/>
      <c r="X620" s="604"/>
    </row>
    <row r="621" spans="1:24" ht="15.6">
      <c r="A621" s="604"/>
      <c r="B621" s="604"/>
      <c r="C621" s="609"/>
      <c r="D621" s="604"/>
      <c r="E621" s="604"/>
      <c r="F621" s="604"/>
      <c r="G621" s="604"/>
      <c r="H621" s="604"/>
      <c r="I621" s="604"/>
      <c r="J621" s="604"/>
      <c r="K621" s="604"/>
      <c r="L621" s="604"/>
      <c r="M621" s="604"/>
      <c r="N621" s="604"/>
      <c r="O621" s="604"/>
      <c r="P621" s="604"/>
      <c r="Q621" s="604"/>
      <c r="R621" s="604"/>
      <c r="S621" s="604"/>
      <c r="T621" s="604"/>
      <c r="U621" s="604"/>
      <c r="V621" s="604"/>
      <c r="W621" s="604"/>
      <c r="X621" s="604"/>
    </row>
    <row r="622" spans="1:24" ht="15.6">
      <c r="A622" s="604"/>
      <c r="B622" s="604"/>
      <c r="C622" s="609"/>
      <c r="D622" s="604"/>
      <c r="E622" s="604"/>
      <c r="F622" s="604"/>
      <c r="G622" s="604"/>
      <c r="H622" s="604"/>
      <c r="I622" s="604"/>
      <c r="J622" s="604"/>
      <c r="K622" s="604"/>
      <c r="L622" s="604"/>
      <c r="M622" s="604"/>
      <c r="N622" s="604"/>
      <c r="O622" s="604"/>
      <c r="P622" s="604"/>
      <c r="Q622" s="604"/>
      <c r="R622" s="604"/>
      <c r="S622" s="604"/>
      <c r="T622" s="604"/>
      <c r="U622" s="604"/>
      <c r="V622" s="604"/>
      <c r="W622" s="604"/>
      <c r="X622" s="604"/>
    </row>
    <row r="623" spans="1:24" ht="15.6">
      <c r="A623" s="604"/>
      <c r="B623" s="604"/>
      <c r="C623" s="609"/>
      <c r="D623" s="604"/>
      <c r="E623" s="604"/>
      <c r="F623" s="604"/>
      <c r="G623" s="604"/>
      <c r="H623" s="604"/>
      <c r="I623" s="604"/>
      <c r="J623" s="604"/>
      <c r="K623" s="604"/>
      <c r="L623" s="604"/>
      <c r="M623" s="604"/>
      <c r="N623" s="604"/>
      <c r="O623" s="604"/>
      <c r="P623" s="604"/>
      <c r="Q623" s="604"/>
      <c r="R623" s="604"/>
      <c r="S623" s="604"/>
      <c r="T623" s="604"/>
      <c r="U623" s="604"/>
      <c r="V623" s="604"/>
      <c r="W623" s="604"/>
      <c r="X623" s="604"/>
    </row>
    <row r="624" spans="1:24" ht="15.6">
      <c r="A624" s="604"/>
      <c r="B624" s="604"/>
      <c r="C624" s="609"/>
      <c r="D624" s="604"/>
      <c r="E624" s="604"/>
      <c r="F624" s="604"/>
      <c r="G624" s="604"/>
      <c r="H624" s="604"/>
      <c r="I624" s="604"/>
      <c r="J624" s="604"/>
      <c r="K624" s="604"/>
      <c r="L624" s="604"/>
      <c r="M624" s="604"/>
      <c r="N624" s="604"/>
      <c r="O624" s="604"/>
      <c r="P624" s="604"/>
      <c r="Q624" s="604"/>
      <c r="R624" s="604"/>
      <c r="S624" s="604"/>
      <c r="T624" s="604"/>
      <c r="U624" s="604"/>
      <c r="V624" s="604"/>
      <c r="W624" s="604"/>
      <c r="X624" s="604"/>
    </row>
    <row r="625" spans="1:24" ht="15.6">
      <c r="A625" s="604"/>
      <c r="B625" s="604"/>
      <c r="C625" s="609"/>
      <c r="D625" s="604"/>
      <c r="E625" s="604"/>
      <c r="F625" s="604"/>
      <c r="G625" s="604"/>
      <c r="H625" s="604"/>
      <c r="I625" s="604"/>
      <c r="J625" s="604"/>
      <c r="K625" s="604"/>
      <c r="L625" s="604"/>
      <c r="M625" s="604"/>
      <c r="N625" s="604"/>
      <c r="O625" s="604"/>
      <c r="P625" s="604"/>
      <c r="Q625" s="604"/>
      <c r="R625" s="604"/>
      <c r="S625" s="604"/>
      <c r="T625" s="604"/>
      <c r="U625" s="604"/>
      <c r="V625" s="604"/>
      <c r="W625" s="604"/>
      <c r="X625" s="604"/>
    </row>
    <row r="626" spans="1:24" ht="15.6">
      <c r="A626" s="604"/>
      <c r="B626" s="604"/>
      <c r="C626" s="609"/>
      <c r="D626" s="604"/>
      <c r="E626" s="604"/>
      <c r="F626" s="604"/>
      <c r="G626" s="604"/>
      <c r="H626" s="604"/>
      <c r="I626" s="604"/>
      <c r="J626" s="604"/>
      <c r="K626" s="604"/>
      <c r="L626" s="604"/>
      <c r="M626" s="604"/>
      <c r="N626" s="604"/>
      <c r="O626" s="604"/>
      <c r="P626" s="604"/>
      <c r="Q626" s="604"/>
      <c r="R626" s="604"/>
      <c r="S626" s="604"/>
      <c r="T626" s="604"/>
      <c r="U626" s="604"/>
      <c r="V626" s="604"/>
      <c r="W626" s="604"/>
      <c r="X626" s="604"/>
    </row>
    <row r="627" spans="1:24" ht="15.6">
      <c r="A627" s="604"/>
      <c r="B627" s="604"/>
      <c r="C627" s="609"/>
      <c r="D627" s="604"/>
      <c r="E627" s="604"/>
      <c r="F627" s="604"/>
      <c r="G627" s="604"/>
      <c r="H627" s="604"/>
      <c r="I627" s="604"/>
      <c r="J627" s="604"/>
      <c r="K627" s="604"/>
      <c r="L627" s="604"/>
      <c r="M627" s="604"/>
      <c r="N627" s="604"/>
      <c r="O627" s="604"/>
      <c r="P627" s="604"/>
      <c r="Q627" s="604"/>
      <c r="R627" s="604"/>
      <c r="S627" s="604"/>
      <c r="T627" s="604"/>
      <c r="U627" s="604"/>
      <c r="V627" s="604"/>
      <c r="W627" s="604"/>
      <c r="X627" s="604"/>
    </row>
    <row r="628" spans="1:24" ht="15.6">
      <c r="A628" s="604"/>
      <c r="B628" s="604"/>
      <c r="C628" s="609"/>
      <c r="D628" s="604"/>
      <c r="E628" s="604"/>
      <c r="F628" s="604"/>
      <c r="G628" s="604"/>
      <c r="H628" s="604"/>
      <c r="I628" s="604"/>
      <c r="J628" s="604"/>
      <c r="K628" s="604"/>
      <c r="L628" s="604"/>
      <c r="M628" s="604"/>
      <c r="N628" s="604"/>
      <c r="O628" s="604"/>
      <c r="P628" s="604"/>
      <c r="Q628" s="604"/>
      <c r="R628" s="604"/>
      <c r="S628" s="604"/>
      <c r="T628" s="604"/>
      <c r="U628" s="604"/>
      <c r="V628" s="604"/>
      <c r="W628" s="604"/>
      <c r="X628" s="604"/>
    </row>
    <row r="629" spans="1:24" ht="15.6">
      <c r="A629" s="604"/>
      <c r="B629" s="604"/>
      <c r="C629" s="609"/>
      <c r="D629" s="604"/>
      <c r="E629" s="604"/>
      <c r="F629" s="604"/>
      <c r="G629" s="604"/>
      <c r="H629" s="604"/>
      <c r="I629" s="604"/>
      <c r="J629" s="604"/>
      <c r="K629" s="604"/>
      <c r="L629" s="604"/>
      <c r="M629" s="604"/>
      <c r="N629" s="604"/>
      <c r="O629" s="604"/>
      <c r="P629" s="604"/>
      <c r="Q629" s="604"/>
      <c r="R629" s="604"/>
      <c r="S629" s="604"/>
      <c r="T629" s="604"/>
      <c r="U629" s="604"/>
      <c r="V629" s="604"/>
      <c r="W629" s="604"/>
      <c r="X629" s="604"/>
    </row>
    <row r="630" spans="1:24" ht="15.6">
      <c r="A630" s="604"/>
      <c r="B630" s="604"/>
      <c r="C630" s="609"/>
      <c r="D630" s="604"/>
      <c r="E630" s="604"/>
      <c r="F630" s="604"/>
      <c r="G630" s="604"/>
      <c r="H630" s="604"/>
      <c r="I630" s="604"/>
      <c r="J630" s="604"/>
      <c r="K630" s="604"/>
      <c r="L630" s="604"/>
      <c r="M630" s="604"/>
      <c r="N630" s="604"/>
      <c r="O630" s="604"/>
      <c r="P630" s="604"/>
      <c r="Q630" s="604"/>
      <c r="R630" s="604"/>
      <c r="S630" s="604"/>
      <c r="T630" s="604"/>
      <c r="U630" s="604"/>
      <c r="V630" s="604"/>
      <c r="W630" s="604"/>
      <c r="X630" s="604"/>
    </row>
    <row r="631" spans="1:24" ht="15.6">
      <c r="A631" s="604"/>
      <c r="B631" s="604"/>
      <c r="C631" s="609"/>
      <c r="D631" s="604"/>
      <c r="E631" s="604"/>
      <c r="F631" s="604"/>
      <c r="G631" s="604"/>
      <c r="H631" s="604"/>
      <c r="I631" s="604"/>
      <c r="J631" s="604"/>
      <c r="K631" s="604"/>
      <c r="L631" s="604"/>
      <c r="M631" s="604"/>
      <c r="N631" s="604"/>
      <c r="O631" s="604"/>
      <c r="P631" s="604"/>
      <c r="Q631" s="604"/>
      <c r="R631" s="604"/>
      <c r="S631" s="604"/>
      <c r="T631" s="604"/>
      <c r="U631" s="604"/>
      <c r="V631" s="604"/>
      <c r="W631" s="604"/>
      <c r="X631" s="604"/>
    </row>
    <row r="632" spans="1:24" ht="15.6">
      <c r="A632" s="604"/>
      <c r="B632" s="604"/>
      <c r="C632" s="609"/>
      <c r="D632" s="604"/>
      <c r="E632" s="604"/>
      <c r="F632" s="604"/>
      <c r="G632" s="604"/>
      <c r="H632" s="604"/>
      <c r="I632" s="604"/>
      <c r="J632" s="604"/>
      <c r="K632" s="604"/>
      <c r="L632" s="604"/>
      <c r="M632" s="604"/>
      <c r="N632" s="604"/>
      <c r="O632" s="604"/>
      <c r="P632" s="604"/>
      <c r="Q632" s="604"/>
      <c r="R632" s="604"/>
      <c r="S632" s="604"/>
      <c r="T632" s="604"/>
      <c r="U632" s="604"/>
      <c r="V632" s="604"/>
      <c r="W632" s="604"/>
      <c r="X632" s="604"/>
    </row>
    <row r="633" spans="1:24" ht="15.6">
      <c r="A633" s="604"/>
      <c r="B633" s="604"/>
      <c r="C633" s="609"/>
      <c r="D633" s="604"/>
      <c r="E633" s="604"/>
      <c r="F633" s="604"/>
      <c r="G633" s="604"/>
      <c r="H633" s="604"/>
      <c r="I633" s="604"/>
      <c r="J633" s="604"/>
      <c r="K633" s="604"/>
      <c r="L633" s="604"/>
      <c r="M633" s="604"/>
      <c r="N633" s="604"/>
      <c r="O633" s="604"/>
      <c r="P633" s="604"/>
      <c r="Q633" s="604"/>
      <c r="R633" s="604"/>
      <c r="S633" s="604"/>
      <c r="T633" s="604"/>
      <c r="U633" s="604"/>
      <c r="V633" s="604"/>
      <c r="W633" s="604"/>
      <c r="X633" s="604"/>
    </row>
    <row r="634" spans="1:24" ht="15.6">
      <c r="A634" s="604"/>
      <c r="B634" s="604"/>
      <c r="C634" s="609"/>
      <c r="D634" s="604"/>
      <c r="E634" s="604"/>
      <c r="F634" s="604"/>
      <c r="G634" s="604"/>
      <c r="H634" s="604"/>
      <c r="I634" s="604"/>
      <c r="J634" s="604"/>
      <c r="K634" s="604"/>
      <c r="L634" s="604"/>
      <c r="M634" s="604"/>
      <c r="N634" s="604"/>
      <c r="O634" s="604"/>
      <c r="P634" s="604"/>
      <c r="Q634" s="604"/>
      <c r="R634" s="604"/>
      <c r="S634" s="604"/>
      <c r="T634" s="604"/>
      <c r="U634" s="604"/>
      <c r="V634" s="604"/>
      <c r="W634" s="604"/>
      <c r="X634" s="604"/>
    </row>
    <row r="635" spans="1:24" ht="15.6">
      <c r="A635" s="604"/>
      <c r="B635" s="604"/>
      <c r="C635" s="609"/>
      <c r="D635" s="604"/>
      <c r="E635" s="604"/>
      <c r="F635" s="604"/>
      <c r="G635" s="604"/>
      <c r="H635" s="604"/>
      <c r="I635" s="604"/>
      <c r="J635" s="604"/>
      <c r="K635" s="604"/>
      <c r="L635" s="604"/>
      <c r="M635" s="604"/>
      <c r="N635" s="604"/>
      <c r="O635" s="604"/>
      <c r="P635" s="604"/>
      <c r="Q635" s="604"/>
      <c r="R635" s="604"/>
      <c r="S635" s="604"/>
      <c r="T635" s="604"/>
      <c r="U635" s="604"/>
      <c r="V635" s="604"/>
      <c r="W635" s="604"/>
      <c r="X635" s="604"/>
    </row>
    <row r="636" spans="1:24" ht="15.6">
      <c r="A636" s="604"/>
      <c r="B636" s="604"/>
      <c r="C636" s="609"/>
      <c r="D636" s="604"/>
      <c r="E636" s="604"/>
      <c r="F636" s="604"/>
      <c r="G636" s="604"/>
      <c r="H636" s="604"/>
      <c r="I636" s="604"/>
      <c r="J636" s="604"/>
      <c r="K636" s="604"/>
      <c r="L636" s="604"/>
      <c r="M636" s="604"/>
      <c r="N636" s="604"/>
      <c r="O636" s="604"/>
      <c r="P636" s="604"/>
      <c r="Q636" s="604"/>
      <c r="R636" s="604"/>
      <c r="S636" s="604"/>
      <c r="T636" s="604"/>
      <c r="U636" s="604"/>
      <c r="V636" s="604"/>
      <c r="W636" s="604"/>
      <c r="X636" s="604"/>
    </row>
    <row r="637" spans="1:24" ht="15.6">
      <c r="A637" s="604"/>
      <c r="B637" s="604"/>
      <c r="C637" s="609"/>
      <c r="D637" s="604"/>
      <c r="E637" s="604"/>
      <c r="F637" s="604"/>
      <c r="G637" s="604"/>
      <c r="H637" s="604"/>
      <c r="I637" s="604"/>
      <c r="J637" s="604"/>
      <c r="K637" s="604"/>
      <c r="L637" s="604"/>
      <c r="M637" s="604"/>
      <c r="N637" s="604"/>
      <c r="O637" s="604"/>
      <c r="P637" s="604"/>
      <c r="Q637" s="604"/>
      <c r="R637" s="604"/>
      <c r="S637" s="604"/>
      <c r="T637" s="604"/>
      <c r="U637" s="604"/>
      <c r="V637" s="604"/>
      <c r="W637" s="604"/>
      <c r="X637" s="604"/>
    </row>
    <row r="638" spans="1:24" ht="15.6">
      <c r="A638" s="604"/>
      <c r="B638" s="604"/>
      <c r="C638" s="609"/>
      <c r="D638" s="604"/>
      <c r="E638" s="604"/>
      <c r="F638" s="604"/>
      <c r="G638" s="604"/>
      <c r="H638" s="604"/>
      <c r="I638" s="604"/>
      <c r="J638" s="604"/>
      <c r="K638" s="604"/>
      <c r="L638" s="604"/>
      <c r="M638" s="604"/>
      <c r="N638" s="604"/>
      <c r="O638" s="604"/>
      <c r="P638" s="604"/>
      <c r="Q638" s="604"/>
      <c r="R638" s="604"/>
      <c r="S638" s="604"/>
      <c r="T638" s="604"/>
      <c r="U638" s="604"/>
      <c r="V638" s="604"/>
      <c r="W638" s="604"/>
      <c r="X638" s="604"/>
    </row>
    <row r="639" spans="1:24" ht="15.6">
      <c r="A639" s="604"/>
      <c r="B639" s="604"/>
      <c r="C639" s="609"/>
      <c r="D639" s="604"/>
      <c r="E639" s="604"/>
      <c r="F639" s="604"/>
      <c r="G639" s="604"/>
      <c r="H639" s="604"/>
      <c r="I639" s="604"/>
      <c r="J639" s="604"/>
      <c r="K639" s="604"/>
      <c r="L639" s="604"/>
      <c r="M639" s="604"/>
      <c r="N639" s="604"/>
      <c r="O639" s="604"/>
      <c r="P639" s="604"/>
      <c r="Q639" s="604"/>
      <c r="R639" s="604"/>
      <c r="S639" s="604"/>
      <c r="T639" s="604"/>
      <c r="U639" s="604"/>
      <c r="V639" s="604"/>
      <c r="W639" s="604"/>
      <c r="X639" s="604"/>
    </row>
    <row r="640" spans="1:24" ht="15.6">
      <c r="A640" s="604"/>
      <c r="B640" s="604"/>
      <c r="C640" s="609"/>
      <c r="D640" s="604"/>
      <c r="E640" s="604"/>
      <c r="F640" s="604"/>
      <c r="G640" s="604"/>
      <c r="H640" s="604"/>
      <c r="I640" s="604"/>
      <c r="J640" s="604"/>
      <c r="K640" s="604"/>
      <c r="L640" s="604"/>
      <c r="M640" s="604"/>
      <c r="N640" s="604"/>
      <c r="O640" s="604"/>
      <c r="P640" s="604"/>
      <c r="Q640" s="604"/>
      <c r="R640" s="604"/>
      <c r="S640" s="604"/>
      <c r="T640" s="604"/>
      <c r="U640" s="604"/>
      <c r="V640" s="604"/>
      <c r="W640" s="604"/>
      <c r="X640" s="604"/>
    </row>
    <row r="641" spans="1:24" ht="15.6">
      <c r="A641" s="604"/>
      <c r="B641" s="604"/>
      <c r="C641" s="609"/>
      <c r="D641" s="604"/>
      <c r="E641" s="604"/>
      <c r="F641" s="604"/>
      <c r="G641" s="604"/>
      <c r="H641" s="604"/>
      <c r="I641" s="604"/>
      <c r="J641" s="604"/>
      <c r="K641" s="604"/>
      <c r="L641" s="604"/>
      <c r="M641" s="604"/>
      <c r="N641" s="604"/>
      <c r="O641" s="604"/>
      <c r="P641" s="604"/>
      <c r="Q641" s="604"/>
      <c r="R641" s="604"/>
      <c r="S641" s="604"/>
      <c r="T641" s="604"/>
      <c r="U641" s="604"/>
      <c r="V641" s="604"/>
      <c r="W641" s="604"/>
      <c r="X641" s="604"/>
    </row>
    <row r="642" spans="1:24" ht="15.6">
      <c r="A642" s="604"/>
      <c r="B642" s="604"/>
      <c r="C642" s="609"/>
      <c r="D642" s="604"/>
      <c r="E642" s="604"/>
      <c r="F642" s="604"/>
      <c r="G642" s="604"/>
      <c r="H642" s="604"/>
      <c r="I642" s="604"/>
      <c r="J642" s="604"/>
      <c r="K642" s="604"/>
      <c r="L642" s="604"/>
      <c r="M642" s="604"/>
      <c r="N642" s="604"/>
      <c r="O642" s="604"/>
      <c r="P642" s="604"/>
      <c r="Q642" s="604"/>
      <c r="R642" s="604"/>
      <c r="S642" s="604"/>
      <c r="T642" s="604"/>
      <c r="U642" s="604"/>
      <c r="V642" s="604"/>
      <c r="W642" s="604"/>
      <c r="X642" s="604"/>
    </row>
    <row r="643" spans="1:24" ht="15.6">
      <c r="A643" s="604"/>
      <c r="B643" s="604"/>
      <c r="C643" s="609"/>
      <c r="D643" s="604"/>
      <c r="E643" s="604"/>
      <c r="F643" s="604"/>
      <c r="G643" s="604"/>
      <c r="H643" s="604"/>
      <c r="I643" s="604"/>
      <c r="J643" s="604"/>
      <c r="K643" s="604"/>
      <c r="L643" s="604"/>
      <c r="M643" s="604"/>
      <c r="N643" s="604"/>
      <c r="O643" s="604"/>
      <c r="P643" s="604"/>
      <c r="Q643" s="604"/>
      <c r="R643" s="604"/>
      <c r="S643" s="604"/>
      <c r="T643" s="604"/>
      <c r="U643" s="604"/>
      <c r="V643" s="604"/>
      <c r="W643" s="604"/>
      <c r="X643" s="604"/>
    </row>
    <row r="644" spans="1:24" ht="15.6">
      <c r="A644" s="604"/>
      <c r="B644" s="604"/>
      <c r="C644" s="609"/>
      <c r="D644" s="604"/>
      <c r="E644" s="604"/>
      <c r="F644" s="604"/>
      <c r="G644" s="604"/>
      <c r="H644" s="604"/>
      <c r="I644" s="604"/>
      <c r="J644" s="604"/>
      <c r="K644" s="604"/>
      <c r="L644" s="604"/>
      <c r="M644" s="604"/>
      <c r="N644" s="604"/>
      <c r="O644" s="604"/>
      <c r="P644" s="604"/>
      <c r="Q644" s="604"/>
      <c r="R644" s="604"/>
      <c r="S644" s="604"/>
      <c r="T644" s="604"/>
      <c r="U644" s="604"/>
      <c r="V644" s="604"/>
      <c r="W644" s="604"/>
      <c r="X644" s="604"/>
    </row>
    <row r="645" spans="1:24" ht="15.6">
      <c r="A645" s="604"/>
      <c r="B645" s="604"/>
      <c r="C645" s="609"/>
      <c r="D645" s="604"/>
      <c r="E645" s="604"/>
      <c r="F645" s="604"/>
      <c r="G645" s="604"/>
      <c r="H645" s="604"/>
      <c r="I645" s="604"/>
      <c r="J645" s="604"/>
      <c r="K645" s="604"/>
      <c r="L645" s="604"/>
      <c r="M645" s="604"/>
      <c r="N645" s="604"/>
      <c r="O645" s="604"/>
      <c r="P645" s="604"/>
      <c r="Q645" s="604"/>
      <c r="R645" s="604"/>
      <c r="S645" s="604"/>
      <c r="T645" s="604"/>
      <c r="U645" s="604"/>
      <c r="V645" s="604"/>
      <c r="W645" s="604"/>
      <c r="X645" s="604"/>
    </row>
    <row r="646" spans="1:24" ht="15.6">
      <c r="A646" s="604"/>
      <c r="B646" s="604"/>
      <c r="C646" s="609"/>
      <c r="D646" s="604"/>
      <c r="E646" s="604"/>
      <c r="F646" s="604"/>
      <c r="G646" s="604"/>
      <c r="H646" s="604"/>
      <c r="I646" s="604"/>
      <c r="J646" s="604"/>
      <c r="K646" s="604"/>
      <c r="L646" s="604"/>
      <c r="M646" s="604"/>
      <c r="N646" s="604"/>
      <c r="O646" s="604"/>
      <c r="P646" s="604"/>
      <c r="Q646" s="604"/>
      <c r="R646" s="604"/>
      <c r="S646" s="604"/>
      <c r="T646" s="604"/>
      <c r="U646" s="604"/>
      <c r="V646" s="604"/>
      <c r="W646" s="604"/>
      <c r="X646" s="604"/>
    </row>
    <row r="647" spans="1:24" ht="15.6">
      <c r="A647" s="604"/>
      <c r="B647" s="604"/>
      <c r="C647" s="609"/>
      <c r="D647" s="604"/>
      <c r="E647" s="604"/>
      <c r="F647" s="604"/>
      <c r="G647" s="604"/>
      <c r="H647" s="604"/>
      <c r="I647" s="604"/>
      <c r="J647" s="604"/>
      <c r="K647" s="604"/>
      <c r="L647" s="604"/>
      <c r="M647" s="604"/>
      <c r="N647" s="604"/>
      <c r="O647" s="604"/>
      <c r="P647" s="604"/>
      <c r="Q647" s="604"/>
      <c r="R647" s="604"/>
      <c r="S647" s="604"/>
      <c r="T647" s="604"/>
      <c r="U647" s="604"/>
      <c r="V647" s="604"/>
      <c r="W647" s="604"/>
      <c r="X647" s="604"/>
    </row>
    <row r="648" spans="1:24" ht="15.6">
      <c r="A648" s="604"/>
      <c r="B648" s="604"/>
      <c r="C648" s="609"/>
      <c r="D648" s="604"/>
      <c r="E648" s="604"/>
      <c r="F648" s="604"/>
      <c r="G648" s="604"/>
      <c r="H648" s="604"/>
      <c r="I648" s="604"/>
      <c r="J648" s="604"/>
      <c r="K648" s="604"/>
      <c r="L648" s="604"/>
      <c r="M648" s="604"/>
      <c r="N648" s="604"/>
      <c r="O648" s="604"/>
      <c r="P648" s="604"/>
      <c r="Q648" s="604"/>
      <c r="R648" s="604"/>
      <c r="S648" s="604"/>
      <c r="T648" s="604"/>
      <c r="U648" s="604"/>
      <c r="V648" s="604"/>
      <c r="W648" s="604"/>
      <c r="X648" s="604"/>
    </row>
    <row r="649" spans="1:24" ht="15.6">
      <c r="A649" s="604"/>
      <c r="B649" s="604"/>
      <c r="C649" s="609"/>
      <c r="D649" s="604"/>
      <c r="E649" s="604"/>
      <c r="F649" s="604"/>
      <c r="G649" s="604"/>
      <c r="H649" s="604"/>
      <c r="I649" s="604"/>
      <c r="J649" s="604"/>
      <c r="K649" s="604"/>
      <c r="L649" s="604"/>
      <c r="M649" s="604"/>
      <c r="N649" s="604"/>
      <c r="O649" s="604"/>
      <c r="P649" s="604"/>
      <c r="Q649" s="604"/>
      <c r="R649" s="604"/>
      <c r="S649" s="604"/>
      <c r="T649" s="604"/>
      <c r="U649" s="604"/>
      <c r="V649" s="604"/>
      <c r="W649" s="604"/>
      <c r="X649" s="604"/>
    </row>
    <row r="650" spans="1:24" ht="15.6">
      <c r="A650" s="604"/>
      <c r="B650" s="604"/>
      <c r="C650" s="609"/>
      <c r="D650" s="604"/>
      <c r="E650" s="604"/>
      <c r="F650" s="604"/>
      <c r="G650" s="604"/>
      <c r="H650" s="604"/>
      <c r="I650" s="604"/>
      <c r="J650" s="604"/>
      <c r="K650" s="604"/>
      <c r="L650" s="604"/>
      <c r="M650" s="604"/>
      <c r="N650" s="604"/>
      <c r="O650" s="604"/>
      <c r="P650" s="604"/>
      <c r="Q650" s="604"/>
      <c r="R650" s="604"/>
      <c r="S650" s="604"/>
      <c r="T650" s="604"/>
      <c r="U650" s="604"/>
      <c r="V650" s="604"/>
      <c r="W650" s="604"/>
      <c r="X650" s="604"/>
    </row>
    <row r="651" spans="1:24" ht="15.6">
      <c r="A651" s="604"/>
      <c r="B651" s="604"/>
      <c r="C651" s="609"/>
      <c r="D651" s="604"/>
      <c r="E651" s="604"/>
      <c r="F651" s="604"/>
      <c r="G651" s="604"/>
      <c r="H651" s="604"/>
      <c r="I651" s="604"/>
      <c r="J651" s="604"/>
      <c r="K651" s="604"/>
      <c r="L651" s="604"/>
      <c r="M651" s="604"/>
      <c r="N651" s="604"/>
      <c r="O651" s="604"/>
      <c r="P651" s="604"/>
      <c r="Q651" s="604"/>
      <c r="R651" s="604"/>
      <c r="S651" s="604"/>
      <c r="T651" s="604"/>
      <c r="U651" s="604"/>
      <c r="V651" s="604"/>
      <c r="W651" s="604"/>
      <c r="X651" s="604"/>
    </row>
    <row r="652" spans="1:24" ht="15.6">
      <c r="A652" s="604"/>
      <c r="B652" s="604"/>
      <c r="C652" s="609"/>
      <c r="D652" s="604"/>
      <c r="E652" s="604"/>
      <c r="F652" s="604"/>
      <c r="G652" s="604"/>
      <c r="H652" s="604"/>
      <c r="I652" s="604"/>
      <c r="J652" s="604"/>
      <c r="K652" s="604"/>
      <c r="L652" s="604"/>
      <c r="M652" s="604"/>
      <c r="N652" s="604"/>
      <c r="O652" s="604"/>
      <c r="P652" s="604"/>
      <c r="Q652" s="604"/>
      <c r="R652" s="604"/>
      <c r="S652" s="604"/>
      <c r="T652" s="604"/>
      <c r="U652" s="604"/>
      <c r="V652" s="604"/>
      <c r="W652" s="604"/>
      <c r="X652" s="604"/>
    </row>
    <row r="653" spans="1:24" ht="15.6">
      <c r="A653" s="604"/>
      <c r="B653" s="604"/>
      <c r="C653" s="609"/>
      <c r="D653" s="604"/>
      <c r="E653" s="604"/>
      <c r="F653" s="604"/>
      <c r="G653" s="604"/>
      <c r="H653" s="604"/>
      <c r="I653" s="604"/>
      <c r="J653" s="604"/>
      <c r="K653" s="604"/>
      <c r="L653" s="604"/>
      <c r="M653" s="604"/>
      <c r="N653" s="604"/>
      <c r="O653" s="604"/>
      <c r="P653" s="604"/>
      <c r="Q653" s="604"/>
      <c r="R653" s="604"/>
      <c r="S653" s="604"/>
      <c r="T653" s="604"/>
      <c r="U653" s="604"/>
      <c r="V653" s="604"/>
      <c r="W653" s="604"/>
      <c r="X653" s="604"/>
    </row>
    <row r="654" spans="1:24" ht="15.6">
      <c r="A654" s="604"/>
      <c r="B654" s="604"/>
      <c r="C654" s="609"/>
      <c r="D654" s="604"/>
      <c r="E654" s="604"/>
      <c r="F654" s="604"/>
      <c r="G654" s="604"/>
      <c r="H654" s="604"/>
      <c r="I654" s="604"/>
      <c r="J654" s="604"/>
      <c r="K654" s="604"/>
      <c r="L654" s="604"/>
      <c r="M654" s="604"/>
      <c r="N654" s="604"/>
      <c r="O654" s="604"/>
      <c r="P654" s="604"/>
      <c r="Q654" s="604"/>
      <c r="R654" s="604"/>
      <c r="S654" s="604"/>
      <c r="T654" s="604"/>
      <c r="U654" s="604"/>
      <c r="V654" s="604"/>
      <c r="W654" s="604"/>
      <c r="X654" s="604"/>
    </row>
    <row r="655" spans="1:24" ht="15.6">
      <c r="A655" s="604"/>
      <c r="B655" s="604"/>
      <c r="C655" s="609"/>
      <c r="D655" s="604"/>
      <c r="E655" s="604"/>
      <c r="F655" s="604"/>
      <c r="G655" s="604"/>
      <c r="H655" s="604"/>
      <c r="I655" s="604"/>
      <c r="J655" s="604"/>
      <c r="K655" s="604"/>
      <c r="L655" s="604"/>
      <c r="M655" s="604"/>
      <c r="N655" s="604"/>
      <c r="O655" s="604"/>
      <c r="P655" s="604"/>
      <c r="Q655" s="604"/>
      <c r="R655" s="604"/>
      <c r="S655" s="604"/>
      <c r="T655" s="604"/>
      <c r="U655" s="604"/>
      <c r="V655" s="604"/>
      <c r="W655" s="604"/>
      <c r="X655" s="604"/>
    </row>
    <row r="656" spans="1:24" ht="15.6">
      <c r="A656" s="604"/>
      <c r="B656" s="604"/>
      <c r="C656" s="609"/>
      <c r="D656" s="604"/>
      <c r="E656" s="604"/>
      <c r="F656" s="604"/>
      <c r="G656" s="604"/>
      <c r="H656" s="604"/>
      <c r="I656" s="604"/>
      <c r="J656" s="604"/>
      <c r="K656" s="604"/>
      <c r="L656" s="604"/>
      <c r="M656" s="604"/>
      <c r="N656" s="604"/>
      <c r="O656" s="604"/>
      <c r="P656" s="604"/>
      <c r="Q656" s="604"/>
      <c r="R656" s="604"/>
      <c r="S656" s="604"/>
      <c r="T656" s="604"/>
      <c r="U656" s="604"/>
      <c r="V656" s="604"/>
      <c r="W656" s="604"/>
      <c r="X656" s="604"/>
    </row>
    <row r="657" spans="1:24" ht="15.6">
      <c r="A657" s="604"/>
      <c r="B657" s="604"/>
      <c r="C657" s="609"/>
      <c r="D657" s="604"/>
      <c r="E657" s="604"/>
      <c r="F657" s="604"/>
      <c r="G657" s="604"/>
      <c r="H657" s="604"/>
      <c r="I657" s="604"/>
      <c r="J657" s="604"/>
      <c r="K657" s="604"/>
      <c r="L657" s="604"/>
      <c r="M657" s="604"/>
      <c r="N657" s="604"/>
      <c r="O657" s="604"/>
      <c r="P657" s="604"/>
      <c r="Q657" s="604"/>
      <c r="R657" s="604"/>
      <c r="S657" s="604"/>
      <c r="T657" s="604"/>
      <c r="U657" s="604"/>
      <c r="V657" s="604"/>
      <c r="W657" s="604"/>
      <c r="X657" s="604"/>
    </row>
    <row r="658" spans="1:24" ht="15.6">
      <c r="A658" s="604"/>
      <c r="B658" s="604"/>
      <c r="C658" s="609"/>
      <c r="D658" s="604"/>
      <c r="E658" s="604"/>
      <c r="F658" s="604"/>
      <c r="G658" s="604"/>
      <c r="H658" s="604"/>
      <c r="I658" s="604"/>
      <c r="J658" s="604"/>
      <c r="K658" s="604"/>
      <c r="L658" s="604"/>
      <c r="M658" s="604"/>
      <c r="N658" s="604"/>
      <c r="O658" s="604"/>
      <c r="P658" s="604"/>
      <c r="Q658" s="604"/>
      <c r="R658" s="604"/>
      <c r="S658" s="604"/>
      <c r="T658" s="604"/>
      <c r="U658" s="604"/>
      <c r="V658" s="604"/>
      <c r="W658" s="604"/>
      <c r="X658" s="604"/>
    </row>
    <row r="659" spans="1:24" ht="15.6">
      <c r="A659" s="604"/>
      <c r="B659" s="604"/>
      <c r="C659" s="609"/>
      <c r="D659" s="604"/>
      <c r="E659" s="604"/>
      <c r="F659" s="604"/>
      <c r="G659" s="604"/>
      <c r="H659" s="604"/>
      <c r="I659" s="604"/>
      <c r="J659" s="604"/>
      <c r="K659" s="604"/>
      <c r="L659" s="604"/>
      <c r="M659" s="604"/>
      <c r="N659" s="604"/>
      <c r="O659" s="604"/>
      <c r="P659" s="604"/>
      <c r="Q659" s="604"/>
      <c r="R659" s="604"/>
      <c r="S659" s="604"/>
      <c r="T659" s="604"/>
      <c r="U659" s="604"/>
      <c r="V659" s="604"/>
      <c r="W659" s="604"/>
      <c r="X659" s="604"/>
    </row>
    <row r="660" spans="1:24" ht="15.6">
      <c r="A660" s="604"/>
      <c r="B660" s="604"/>
      <c r="C660" s="609"/>
      <c r="D660" s="604"/>
      <c r="E660" s="604"/>
      <c r="F660" s="604"/>
      <c r="G660" s="604"/>
      <c r="H660" s="604"/>
      <c r="I660" s="604"/>
      <c r="J660" s="604"/>
      <c r="K660" s="604"/>
      <c r="L660" s="604"/>
      <c r="M660" s="604"/>
      <c r="N660" s="604"/>
      <c r="O660" s="604"/>
      <c r="P660" s="604"/>
      <c r="Q660" s="604"/>
      <c r="R660" s="604"/>
      <c r="S660" s="604"/>
      <c r="T660" s="604"/>
      <c r="U660" s="604"/>
      <c r="V660" s="604"/>
      <c r="W660" s="604"/>
      <c r="X660" s="604"/>
    </row>
    <row r="661" spans="1:24" ht="15.6">
      <c r="A661" s="604"/>
      <c r="B661" s="604"/>
      <c r="C661" s="609"/>
      <c r="D661" s="604"/>
      <c r="E661" s="604"/>
      <c r="F661" s="604"/>
      <c r="G661" s="604"/>
      <c r="H661" s="604"/>
      <c r="I661" s="604"/>
      <c r="J661" s="604"/>
      <c r="K661" s="604"/>
      <c r="L661" s="604"/>
      <c r="M661" s="604"/>
      <c r="N661" s="604"/>
      <c r="O661" s="604"/>
      <c r="P661" s="604"/>
      <c r="Q661" s="604"/>
      <c r="R661" s="604"/>
      <c r="S661" s="604"/>
      <c r="T661" s="604"/>
      <c r="U661" s="604"/>
      <c r="V661" s="604"/>
      <c r="W661" s="604"/>
      <c r="X661" s="604"/>
    </row>
    <row r="662" spans="1:24" ht="15.6">
      <c r="A662" s="604"/>
      <c r="B662" s="604"/>
      <c r="C662" s="609"/>
      <c r="D662" s="604"/>
      <c r="E662" s="604"/>
      <c r="F662" s="604"/>
      <c r="G662" s="604"/>
      <c r="H662" s="604"/>
      <c r="I662" s="604"/>
      <c r="J662" s="604"/>
      <c r="K662" s="604"/>
      <c r="L662" s="604"/>
      <c r="M662" s="604"/>
      <c r="N662" s="604"/>
      <c r="O662" s="604"/>
      <c r="P662" s="604"/>
      <c r="Q662" s="604"/>
      <c r="R662" s="604"/>
      <c r="S662" s="604"/>
      <c r="T662" s="604"/>
      <c r="U662" s="604"/>
      <c r="V662" s="604"/>
      <c r="W662" s="604"/>
      <c r="X662" s="604"/>
    </row>
    <row r="663" spans="1:24" ht="15.6">
      <c r="A663" s="604"/>
      <c r="B663" s="604"/>
      <c r="C663" s="609"/>
      <c r="D663" s="604"/>
      <c r="E663" s="604"/>
      <c r="F663" s="604"/>
      <c r="G663" s="604"/>
      <c r="H663" s="604"/>
      <c r="I663" s="604"/>
      <c r="J663" s="604"/>
      <c r="K663" s="604"/>
      <c r="L663" s="604"/>
      <c r="M663" s="604"/>
      <c r="N663" s="604"/>
      <c r="O663" s="604"/>
      <c r="P663" s="604"/>
      <c r="Q663" s="604"/>
      <c r="R663" s="604"/>
      <c r="S663" s="604"/>
      <c r="T663" s="604"/>
      <c r="U663" s="604"/>
      <c r="V663" s="604"/>
      <c r="W663" s="604"/>
      <c r="X663" s="604"/>
    </row>
    <row r="664" spans="1:24" ht="15.6">
      <c r="A664" s="604"/>
      <c r="B664" s="604"/>
      <c r="C664" s="609"/>
      <c r="D664" s="604"/>
      <c r="E664" s="604"/>
      <c r="F664" s="604"/>
      <c r="G664" s="604"/>
      <c r="H664" s="604"/>
      <c r="I664" s="604"/>
      <c r="J664" s="604"/>
      <c r="K664" s="604"/>
      <c r="L664" s="604"/>
      <c r="M664" s="604"/>
      <c r="N664" s="604"/>
      <c r="O664" s="604"/>
      <c r="P664" s="604"/>
      <c r="Q664" s="604"/>
      <c r="R664" s="604"/>
      <c r="S664" s="604"/>
      <c r="T664" s="604"/>
      <c r="U664" s="604"/>
      <c r="V664" s="604"/>
      <c r="W664" s="604"/>
      <c r="X664" s="604"/>
    </row>
    <row r="665" spans="1:24" ht="15.6">
      <c r="A665" s="604"/>
      <c r="B665" s="604"/>
      <c r="C665" s="609"/>
      <c r="D665" s="604"/>
      <c r="E665" s="604"/>
      <c r="F665" s="604"/>
      <c r="G665" s="604"/>
      <c r="H665" s="604"/>
      <c r="I665" s="604"/>
      <c r="J665" s="604"/>
      <c r="K665" s="604"/>
      <c r="L665" s="604"/>
      <c r="M665" s="604"/>
      <c r="N665" s="604"/>
      <c r="O665" s="604"/>
      <c r="P665" s="604"/>
      <c r="Q665" s="604"/>
      <c r="R665" s="604"/>
      <c r="S665" s="604"/>
      <c r="T665" s="604"/>
      <c r="U665" s="604"/>
      <c r="V665" s="604"/>
      <c r="W665" s="604"/>
      <c r="X665" s="604"/>
    </row>
    <row r="666" spans="1:24" ht="15.6">
      <c r="A666" s="604"/>
      <c r="B666" s="604"/>
      <c r="C666" s="609"/>
      <c r="D666" s="604"/>
      <c r="E666" s="604"/>
      <c r="F666" s="604"/>
      <c r="G666" s="604"/>
      <c r="H666" s="604"/>
      <c r="I666" s="604"/>
      <c r="J666" s="604"/>
      <c r="K666" s="604"/>
      <c r="L666" s="604"/>
      <c r="M666" s="604"/>
      <c r="N666" s="604"/>
      <c r="O666" s="604"/>
      <c r="P666" s="604"/>
      <c r="Q666" s="604"/>
      <c r="R666" s="604"/>
      <c r="S666" s="604"/>
      <c r="T666" s="604"/>
      <c r="U666" s="604"/>
      <c r="V666" s="604"/>
      <c r="W666" s="604"/>
      <c r="X666" s="604"/>
    </row>
    <row r="667" spans="1:24" ht="15.6">
      <c r="A667" s="604"/>
      <c r="B667" s="604"/>
      <c r="C667" s="609"/>
      <c r="D667" s="604"/>
      <c r="E667" s="604"/>
      <c r="F667" s="604"/>
      <c r="G667" s="604"/>
      <c r="H667" s="604"/>
      <c r="I667" s="604"/>
      <c r="J667" s="604"/>
      <c r="K667" s="604"/>
      <c r="L667" s="604"/>
      <c r="M667" s="604"/>
      <c r="N667" s="604"/>
      <c r="O667" s="604"/>
      <c r="P667" s="604"/>
      <c r="Q667" s="604"/>
      <c r="R667" s="604"/>
      <c r="S667" s="604"/>
      <c r="T667" s="604"/>
      <c r="U667" s="604"/>
      <c r="V667" s="604"/>
      <c r="W667" s="604"/>
      <c r="X667" s="604"/>
    </row>
    <row r="668" spans="1:24" ht="15.6">
      <c r="A668" s="604"/>
      <c r="B668" s="604"/>
      <c r="C668" s="609"/>
      <c r="D668" s="604"/>
      <c r="E668" s="604"/>
      <c r="F668" s="604"/>
      <c r="G668" s="604"/>
      <c r="H668" s="604"/>
      <c r="I668" s="604"/>
      <c r="J668" s="604"/>
      <c r="K668" s="604"/>
      <c r="L668" s="604"/>
      <c r="M668" s="604"/>
      <c r="N668" s="604"/>
      <c r="O668" s="604"/>
      <c r="P668" s="604"/>
      <c r="Q668" s="604"/>
      <c r="R668" s="604"/>
      <c r="S668" s="604"/>
      <c r="T668" s="604"/>
      <c r="U668" s="604"/>
      <c r="V668" s="604"/>
      <c r="W668" s="604"/>
      <c r="X668" s="604"/>
    </row>
    <row r="669" spans="1:24" ht="15.6">
      <c r="A669" s="604"/>
      <c r="B669" s="604"/>
      <c r="C669" s="609"/>
      <c r="D669" s="604"/>
      <c r="E669" s="604"/>
      <c r="F669" s="604"/>
      <c r="G669" s="604"/>
      <c r="H669" s="604"/>
      <c r="I669" s="604"/>
      <c r="J669" s="604"/>
      <c r="K669" s="604"/>
      <c r="L669" s="604"/>
      <c r="M669" s="604"/>
      <c r="N669" s="604"/>
      <c r="O669" s="604"/>
      <c r="P669" s="604"/>
      <c r="Q669" s="604"/>
      <c r="R669" s="604"/>
      <c r="S669" s="604"/>
      <c r="T669" s="604"/>
      <c r="U669" s="604"/>
      <c r="V669" s="604"/>
      <c r="W669" s="604"/>
      <c r="X669" s="604"/>
    </row>
    <row r="670" spans="1:24" ht="15.6">
      <c r="A670" s="604"/>
      <c r="B670" s="604"/>
      <c r="C670" s="609"/>
      <c r="D670" s="604"/>
      <c r="E670" s="604"/>
      <c r="F670" s="604"/>
      <c r="G670" s="604"/>
      <c r="H670" s="604"/>
      <c r="I670" s="604"/>
      <c r="J670" s="604"/>
      <c r="K670" s="604"/>
      <c r="L670" s="604"/>
      <c r="M670" s="604"/>
      <c r="N670" s="604"/>
      <c r="O670" s="604"/>
      <c r="P670" s="604"/>
      <c r="Q670" s="604"/>
      <c r="R670" s="604"/>
      <c r="S670" s="604"/>
      <c r="T670" s="604"/>
      <c r="U670" s="604"/>
      <c r="V670" s="604"/>
      <c r="W670" s="604"/>
      <c r="X670" s="604"/>
    </row>
    <row r="671" spans="1:24" ht="15.6">
      <c r="A671" s="604"/>
      <c r="B671" s="604"/>
      <c r="C671" s="609"/>
      <c r="D671" s="604"/>
      <c r="E671" s="604"/>
      <c r="F671" s="604"/>
      <c r="G671" s="604"/>
      <c r="H671" s="604"/>
      <c r="I671" s="604"/>
      <c r="J671" s="604"/>
      <c r="K671" s="604"/>
      <c r="L671" s="604"/>
      <c r="M671" s="604"/>
      <c r="N671" s="604"/>
      <c r="O671" s="604"/>
      <c r="P671" s="604"/>
      <c r="Q671" s="604"/>
      <c r="R671" s="604"/>
      <c r="S671" s="604"/>
      <c r="T671" s="604"/>
      <c r="U671" s="604"/>
      <c r="V671" s="604"/>
      <c r="W671" s="604"/>
      <c r="X671" s="604"/>
    </row>
    <row r="672" spans="1:24" ht="15.6">
      <c r="A672" s="604"/>
      <c r="B672" s="604"/>
      <c r="C672" s="609"/>
      <c r="D672" s="604"/>
      <c r="E672" s="604"/>
      <c r="F672" s="604"/>
      <c r="G672" s="604"/>
      <c r="H672" s="604"/>
      <c r="I672" s="604"/>
      <c r="J672" s="604"/>
      <c r="K672" s="604"/>
      <c r="L672" s="604"/>
      <c r="M672" s="604"/>
      <c r="N672" s="604"/>
      <c r="O672" s="604"/>
      <c r="P672" s="604"/>
      <c r="Q672" s="604"/>
      <c r="R672" s="604"/>
      <c r="S672" s="604"/>
      <c r="T672" s="604"/>
      <c r="U672" s="604"/>
      <c r="V672" s="604"/>
      <c r="W672" s="604"/>
      <c r="X672" s="604"/>
    </row>
    <row r="673" spans="1:24" ht="15.6">
      <c r="A673" s="604"/>
      <c r="B673" s="604"/>
      <c r="C673" s="609"/>
      <c r="D673" s="604"/>
      <c r="E673" s="604"/>
      <c r="F673" s="604"/>
      <c r="G673" s="604"/>
      <c r="H673" s="604"/>
      <c r="I673" s="604"/>
      <c r="J673" s="604"/>
      <c r="K673" s="604"/>
      <c r="L673" s="604"/>
      <c r="M673" s="604"/>
      <c r="N673" s="604"/>
      <c r="O673" s="604"/>
      <c r="P673" s="604"/>
      <c r="Q673" s="604"/>
      <c r="R673" s="604"/>
      <c r="S673" s="604"/>
      <c r="T673" s="604"/>
      <c r="U673" s="604"/>
      <c r="V673" s="604"/>
      <c r="W673" s="604"/>
      <c r="X673" s="604"/>
    </row>
    <row r="674" spans="1:24" ht="15.6">
      <c r="A674" s="604"/>
      <c r="B674" s="604"/>
      <c r="C674" s="609"/>
      <c r="D674" s="604"/>
      <c r="E674" s="604"/>
      <c r="F674" s="604"/>
      <c r="G674" s="604"/>
      <c r="H674" s="604"/>
      <c r="I674" s="604"/>
      <c r="J674" s="604"/>
      <c r="K674" s="604"/>
      <c r="L674" s="604"/>
      <c r="M674" s="604"/>
      <c r="N674" s="604"/>
      <c r="O674" s="604"/>
      <c r="P674" s="604"/>
      <c r="Q674" s="604"/>
      <c r="R674" s="604"/>
      <c r="S674" s="604"/>
      <c r="T674" s="604"/>
      <c r="U674" s="604"/>
      <c r="V674" s="604"/>
      <c r="W674" s="604"/>
      <c r="X674" s="604"/>
    </row>
    <row r="675" spans="1:24" ht="15.6">
      <c r="A675" s="604"/>
      <c r="B675" s="604"/>
      <c r="C675" s="609"/>
      <c r="D675" s="604"/>
      <c r="E675" s="604"/>
      <c r="F675" s="604"/>
      <c r="G675" s="604"/>
      <c r="H675" s="604"/>
      <c r="I675" s="604"/>
      <c r="J675" s="604"/>
      <c r="K675" s="604"/>
      <c r="L675" s="604"/>
      <c r="M675" s="604"/>
      <c r="N675" s="604"/>
      <c r="O675" s="604"/>
      <c r="P675" s="604"/>
      <c r="Q675" s="604"/>
      <c r="R675" s="604"/>
      <c r="S675" s="604"/>
      <c r="T675" s="604"/>
      <c r="U675" s="604"/>
      <c r="V675" s="604"/>
      <c r="W675" s="604"/>
      <c r="X675" s="604"/>
    </row>
    <row r="676" spans="1:24" ht="15.6">
      <c r="A676" s="604"/>
      <c r="B676" s="604"/>
      <c r="C676" s="609"/>
      <c r="D676" s="604"/>
      <c r="E676" s="604"/>
      <c r="F676" s="604"/>
      <c r="G676" s="604"/>
      <c r="H676" s="604"/>
      <c r="I676" s="604"/>
      <c r="J676" s="604"/>
      <c r="K676" s="604"/>
      <c r="L676" s="604"/>
      <c r="M676" s="604"/>
      <c r="N676" s="604"/>
      <c r="O676" s="604"/>
      <c r="P676" s="604"/>
      <c r="Q676" s="604"/>
      <c r="R676" s="604"/>
      <c r="S676" s="604"/>
      <c r="T676" s="604"/>
      <c r="U676" s="604"/>
      <c r="V676" s="604"/>
      <c r="W676" s="604"/>
      <c r="X676" s="604"/>
    </row>
    <row r="677" spans="1:24" ht="15.6">
      <c r="A677" s="604"/>
      <c r="B677" s="604"/>
      <c r="C677" s="609"/>
      <c r="D677" s="604"/>
      <c r="E677" s="604"/>
      <c r="F677" s="604"/>
      <c r="G677" s="604"/>
      <c r="H677" s="604"/>
      <c r="I677" s="604"/>
      <c r="J677" s="604"/>
      <c r="K677" s="604"/>
      <c r="L677" s="604"/>
      <c r="M677" s="604"/>
      <c r="N677" s="604"/>
      <c r="O677" s="604"/>
      <c r="P677" s="604"/>
      <c r="Q677" s="604"/>
      <c r="R677" s="604"/>
      <c r="S677" s="604"/>
      <c r="T677" s="604"/>
      <c r="U677" s="604"/>
      <c r="V677" s="604"/>
      <c r="W677" s="604"/>
      <c r="X677" s="604"/>
    </row>
    <row r="678" spans="1:24" ht="15.6">
      <c r="A678" s="604"/>
      <c r="B678" s="604"/>
      <c r="C678" s="609"/>
      <c r="D678" s="604"/>
      <c r="E678" s="604"/>
      <c r="F678" s="604"/>
      <c r="G678" s="604"/>
      <c r="H678" s="604"/>
      <c r="I678" s="604"/>
      <c r="J678" s="604"/>
      <c r="K678" s="604"/>
      <c r="L678" s="604"/>
      <c r="M678" s="604"/>
      <c r="N678" s="604"/>
      <c r="O678" s="604"/>
      <c r="P678" s="604"/>
      <c r="Q678" s="604"/>
      <c r="R678" s="604"/>
      <c r="S678" s="604"/>
      <c r="T678" s="604"/>
      <c r="U678" s="604"/>
      <c r="V678" s="604"/>
      <c r="W678" s="604"/>
      <c r="X678" s="604"/>
    </row>
    <row r="679" spans="1:24" ht="15.6">
      <c r="A679" s="604"/>
      <c r="B679" s="604"/>
      <c r="C679" s="609"/>
      <c r="D679" s="604"/>
      <c r="E679" s="604"/>
      <c r="F679" s="604"/>
      <c r="G679" s="604"/>
      <c r="H679" s="604"/>
      <c r="I679" s="604"/>
      <c r="J679" s="604"/>
      <c r="K679" s="604"/>
      <c r="L679" s="604"/>
      <c r="M679" s="604"/>
      <c r="N679" s="604"/>
      <c r="O679" s="604"/>
      <c r="P679" s="604"/>
      <c r="Q679" s="604"/>
      <c r="R679" s="604"/>
      <c r="S679" s="604"/>
      <c r="T679" s="604"/>
      <c r="U679" s="604"/>
      <c r="V679" s="604"/>
      <c r="W679" s="604"/>
      <c r="X679" s="604"/>
    </row>
    <row r="680" spans="1:24" ht="15.6">
      <c r="A680" s="604"/>
      <c r="B680" s="604"/>
      <c r="C680" s="609"/>
      <c r="D680" s="604"/>
      <c r="E680" s="604"/>
      <c r="F680" s="604"/>
      <c r="G680" s="604"/>
      <c r="H680" s="604"/>
      <c r="I680" s="604"/>
      <c r="J680" s="604"/>
      <c r="K680" s="604"/>
      <c r="L680" s="604"/>
      <c r="M680" s="604"/>
      <c r="N680" s="604"/>
      <c r="O680" s="604"/>
      <c r="P680" s="604"/>
      <c r="Q680" s="604"/>
      <c r="R680" s="604"/>
      <c r="S680" s="604"/>
      <c r="T680" s="604"/>
      <c r="U680" s="604"/>
      <c r="V680" s="604"/>
      <c r="W680" s="604"/>
      <c r="X680" s="604"/>
    </row>
    <row r="681" spans="1:24" ht="15.6">
      <c r="A681" s="604"/>
      <c r="B681" s="604"/>
      <c r="C681" s="609"/>
      <c r="D681" s="604"/>
      <c r="E681" s="604"/>
      <c r="F681" s="604"/>
      <c r="G681" s="604"/>
      <c r="H681" s="604"/>
      <c r="I681" s="604"/>
      <c r="J681" s="604"/>
      <c r="K681" s="604"/>
      <c r="L681" s="604"/>
      <c r="M681" s="604"/>
      <c r="N681" s="604"/>
      <c r="O681" s="604"/>
      <c r="P681" s="604"/>
      <c r="Q681" s="604"/>
      <c r="R681" s="604"/>
      <c r="S681" s="604"/>
      <c r="T681" s="604"/>
      <c r="U681" s="604"/>
      <c r="V681" s="604"/>
      <c r="W681" s="604"/>
      <c r="X681" s="604"/>
    </row>
    <row r="682" spans="1:24" ht="15.6">
      <c r="A682" s="604"/>
      <c r="B682" s="604"/>
      <c r="C682" s="609"/>
      <c r="D682" s="604"/>
      <c r="E682" s="604"/>
      <c r="F682" s="604"/>
      <c r="G682" s="604"/>
      <c r="H682" s="604"/>
      <c r="I682" s="604"/>
      <c r="J682" s="604"/>
      <c r="K682" s="604"/>
      <c r="L682" s="604"/>
      <c r="M682" s="604"/>
      <c r="N682" s="604"/>
      <c r="O682" s="604"/>
      <c r="P682" s="604"/>
      <c r="Q682" s="604"/>
      <c r="R682" s="604"/>
      <c r="S682" s="604"/>
      <c r="T682" s="604"/>
      <c r="U682" s="604"/>
      <c r="V682" s="604"/>
      <c r="W682" s="604"/>
      <c r="X682" s="604"/>
    </row>
    <row r="683" spans="1:24" ht="15.6">
      <c r="A683" s="604"/>
      <c r="B683" s="604"/>
      <c r="C683" s="609"/>
      <c r="D683" s="604"/>
      <c r="E683" s="604"/>
      <c r="F683" s="604"/>
      <c r="G683" s="604"/>
      <c r="H683" s="604"/>
      <c r="I683" s="604"/>
      <c r="J683" s="604"/>
      <c r="K683" s="604"/>
      <c r="L683" s="604"/>
      <c r="M683" s="604"/>
      <c r="N683" s="604"/>
      <c r="O683" s="604"/>
      <c r="P683" s="604"/>
      <c r="Q683" s="604"/>
      <c r="R683" s="604"/>
      <c r="S683" s="604"/>
      <c r="T683" s="604"/>
      <c r="U683" s="604"/>
      <c r="V683" s="604"/>
      <c r="W683" s="604"/>
      <c r="X683" s="604"/>
    </row>
    <row r="684" spans="1:24" ht="15.6">
      <c r="A684" s="604"/>
      <c r="B684" s="604"/>
      <c r="C684" s="609"/>
      <c r="D684" s="604"/>
      <c r="E684" s="604"/>
      <c r="F684" s="604"/>
      <c r="G684" s="604"/>
      <c r="H684" s="604"/>
      <c r="I684" s="604"/>
      <c r="J684" s="604"/>
      <c r="K684" s="604"/>
      <c r="L684" s="604"/>
      <c r="M684" s="604"/>
      <c r="N684" s="604"/>
      <c r="O684" s="604"/>
      <c r="P684" s="604"/>
      <c r="Q684" s="604"/>
      <c r="R684" s="604"/>
      <c r="S684" s="604"/>
      <c r="T684" s="604"/>
      <c r="U684" s="604"/>
      <c r="V684" s="604"/>
      <c r="W684" s="604"/>
      <c r="X684" s="604"/>
    </row>
    <row r="685" spans="1:24" ht="15.6">
      <c r="A685" s="604"/>
      <c r="B685" s="604"/>
      <c r="C685" s="609"/>
      <c r="D685" s="604"/>
      <c r="E685" s="604"/>
      <c r="F685" s="604"/>
      <c r="G685" s="604"/>
      <c r="H685" s="604"/>
      <c r="I685" s="604"/>
      <c r="J685" s="604"/>
      <c r="K685" s="604"/>
      <c r="L685" s="604"/>
      <c r="M685" s="604"/>
      <c r="N685" s="604"/>
      <c r="O685" s="604"/>
      <c r="P685" s="604"/>
      <c r="Q685" s="604"/>
      <c r="R685" s="604"/>
      <c r="S685" s="604"/>
      <c r="T685" s="604"/>
      <c r="U685" s="604"/>
      <c r="V685" s="604"/>
      <c r="W685" s="604"/>
      <c r="X685" s="604"/>
    </row>
    <row r="686" spans="1:24" ht="15.6">
      <c r="A686" s="604"/>
      <c r="B686" s="604"/>
      <c r="C686" s="609"/>
      <c r="D686" s="604"/>
      <c r="E686" s="604"/>
      <c r="F686" s="604"/>
      <c r="G686" s="604"/>
      <c r="H686" s="604"/>
      <c r="I686" s="604"/>
      <c r="J686" s="604"/>
      <c r="K686" s="604"/>
      <c r="L686" s="604"/>
      <c r="M686" s="604"/>
      <c r="N686" s="604"/>
      <c r="O686" s="604"/>
      <c r="P686" s="604"/>
      <c r="Q686" s="604"/>
      <c r="R686" s="604"/>
      <c r="S686" s="604"/>
      <c r="T686" s="604"/>
      <c r="U686" s="604"/>
      <c r="V686" s="604"/>
      <c r="W686" s="604"/>
      <c r="X686" s="604"/>
    </row>
    <row r="687" spans="1:24" ht="15.6">
      <c r="A687" s="604"/>
      <c r="B687" s="604"/>
      <c r="C687" s="609"/>
      <c r="D687" s="604"/>
      <c r="E687" s="604"/>
      <c r="F687" s="604"/>
      <c r="G687" s="604"/>
      <c r="H687" s="604"/>
      <c r="I687" s="604"/>
      <c r="J687" s="604"/>
      <c r="K687" s="604"/>
      <c r="L687" s="604"/>
      <c r="M687" s="604"/>
      <c r="N687" s="604"/>
      <c r="O687" s="604"/>
      <c r="P687" s="604"/>
      <c r="Q687" s="604"/>
      <c r="R687" s="604"/>
      <c r="S687" s="604"/>
      <c r="T687" s="604"/>
      <c r="U687" s="604"/>
      <c r="V687" s="604"/>
      <c r="W687" s="604"/>
      <c r="X687" s="604"/>
    </row>
    <row r="688" spans="1:24" ht="15.6">
      <c r="A688" s="604"/>
      <c r="B688" s="604"/>
      <c r="C688" s="609"/>
      <c r="D688" s="604"/>
      <c r="E688" s="604"/>
      <c r="F688" s="604"/>
      <c r="G688" s="604"/>
      <c r="H688" s="604"/>
      <c r="I688" s="604"/>
      <c r="J688" s="604"/>
      <c r="K688" s="604"/>
      <c r="L688" s="604"/>
      <c r="M688" s="604"/>
      <c r="N688" s="604"/>
      <c r="O688" s="604"/>
      <c r="P688" s="604"/>
      <c r="Q688" s="604"/>
      <c r="R688" s="604"/>
      <c r="S688" s="604"/>
      <c r="T688" s="604"/>
      <c r="U688" s="604"/>
      <c r="V688" s="604"/>
      <c r="W688" s="604"/>
      <c r="X688" s="604"/>
    </row>
    <row r="689" spans="1:24" ht="15.6">
      <c r="A689" s="604"/>
      <c r="B689" s="604"/>
      <c r="C689" s="609"/>
      <c r="D689" s="604"/>
      <c r="E689" s="604"/>
      <c r="F689" s="604"/>
      <c r="G689" s="604"/>
      <c r="H689" s="604"/>
      <c r="I689" s="604"/>
      <c r="J689" s="604"/>
      <c r="K689" s="604"/>
      <c r="L689" s="604"/>
      <c r="M689" s="604"/>
      <c r="N689" s="604"/>
      <c r="O689" s="604"/>
      <c r="P689" s="604"/>
      <c r="Q689" s="604"/>
      <c r="R689" s="604"/>
      <c r="S689" s="604"/>
      <c r="T689" s="604"/>
      <c r="U689" s="604"/>
      <c r="V689" s="604"/>
      <c r="W689" s="604"/>
      <c r="X689" s="604"/>
    </row>
    <row r="690" spans="1:24" ht="15.6">
      <c r="A690" s="604"/>
      <c r="B690" s="604"/>
      <c r="C690" s="609"/>
      <c r="D690" s="604"/>
      <c r="E690" s="604"/>
      <c r="F690" s="604"/>
      <c r="G690" s="604"/>
      <c r="H690" s="604"/>
      <c r="I690" s="604"/>
      <c r="J690" s="604"/>
      <c r="K690" s="604"/>
      <c r="L690" s="604"/>
      <c r="M690" s="604"/>
      <c r="N690" s="604"/>
      <c r="O690" s="604"/>
      <c r="P690" s="604"/>
      <c r="Q690" s="604"/>
      <c r="R690" s="604"/>
      <c r="S690" s="604"/>
      <c r="T690" s="604"/>
      <c r="U690" s="604"/>
      <c r="V690" s="604"/>
      <c r="W690" s="604"/>
      <c r="X690" s="604"/>
    </row>
    <row r="691" spans="1:24" ht="15.6">
      <c r="A691" s="604"/>
      <c r="B691" s="604"/>
      <c r="C691" s="609"/>
      <c r="D691" s="604"/>
      <c r="E691" s="604"/>
      <c r="F691" s="604"/>
      <c r="G691" s="604"/>
      <c r="H691" s="604"/>
      <c r="I691" s="604"/>
      <c r="J691" s="604"/>
      <c r="K691" s="604"/>
      <c r="L691" s="604"/>
      <c r="M691" s="604"/>
      <c r="N691" s="604"/>
      <c r="O691" s="604"/>
      <c r="P691" s="604"/>
      <c r="Q691" s="604"/>
      <c r="R691" s="604"/>
      <c r="S691" s="604"/>
      <c r="T691" s="604"/>
      <c r="U691" s="604"/>
      <c r="V691" s="604"/>
      <c r="W691" s="604"/>
      <c r="X691" s="604"/>
    </row>
    <row r="692" spans="1:24" ht="15.6">
      <c r="A692" s="604"/>
      <c r="B692" s="604"/>
      <c r="C692" s="609"/>
      <c r="D692" s="604"/>
      <c r="E692" s="604"/>
      <c r="F692" s="604"/>
      <c r="G692" s="604"/>
      <c r="H692" s="604"/>
      <c r="I692" s="604"/>
      <c r="J692" s="604"/>
      <c r="K692" s="604"/>
      <c r="L692" s="604"/>
      <c r="M692" s="604"/>
      <c r="N692" s="604"/>
      <c r="O692" s="604"/>
      <c r="P692" s="604"/>
      <c r="Q692" s="604"/>
      <c r="R692" s="604"/>
      <c r="S692" s="604"/>
      <c r="T692" s="604"/>
      <c r="U692" s="604"/>
      <c r="V692" s="604"/>
      <c r="W692" s="604"/>
      <c r="X692" s="604"/>
    </row>
    <row r="693" spans="1:24" ht="15.6">
      <c r="A693" s="604"/>
      <c r="B693" s="604"/>
      <c r="C693" s="609"/>
      <c r="D693" s="604"/>
      <c r="E693" s="604"/>
      <c r="F693" s="604"/>
      <c r="G693" s="604"/>
      <c r="H693" s="604"/>
      <c r="I693" s="604"/>
      <c r="J693" s="604"/>
      <c r="K693" s="604"/>
      <c r="L693" s="604"/>
      <c r="M693" s="604"/>
      <c r="N693" s="604"/>
      <c r="O693" s="604"/>
      <c r="P693" s="604"/>
      <c r="Q693" s="604"/>
      <c r="R693" s="604"/>
      <c r="S693" s="604"/>
      <c r="T693" s="604"/>
      <c r="U693" s="604"/>
      <c r="V693" s="604"/>
      <c r="W693" s="604"/>
      <c r="X693" s="604"/>
    </row>
    <row r="694" spans="1:24" ht="15.6">
      <c r="A694" s="604"/>
      <c r="B694" s="604"/>
      <c r="C694" s="609"/>
      <c r="D694" s="604"/>
      <c r="E694" s="604"/>
      <c r="F694" s="604"/>
      <c r="G694" s="604"/>
      <c r="H694" s="604"/>
      <c r="I694" s="604"/>
      <c r="J694" s="604"/>
      <c r="K694" s="604"/>
      <c r="L694" s="604"/>
      <c r="M694" s="604"/>
      <c r="N694" s="604"/>
      <c r="O694" s="604"/>
      <c r="P694" s="604"/>
      <c r="Q694" s="604"/>
      <c r="R694" s="604"/>
      <c r="S694" s="604"/>
      <c r="T694" s="604"/>
      <c r="U694" s="604"/>
      <c r="V694" s="604"/>
      <c r="W694" s="604"/>
      <c r="X694" s="604"/>
    </row>
    <row r="695" spans="1:24" ht="15.6">
      <c r="A695" s="604"/>
      <c r="B695" s="604"/>
      <c r="C695" s="609"/>
      <c r="D695" s="604"/>
      <c r="E695" s="604"/>
      <c r="F695" s="604"/>
      <c r="G695" s="604"/>
      <c r="H695" s="604"/>
      <c r="I695" s="604"/>
      <c r="J695" s="604"/>
      <c r="K695" s="604"/>
      <c r="L695" s="604"/>
      <c r="M695" s="604"/>
      <c r="N695" s="604"/>
      <c r="O695" s="604"/>
      <c r="P695" s="604"/>
      <c r="Q695" s="604"/>
      <c r="R695" s="604"/>
      <c r="S695" s="604"/>
      <c r="T695" s="604"/>
      <c r="U695" s="604"/>
      <c r="V695" s="604"/>
      <c r="W695" s="604"/>
      <c r="X695" s="604"/>
    </row>
    <row r="696" spans="1:24" ht="15.6">
      <c r="A696" s="604"/>
      <c r="B696" s="604"/>
      <c r="C696" s="609"/>
      <c r="D696" s="604"/>
      <c r="E696" s="604"/>
      <c r="F696" s="604"/>
      <c r="G696" s="604"/>
      <c r="H696" s="604"/>
      <c r="I696" s="604"/>
      <c r="J696" s="604"/>
      <c r="K696" s="604"/>
      <c r="L696" s="604"/>
      <c r="M696" s="604"/>
      <c r="N696" s="604"/>
      <c r="O696" s="604"/>
      <c r="P696" s="604"/>
      <c r="Q696" s="604"/>
      <c r="R696" s="604"/>
      <c r="S696" s="604"/>
      <c r="T696" s="604"/>
      <c r="U696" s="604"/>
      <c r="V696" s="604"/>
      <c r="W696" s="604"/>
      <c r="X696" s="604"/>
    </row>
    <row r="697" spans="1:24" ht="15.6">
      <c r="A697" s="604"/>
      <c r="B697" s="604"/>
      <c r="C697" s="609"/>
      <c r="D697" s="604"/>
      <c r="E697" s="604"/>
      <c r="F697" s="604"/>
      <c r="G697" s="604"/>
      <c r="H697" s="604"/>
      <c r="I697" s="604"/>
      <c r="J697" s="604"/>
      <c r="K697" s="604"/>
      <c r="L697" s="604"/>
      <c r="M697" s="604"/>
      <c r="N697" s="604"/>
      <c r="O697" s="604"/>
      <c r="P697" s="604"/>
      <c r="Q697" s="604"/>
      <c r="R697" s="604"/>
      <c r="S697" s="604"/>
      <c r="T697" s="604"/>
      <c r="U697" s="604"/>
      <c r="V697" s="604"/>
      <c r="W697" s="604"/>
      <c r="X697" s="604"/>
    </row>
    <row r="698" spans="1:24" ht="15.6">
      <c r="A698" s="604"/>
      <c r="B698" s="604"/>
      <c r="C698" s="609"/>
      <c r="D698" s="604"/>
      <c r="E698" s="604"/>
      <c r="F698" s="604"/>
      <c r="G698" s="604"/>
      <c r="H698" s="604"/>
      <c r="I698" s="604"/>
      <c r="J698" s="604"/>
      <c r="K698" s="604"/>
      <c r="L698" s="604"/>
      <c r="M698" s="604"/>
      <c r="N698" s="604"/>
      <c r="O698" s="604"/>
      <c r="P698" s="604"/>
      <c r="Q698" s="604"/>
      <c r="R698" s="604"/>
      <c r="S698" s="604"/>
      <c r="T698" s="604"/>
      <c r="U698" s="604"/>
      <c r="V698" s="604"/>
      <c r="W698" s="604"/>
      <c r="X698" s="604"/>
    </row>
    <row r="699" spans="1:24" ht="15.6">
      <c r="A699" s="604"/>
      <c r="B699" s="604"/>
      <c r="C699" s="609"/>
      <c r="D699" s="604"/>
      <c r="E699" s="604"/>
      <c r="F699" s="604"/>
      <c r="G699" s="604"/>
      <c r="H699" s="604"/>
      <c r="I699" s="604"/>
      <c r="J699" s="604"/>
      <c r="K699" s="604"/>
      <c r="L699" s="604"/>
      <c r="M699" s="604"/>
      <c r="N699" s="604"/>
      <c r="O699" s="604"/>
      <c r="P699" s="604"/>
      <c r="Q699" s="604"/>
      <c r="R699" s="604"/>
      <c r="S699" s="604"/>
      <c r="T699" s="604"/>
      <c r="U699" s="604"/>
      <c r="V699" s="604"/>
      <c r="W699" s="604"/>
      <c r="X699" s="604"/>
    </row>
    <row r="700" spans="1:24" ht="15.6">
      <c r="A700" s="604"/>
      <c r="B700" s="604"/>
      <c r="C700" s="609"/>
      <c r="D700" s="604"/>
      <c r="E700" s="604"/>
      <c r="F700" s="604"/>
      <c r="G700" s="604"/>
      <c r="H700" s="604"/>
      <c r="I700" s="604"/>
      <c r="J700" s="604"/>
      <c r="K700" s="604"/>
      <c r="L700" s="604"/>
      <c r="M700" s="604"/>
      <c r="N700" s="604"/>
      <c r="O700" s="604"/>
      <c r="P700" s="604"/>
      <c r="Q700" s="604"/>
      <c r="R700" s="604"/>
      <c r="S700" s="604"/>
      <c r="T700" s="604"/>
      <c r="U700" s="604"/>
      <c r="V700" s="604"/>
      <c r="W700" s="604"/>
      <c r="X700" s="604"/>
    </row>
    <row r="701" spans="1:24" ht="15.6">
      <c r="A701" s="604"/>
      <c r="B701" s="604"/>
      <c r="C701" s="609"/>
      <c r="D701" s="604"/>
      <c r="E701" s="604"/>
      <c r="F701" s="604"/>
      <c r="G701" s="604"/>
      <c r="H701" s="604"/>
      <c r="I701" s="604"/>
      <c r="J701" s="604"/>
      <c r="K701" s="604"/>
      <c r="L701" s="604"/>
      <c r="M701" s="604"/>
      <c r="N701" s="604"/>
      <c r="O701" s="604"/>
      <c r="P701" s="604"/>
      <c r="Q701" s="604"/>
      <c r="R701" s="604"/>
      <c r="S701" s="604"/>
      <c r="T701" s="604"/>
      <c r="U701" s="604"/>
      <c r="V701" s="604"/>
      <c r="W701" s="604"/>
      <c r="X701" s="604"/>
    </row>
    <row r="702" spans="1:24" ht="15.6">
      <c r="A702" s="604"/>
      <c r="B702" s="604"/>
      <c r="C702" s="609"/>
      <c r="D702" s="604"/>
      <c r="E702" s="604"/>
      <c r="F702" s="604"/>
      <c r="G702" s="604"/>
      <c r="H702" s="604"/>
      <c r="I702" s="604"/>
      <c r="J702" s="604"/>
      <c r="K702" s="604"/>
      <c r="L702" s="604"/>
      <c r="M702" s="604"/>
      <c r="N702" s="604"/>
      <c r="O702" s="604"/>
      <c r="P702" s="604"/>
      <c r="Q702" s="604"/>
      <c r="R702" s="604"/>
      <c r="S702" s="604"/>
      <c r="T702" s="604"/>
      <c r="U702" s="604"/>
      <c r="V702" s="604"/>
      <c r="W702" s="604"/>
      <c r="X702" s="604"/>
    </row>
    <row r="703" spans="1:24" ht="15.6">
      <c r="A703" s="604"/>
      <c r="B703" s="604"/>
      <c r="C703" s="609"/>
      <c r="D703" s="604"/>
      <c r="E703" s="604"/>
      <c r="F703" s="604"/>
      <c r="G703" s="604"/>
      <c r="H703" s="604"/>
      <c r="I703" s="604"/>
      <c r="J703" s="604"/>
      <c r="K703" s="604"/>
      <c r="L703" s="604"/>
      <c r="M703" s="604"/>
      <c r="N703" s="604"/>
      <c r="O703" s="604"/>
      <c r="P703" s="604"/>
      <c r="Q703" s="604"/>
      <c r="R703" s="604"/>
      <c r="S703" s="604"/>
      <c r="T703" s="604"/>
      <c r="U703" s="604"/>
      <c r="V703" s="604"/>
      <c r="W703" s="604"/>
      <c r="X703" s="604"/>
    </row>
    <row r="704" spans="1:24" ht="15.6">
      <c r="A704" s="604"/>
      <c r="B704" s="604"/>
      <c r="C704" s="609"/>
      <c r="D704" s="604"/>
      <c r="E704" s="604"/>
      <c r="F704" s="604"/>
      <c r="G704" s="604"/>
      <c r="H704" s="604"/>
      <c r="I704" s="604"/>
      <c r="J704" s="604"/>
      <c r="K704" s="604"/>
      <c r="L704" s="604"/>
      <c r="M704" s="604"/>
      <c r="N704" s="604"/>
      <c r="O704" s="604"/>
      <c r="P704" s="604"/>
      <c r="Q704" s="604"/>
      <c r="R704" s="604"/>
      <c r="S704" s="604"/>
      <c r="T704" s="604"/>
      <c r="U704" s="604"/>
      <c r="V704" s="604"/>
      <c r="W704" s="604"/>
      <c r="X704" s="604"/>
    </row>
    <row r="705" spans="1:24" ht="15.6">
      <c r="A705" s="604"/>
      <c r="B705" s="604"/>
      <c r="C705" s="609"/>
      <c r="D705" s="604"/>
      <c r="E705" s="604"/>
      <c r="F705" s="604"/>
      <c r="G705" s="604"/>
      <c r="H705" s="604"/>
      <c r="I705" s="604"/>
      <c r="J705" s="604"/>
      <c r="K705" s="604"/>
      <c r="L705" s="604"/>
      <c r="M705" s="604"/>
      <c r="N705" s="604"/>
      <c r="O705" s="604"/>
      <c r="P705" s="604"/>
      <c r="Q705" s="604"/>
      <c r="R705" s="604"/>
      <c r="S705" s="604"/>
      <c r="T705" s="604"/>
      <c r="U705" s="604"/>
      <c r="V705" s="604"/>
      <c r="W705" s="604"/>
      <c r="X705" s="604"/>
    </row>
    <row r="706" spans="1:24" ht="15.6">
      <c r="A706" s="604"/>
      <c r="B706" s="604"/>
      <c r="C706" s="609"/>
      <c r="D706" s="604"/>
      <c r="E706" s="604"/>
      <c r="F706" s="604"/>
      <c r="G706" s="604"/>
      <c r="H706" s="604"/>
      <c r="I706" s="604"/>
      <c r="J706" s="604"/>
      <c r="K706" s="604"/>
      <c r="L706" s="604"/>
      <c r="M706" s="604"/>
      <c r="N706" s="604"/>
      <c r="O706" s="604"/>
      <c r="P706" s="604"/>
      <c r="Q706" s="604"/>
      <c r="R706" s="604"/>
      <c r="S706" s="604"/>
      <c r="T706" s="604"/>
      <c r="U706" s="604"/>
      <c r="V706" s="604"/>
      <c r="W706" s="604"/>
      <c r="X706" s="604"/>
    </row>
    <row r="707" spans="1:24" ht="15.6">
      <c r="A707" s="604"/>
      <c r="B707" s="604"/>
      <c r="C707" s="609"/>
      <c r="D707" s="604"/>
      <c r="E707" s="604"/>
      <c r="F707" s="604"/>
      <c r="G707" s="604"/>
      <c r="H707" s="604"/>
      <c r="I707" s="604"/>
      <c r="J707" s="604"/>
      <c r="K707" s="604"/>
      <c r="L707" s="604"/>
      <c r="M707" s="604"/>
      <c r="N707" s="604"/>
      <c r="O707" s="604"/>
      <c r="P707" s="604"/>
      <c r="Q707" s="604"/>
      <c r="R707" s="604"/>
      <c r="S707" s="604"/>
      <c r="T707" s="604"/>
      <c r="U707" s="604"/>
      <c r="V707" s="604"/>
      <c r="W707" s="604"/>
      <c r="X707" s="604"/>
    </row>
    <row r="708" spans="1:24" ht="15.6">
      <c r="A708" s="604"/>
      <c r="B708" s="604"/>
      <c r="C708" s="609"/>
      <c r="D708" s="604"/>
      <c r="E708" s="604"/>
      <c r="F708" s="604"/>
      <c r="G708" s="604"/>
      <c r="H708" s="604"/>
      <c r="I708" s="604"/>
      <c r="J708" s="604"/>
      <c r="K708" s="604"/>
      <c r="L708" s="604"/>
      <c r="M708" s="604"/>
      <c r="N708" s="604"/>
      <c r="O708" s="604"/>
      <c r="P708" s="604"/>
      <c r="Q708" s="604"/>
      <c r="R708" s="604"/>
      <c r="S708" s="604"/>
      <c r="T708" s="604"/>
      <c r="U708" s="604"/>
      <c r="V708" s="604"/>
      <c r="W708" s="604"/>
      <c r="X708" s="604"/>
    </row>
    <row r="709" spans="1:24" ht="15.6">
      <c r="A709" s="604"/>
      <c r="B709" s="604"/>
      <c r="C709" s="609"/>
      <c r="D709" s="604"/>
      <c r="E709" s="604"/>
      <c r="F709" s="604"/>
      <c r="G709" s="604"/>
      <c r="H709" s="604"/>
      <c r="I709" s="604"/>
      <c r="J709" s="604"/>
      <c r="K709" s="604"/>
      <c r="L709" s="604"/>
      <c r="M709" s="604"/>
      <c r="N709" s="604"/>
      <c r="O709" s="604"/>
      <c r="P709" s="604"/>
      <c r="Q709" s="604"/>
      <c r="R709" s="604"/>
      <c r="S709" s="604"/>
      <c r="T709" s="604"/>
      <c r="U709" s="604"/>
      <c r="V709" s="604"/>
      <c r="W709" s="604"/>
      <c r="X709" s="604"/>
    </row>
    <row r="710" spans="1:24" ht="15.6">
      <c r="A710" s="604"/>
      <c r="B710" s="604"/>
      <c r="C710" s="609"/>
      <c r="D710" s="604"/>
      <c r="E710" s="604"/>
      <c r="F710" s="604"/>
      <c r="G710" s="604"/>
      <c r="H710" s="604"/>
      <c r="I710" s="604"/>
      <c r="J710" s="604"/>
      <c r="K710" s="604"/>
      <c r="L710" s="604"/>
      <c r="M710" s="604"/>
      <c r="N710" s="604"/>
      <c r="O710" s="604"/>
      <c r="P710" s="604"/>
      <c r="Q710" s="604"/>
      <c r="R710" s="604"/>
      <c r="S710" s="604"/>
      <c r="T710" s="604"/>
      <c r="U710" s="604"/>
      <c r="V710" s="604"/>
      <c r="W710" s="604"/>
      <c r="X710" s="604"/>
    </row>
    <row r="711" spans="1:24" ht="15.6">
      <c r="A711" s="604"/>
      <c r="B711" s="604"/>
      <c r="C711" s="609"/>
      <c r="D711" s="604"/>
      <c r="E711" s="604"/>
      <c r="F711" s="604"/>
      <c r="G711" s="604"/>
      <c r="H711" s="604"/>
      <c r="I711" s="604"/>
      <c r="J711" s="604"/>
      <c r="K711" s="604"/>
      <c r="L711" s="604"/>
      <c r="M711" s="604"/>
      <c r="N711" s="604"/>
      <c r="O711" s="604"/>
      <c r="P711" s="604"/>
      <c r="Q711" s="604"/>
      <c r="R711" s="604"/>
      <c r="S711" s="604"/>
      <c r="T711" s="604"/>
      <c r="U711" s="604"/>
      <c r="V711" s="604"/>
      <c r="W711" s="604"/>
      <c r="X711" s="604"/>
    </row>
    <row r="712" spans="1:24" ht="15.6">
      <c r="A712" s="604"/>
      <c r="B712" s="604"/>
      <c r="C712" s="609"/>
      <c r="D712" s="604"/>
      <c r="E712" s="604"/>
      <c r="F712" s="604"/>
      <c r="G712" s="604"/>
      <c r="H712" s="604"/>
      <c r="I712" s="604"/>
      <c r="J712" s="604"/>
      <c r="K712" s="604"/>
      <c r="L712" s="604"/>
      <c r="M712" s="604"/>
      <c r="N712" s="604"/>
      <c r="O712" s="604"/>
      <c r="P712" s="604"/>
      <c r="Q712" s="604"/>
      <c r="R712" s="604"/>
      <c r="S712" s="604"/>
      <c r="T712" s="604"/>
      <c r="U712" s="604"/>
      <c r="V712" s="604"/>
      <c r="W712" s="604"/>
      <c r="X712" s="604"/>
    </row>
    <row r="713" spans="1:24" ht="15.6">
      <c r="A713" s="604"/>
      <c r="B713" s="604"/>
      <c r="C713" s="609"/>
      <c r="D713" s="604"/>
      <c r="E713" s="604"/>
      <c r="F713" s="604"/>
      <c r="G713" s="604"/>
      <c r="H713" s="604"/>
      <c r="I713" s="604"/>
      <c r="J713" s="604"/>
      <c r="K713" s="604"/>
      <c r="L713" s="604"/>
      <c r="M713" s="604"/>
      <c r="N713" s="604"/>
      <c r="O713" s="604"/>
      <c r="P713" s="604"/>
      <c r="Q713" s="604"/>
      <c r="R713" s="604"/>
      <c r="S713" s="604"/>
      <c r="T713" s="604"/>
      <c r="U713" s="604"/>
      <c r="V713" s="604"/>
      <c r="W713" s="604"/>
      <c r="X713" s="604"/>
    </row>
    <row r="714" spans="1:24" ht="15.6">
      <c r="A714" s="604"/>
      <c r="B714" s="604"/>
      <c r="C714" s="609"/>
      <c r="D714" s="604"/>
      <c r="E714" s="604"/>
      <c r="F714" s="604"/>
      <c r="G714" s="604"/>
      <c r="H714" s="604"/>
      <c r="I714" s="604"/>
      <c r="J714" s="604"/>
      <c r="K714" s="604"/>
      <c r="L714" s="604"/>
      <c r="M714" s="604"/>
      <c r="N714" s="604"/>
      <c r="O714" s="604"/>
      <c r="P714" s="604"/>
      <c r="Q714" s="604"/>
      <c r="R714" s="604"/>
      <c r="S714" s="604"/>
      <c r="T714" s="604"/>
      <c r="U714" s="604"/>
      <c r="V714" s="604"/>
      <c r="W714" s="604"/>
      <c r="X714" s="604"/>
    </row>
    <row r="715" spans="1:24" ht="15.6">
      <c r="A715" s="604"/>
      <c r="B715" s="604"/>
      <c r="C715" s="609"/>
      <c r="D715" s="604"/>
      <c r="E715" s="604"/>
      <c r="F715" s="604"/>
      <c r="G715" s="604"/>
      <c r="H715" s="604"/>
      <c r="I715" s="604"/>
      <c r="J715" s="604"/>
      <c r="K715" s="604"/>
      <c r="L715" s="604"/>
      <c r="M715" s="604"/>
      <c r="N715" s="604"/>
      <c r="O715" s="604"/>
      <c r="P715" s="604"/>
      <c r="Q715" s="604"/>
      <c r="R715" s="604"/>
      <c r="S715" s="604"/>
      <c r="T715" s="604"/>
      <c r="U715" s="604"/>
      <c r="V715" s="604"/>
      <c r="W715" s="604"/>
      <c r="X715" s="604"/>
    </row>
    <row r="716" spans="1:24" ht="15.6">
      <c r="A716" s="604"/>
      <c r="B716" s="604"/>
      <c r="C716" s="609"/>
      <c r="D716" s="604"/>
      <c r="E716" s="604"/>
      <c r="F716" s="604"/>
      <c r="G716" s="604"/>
      <c r="H716" s="604"/>
      <c r="I716" s="604"/>
      <c r="J716" s="604"/>
      <c r="K716" s="604"/>
      <c r="L716" s="604"/>
      <c r="M716" s="604"/>
      <c r="N716" s="604"/>
      <c r="O716" s="604"/>
      <c r="P716" s="604"/>
      <c r="Q716" s="604"/>
      <c r="R716" s="604"/>
      <c r="S716" s="604"/>
      <c r="T716" s="604"/>
      <c r="U716" s="604"/>
      <c r="V716" s="604"/>
      <c r="W716" s="604"/>
      <c r="X716" s="604"/>
    </row>
    <row r="717" spans="1:24" ht="15.6">
      <c r="A717" s="604"/>
      <c r="B717" s="604"/>
      <c r="C717" s="609"/>
      <c r="D717" s="604"/>
      <c r="E717" s="604"/>
      <c r="F717" s="604"/>
      <c r="G717" s="604"/>
      <c r="H717" s="604"/>
      <c r="I717" s="604"/>
      <c r="J717" s="604"/>
      <c r="K717" s="604"/>
      <c r="L717" s="604"/>
      <c r="M717" s="604"/>
      <c r="N717" s="604"/>
      <c r="O717" s="604"/>
      <c r="P717" s="604"/>
      <c r="Q717" s="604"/>
      <c r="R717" s="604"/>
      <c r="S717" s="604"/>
      <c r="T717" s="604"/>
      <c r="U717" s="604"/>
      <c r="V717" s="604"/>
      <c r="W717" s="604"/>
      <c r="X717" s="604"/>
    </row>
    <row r="718" spans="1:24" ht="15.6">
      <c r="A718" s="604"/>
      <c r="B718" s="604"/>
      <c r="C718" s="609"/>
      <c r="D718" s="604"/>
      <c r="E718" s="604"/>
      <c r="F718" s="604"/>
      <c r="G718" s="604"/>
      <c r="H718" s="604"/>
      <c r="I718" s="604"/>
      <c r="J718" s="604"/>
      <c r="K718" s="604"/>
      <c r="L718" s="604"/>
      <c r="M718" s="604"/>
      <c r="N718" s="604"/>
      <c r="O718" s="604"/>
      <c r="P718" s="604"/>
      <c r="Q718" s="604"/>
      <c r="R718" s="604"/>
      <c r="S718" s="604"/>
      <c r="T718" s="604"/>
      <c r="U718" s="604"/>
      <c r="V718" s="604"/>
      <c r="W718" s="604"/>
      <c r="X718" s="604"/>
    </row>
    <row r="719" spans="1:24" ht="15.6">
      <c r="A719" s="604"/>
      <c r="B719" s="604"/>
      <c r="C719" s="609"/>
      <c r="D719" s="604"/>
      <c r="E719" s="604"/>
      <c r="F719" s="604"/>
      <c r="G719" s="604"/>
      <c r="H719" s="604"/>
      <c r="I719" s="604"/>
      <c r="J719" s="604"/>
      <c r="K719" s="604"/>
      <c r="L719" s="604"/>
      <c r="M719" s="604"/>
      <c r="N719" s="604"/>
      <c r="O719" s="604"/>
      <c r="P719" s="604"/>
      <c r="Q719" s="604"/>
      <c r="R719" s="604"/>
      <c r="S719" s="604"/>
      <c r="T719" s="604"/>
      <c r="U719" s="604"/>
      <c r="V719" s="604"/>
      <c r="W719" s="604"/>
      <c r="X719" s="604"/>
    </row>
    <row r="720" spans="1:24" ht="15.6">
      <c r="A720" s="604"/>
      <c r="B720" s="604"/>
      <c r="C720" s="609"/>
      <c r="D720" s="604"/>
      <c r="E720" s="604"/>
      <c r="F720" s="604"/>
      <c r="G720" s="604"/>
      <c r="H720" s="604"/>
      <c r="I720" s="604"/>
      <c r="J720" s="604"/>
      <c r="K720" s="604"/>
      <c r="L720" s="604"/>
      <c r="M720" s="604"/>
      <c r="N720" s="604"/>
      <c r="O720" s="604"/>
      <c r="P720" s="604"/>
      <c r="Q720" s="604"/>
      <c r="R720" s="604"/>
      <c r="S720" s="604"/>
      <c r="T720" s="604"/>
      <c r="U720" s="604"/>
      <c r="V720" s="604"/>
      <c r="W720" s="604"/>
      <c r="X720" s="604"/>
    </row>
    <row r="721" spans="1:24" ht="15.6">
      <c r="A721" s="604"/>
      <c r="B721" s="604"/>
      <c r="C721" s="609"/>
      <c r="D721" s="604"/>
      <c r="E721" s="604"/>
      <c r="F721" s="604"/>
      <c r="G721" s="604"/>
      <c r="H721" s="604"/>
      <c r="I721" s="604"/>
      <c r="J721" s="604"/>
      <c r="K721" s="604"/>
      <c r="L721" s="604"/>
      <c r="M721" s="604"/>
      <c r="N721" s="604"/>
      <c r="O721" s="604"/>
      <c r="P721" s="604"/>
      <c r="Q721" s="604"/>
      <c r="R721" s="604"/>
      <c r="S721" s="604"/>
      <c r="T721" s="604"/>
      <c r="U721" s="604"/>
      <c r="V721" s="604"/>
      <c r="W721" s="604"/>
      <c r="X721" s="604"/>
    </row>
    <row r="722" spans="1:24" ht="15.6">
      <c r="A722" s="604"/>
      <c r="B722" s="604"/>
      <c r="C722" s="609"/>
      <c r="D722" s="604"/>
      <c r="E722" s="604"/>
      <c r="F722" s="604"/>
      <c r="G722" s="604"/>
      <c r="H722" s="604"/>
      <c r="I722" s="604"/>
      <c r="J722" s="604"/>
      <c r="K722" s="604"/>
      <c r="L722" s="604"/>
      <c r="M722" s="604"/>
      <c r="N722" s="604"/>
      <c r="O722" s="604"/>
      <c r="P722" s="604"/>
      <c r="Q722" s="604"/>
      <c r="R722" s="604"/>
      <c r="S722" s="604"/>
      <c r="T722" s="604"/>
      <c r="U722" s="604"/>
      <c r="V722" s="604"/>
      <c r="W722" s="604"/>
      <c r="X722" s="604"/>
    </row>
    <row r="723" spans="1:24" ht="15.6">
      <c r="A723" s="604"/>
      <c r="B723" s="604"/>
      <c r="C723" s="609"/>
      <c r="D723" s="604"/>
      <c r="E723" s="604"/>
      <c r="F723" s="604"/>
      <c r="G723" s="604"/>
      <c r="H723" s="604"/>
      <c r="I723" s="604"/>
      <c r="J723" s="604"/>
      <c r="K723" s="604"/>
      <c r="L723" s="604"/>
      <c r="M723" s="604"/>
      <c r="N723" s="604"/>
      <c r="O723" s="604"/>
      <c r="P723" s="604"/>
      <c r="Q723" s="604"/>
      <c r="R723" s="604"/>
      <c r="S723" s="604"/>
      <c r="T723" s="604"/>
      <c r="U723" s="604"/>
      <c r="V723" s="604"/>
      <c r="W723" s="604"/>
      <c r="X723" s="604"/>
    </row>
    <row r="724" spans="1:24" ht="15.6">
      <c r="A724" s="604"/>
      <c r="B724" s="604"/>
      <c r="C724" s="609"/>
      <c r="D724" s="604"/>
      <c r="E724" s="604"/>
      <c r="F724" s="604"/>
      <c r="G724" s="604"/>
      <c r="H724" s="604"/>
      <c r="I724" s="604"/>
      <c r="J724" s="604"/>
      <c r="K724" s="604"/>
      <c r="L724" s="604"/>
      <c r="M724" s="604"/>
      <c r="N724" s="604"/>
      <c r="O724" s="604"/>
      <c r="P724" s="604"/>
      <c r="Q724" s="604"/>
      <c r="R724" s="604"/>
      <c r="S724" s="604"/>
      <c r="T724" s="604"/>
      <c r="U724" s="604"/>
      <c r="V724" s="604"/>
      <c r="W724" s="604"/>
      <c r="X724" s="604"/>
    </row>
    <row r="725" spans="1:24" ht="15.6">
      <c r="A725" s="604"/>
      <c r="B725" s="604"/>
      <c r="C725" s="609"/>
      <c r="D725" s="604"/>
      <c r="E725" s="604"/>
      <c r="F725" s="604"/>
      <c r="G725" s="604"/>
      <c r="H725" s="604"/>
      <c r="I725" s="604"/>
      <c r="J725" s="604"/>
      <c r="K725" s="604"/>
      <c r="L725" s="604"/>
      <c r="M725" s="604"/>
      <c r="N725" s="604"/>
      <c r="O725" s="604"/>
      <c r="P725" s="604"/>
      <c r="Q725" s="604"/>
      <c r="R725" s="604"/>
      <c r="S725" s="604"/>
      <c r="T725" s="604"/>
      <c r="U725" s="604"/>
      <c r="V725" s="604"/>
      <c r="W725" s="604"/>
      <c r="X725" s="604"/>
    </row>
    <row r="726" spans="1:24" ht="15.6">
      <c r="A726" s="604"/>
      <c r="B726" s="604"/>
      <c r="C726" s="609"/>
      <c r="D726" s="604"/>
      <c r="E726" s="604"/>
      <c r="F726" s="604"/>
      <c r="G726" s="604"/>
      <c r="H726" s="604"/>
      <c r="I726" s="604"/>
      <c r="J726" s="604"/>
      <c r="K726" s="604"/>
      <c r="L726" s="604"/>
      <c r="M726" s="604"/>
      <c r="N726" s="604"/>
      <c r="O726" s="604"/>
      <c r="P726" s="604"/>
      <c r="Q726" s="604"/>
      <c r="R726" s="604"/>
      <c r="S726" s="604"/>
      <c r="T726" s="604"/>
      <c r="U726" s="604"/>
      <c r="V726" s="604"/>
      <c r="W726" s="604"/>
      <c r="X726" s="604"/>
    </row>
    <row r="727" spans="1:24" ht="15.6">
      <c r="A727" s="604"/>
      <c r="B727" s="604"/>
      <c r="C727" s="609"/>
      <c r="D727" s="604"/>
      <c r="E727" s="604"/>
      <c r="F727" s="604"/>
      <c r="G727" s="604"/>
      <c r="H727" s="604"/>
      <c r="I727" s="604"/>
      <c r="J727" s="604"/>
      <c r="K727" s="604"/>
      <c r="L727" s="604"/>
      <c r="M727" s="604"/>
      <c r="N727" s="604"/>
      <c r="O727" s="604"/>
      <c r="P727" s="604"/>
      <c r="Q727" s="604"/>
      <c r="R727" s="604"/>
      <c r="S727" s="604"/>
      <c r="T727" s="604"/>
      <c r="U727" s="604"/>
      <c r="V727" s="604"/>
      <c r="W727" s="604"/>
      <c r="X727" s="604"/>
    </row>
    <row r="728" spans="1:24" ht="15.6">
      <c r="A728" s="604"/>
      <c r="B728" s="604"/>
      <c r="C728" s="609"/>
      <c r="D728" s="604"/>
      <c r="E728" s="604"/>
      <c r="F728" s="604"/>
      <c r="G728" s="604"/>
      <c r="H728" s="604"/>
      <c r="I728" s="604"/>
      <c r="J728" s="604"/>
      <c r="K728" s="604"/>
      <c r="L728" s="604"/>
      <c r="M728" s="604"/>
      <c r="N728" s="604"/>
      <c r="O728" s="604"/>
      <c r="P728" s="604"/>
      <c r="Q728" s="604"/>
      <c r="R728" s="604"/>
      <c r="S728" s="604"/>
      <c r="T728" s="604"/>
      <c r="U728" s="604"/>
      <c r="V728" s="604"/>
      <c r="W728" s="604"/>
      <c r="X728" s="604"/>
    </row>
    <row r="729" spans="1:24" ht="15.6">
      <c r="A729" s="604"/>
      <c r="B729" s="604"/>
      <c r="C729" s="609"/>
      <c r="D729" s="604"/>
      <c r="E729" s="604"/>
      <c r="F729" s="604"/>
      <c r="G729" s="604"/>
      <c r="H729" s="604"/>
      <c r="I729" s="604"/>
      <c r="J729" s="604"/>
      <c r="K729" s="604"/>
      <c r="L729" s="604"/>
      <c r="M729" s="604"/>
      <c r="N729" s="604"/>
      <c r="O729" s="604"/>
      <c r="P729" s="604"/>
      <c r="Q729" s="604"/>
      <c r="R729" s="604"/>
      <c r="S729" s="604"/>
      <c r="T729" s="604"/>
      <c r="U729" s="604"/>
      <c r="V729" s="604"/>
      <c r="W729" s="604"/>
      <c r="X729" s="604"/>
    </row>
    <row r="730" spans="1:24" ht="15.6">
      <c r="A730" s="604"/>
      <c r="B730" s="604"/>
      <c r="C730" s="609"/>
      <c r="D730" s="604"/>
      <c r="E730" s="604"/>
      <c r="F730" s="604"/>
      <c r="G730" s="604"/>
      <c r="H730" s="604"/>
      <c r="I730" s="604"/>
      <c r="J730" s="604"/>
      <c r="K730" s="604"/>
      <c r="L730" s="604"/>
      <c r="M730" s="604"/>
      <c r="N730" s="604"/>
      <c r="O730" s="604"/>
      <c r="P730" s="604"/>
      <c r="Q730" s="604"/>
      <c r="R730" s="604"/>
      <c r="S730" s="604"/>
      <c r="T730" s="604"/>
      <c r="U730" s="604"/>
      <c r="V730" s="604"/>
      <c r="W730" s="604"/>
      <c r="X730" s="604"/>
    </row>
    <row r="731" spans="1:24" ht="15.6">
      <c r="A731" s="604"/>
      <c r="B731" s="604"/>
      <c r="C731" s="609"/>
      <c r="D731" s="604"/>
      <c r="E731" s="604"/>
      <c r="F731" s="604"/>
      <c r="G731" s="604"/>
      <c r="H731" s="604"/>
      <c r="I731" s="604"/>
      <c r="J731" s="604"/>
      <c r="K731" s="604"/>
      <c r="L731" s="604"/>
      <c r="M731" s="604"/>
      <c r="N731" s="604"/>
      <c r="O731" s="604"/>
      <c r="P731" s="604"/>
      <c r="Q731" s="604"/>
      <c r="R731" s="604"/>
      <c r="S731" s="604"/>
      <c r="T731" s="604"/>
      <c r="U731" s="604"/>
      <c r="V731" s="604"/>
      <c r="W731" s="604"/>
      <c r="X731" s="604"/>
    </row>
    <row r="732" spans="1:24" ht="15.6">
      <c r="A732" s="604"/>
      <c r="B732" s="604"/>
      <c r="C732" s="609"/>
      <c r="D732" s="604"/>
      <c r="E732" s="604"/>
      <c r="F732" s="604"/>
      <c r="G732" s="604"/>
      <c r="H732" s="604"/>
      <c r="I732" s="604"/>
      <c r="J732" s="604"/>
      <c r="K732" s="604"/>
      <c r="L732" s="604"/>
      <c r="M732" s="604"/>
      <c r="N732" s="604"/>
      <c r="O732" s="604"/>
      <c r="P732" s="604"/>
      <c r="Q732" s="604"/>
      <c r="R732" s="604"/>
      <c r="S732" s="604"/>
      <c r="T732" s="604"/>
      <c r="U732" s="604"/>
      <c r="V732" s="604"/>
      <c r="W732" s="604"/>
      <c r="X732" s="604"/>
    </row>
    <row r="733" spans="1:24" ht="15.6">
      <c r="A733" s="604"/>
      <c r="B733" s="604"/>
      <c r="C733" s="609"/>
      <c r="D733" s="604"/>
      <c r="E733" s="604"/>
      <c r="F733" s="604"/>
      <c r="G733" s="604"/>
      <c r="H733" s="604"/>
      <c r="I733" s="604"/>
      <c r="J733" s="604"/>
      <c r="K733" s="604"/>
      <c r="L733" s="604"/>
      <c r="M733" s="604"/>
      <c r="N733" s="604"/>
      <c r="O733" s="604"/>
      <c r="P733" s="604"/>
      <c r="Q733" s="604"/>
      <c r="R733" s="604"/>
      <c r="S733" s="604"/>
      <c r="T733" s="604"/>
      <c r="U733" s="604"/>
      <c r="V733" s="604"/>
      <c r="W733" s="604"/>
      <c r="X733" s="604"/>
    </row>
    <row r="734" spans="1:24" ht="15.6">
      <c r="A734" s="604"/>
      <c r="B734" s="604"/>
      <c r="C734" s="609"/>
      <c r="D734" s="604"/>
      <c r="E734" s="604"/>
      <c r="F734" s="604"/>
      <c r="G734" s="604"/>
      <c r="H734" s="604"/>
      <c r="I734" s="604"/>
      <c r="J734" s="604"/>
      <c r="K734" s="604"/>
      <c r="L734" s="604"/>
      <c r="M734" s="604"/>
      <c r="N734" s="604"/>
      <c r="O734" s="604"/>
      <c r="P734" s="604"/>
      <c r="Q734" s="604"/>
      <c r="R734" s="604"/>
      <c r="S734" s="604"/>
      <c r="T734" s="604"/>
      <c r="U734" s="604"/>
      <c r="V734" s="604"/>
      <c r="W734" s="604"/>
      <c r="X734" s="604"/>
    </row>
    <row r="735" spans="1:24" ht="15.6">
      <c r="A735" s="604"/>
      <c r="B735" s="604"/>
      <c r="C735" s="609"/>
      <c r="D735" s="604"/>
      <c r="E735" s="604"/>
      <c r="F735" s="604"/>
      <c r="G735" s="604"/>
      <c r="H735" s="604"/>
      <c r="I735" s="604"/>
      <c r="J735" s="604"/>
      <c r="K735" s="604"/>
      <c r="L735" s="604"/>
      <c r="M735" s="604"/>
      <c r="N735" s="604"/>
      <c r="O735" s="604"/>
      <c r="P735" s="604"/>
      <c r="Q735" s="604"/>
      <c r="R735" s="604"/>
      <c r="S735" s="604"/>
      <c r="T735" s="604"/>
      <c r="U735" s="604"/>
      <c r="V735" s="604"/>
      <c r="W735" s="604"/>
      <c r="X735" s="604"/>
    </row>
    <row r="736" spans="1:24" ht="15.6">
      <c r="A736" s="604"/>
      <c r="B736" s="604"/>
      <c r="C736" s="609"/>
      <c r="D736" s="604"/>
      <c r="E736" s="604"/>
      <c r="F736" s="604"/>
      <c r="G736" s="604"/>
      <c r="H736" s="604"/>
      <c r="I736" s="604"/>
      <c r="J736" s="604"/>
      <c r="K736" s="604"/>
      <c r="L736" s="604"/>
      <c r="M736" s="604"/>
      <c r="N736" s="604"/>
      <c r="O736" s="604"/>
      <c r="P736" s="604"/>
      <c r="Q736" s="604"/>
      <c r="R736" s="604"/>
      <c r="S736" s="604"/>
      <c r="T736" s="604"/>
      <c r="U736" s="604"/>
      <c r="V736" s="604"/>
      <c r="W736" s="604"/>
      <c r="X736" s="604"/>
    </row>
    <row r="737" spans="1:24" ht="15.6">
      <c r="A737" s="604"/>
      <c r="B737" s="604"/>
      <c r="C737" s="609"/>
      <c r="D737" s="604"/>
      <c r="E737" s="604"/>
      <c r="F737" s="604"/>
      <c r="G737" s="604"/>
      <c r="H737" s="604"/>
      <c r="I737" s="604"/>
      <c r="J737" s="604"/>
      <c r="K737" s="604"/>
      <c r="L737" s="604"/>
      <c r="M737" s="604"/>
      <c r="N737" s="604"/>
      <c r="O737" s="604"/>
      <c r="P737" s="604"/>
      <c r="Q737" s="604"/>
      <c r="R737" s="604"/>
      <c r="S737" s="604"/>
      <c r="T737" s="604"/>
      <c r="U737" s="604"/>
      <c r="V737" s="604"/>
      <c r="W737" s="604"/>
      <c r="X737" s="604"/>
    </row>
    <row r="738" spans="1:24" ht="15.6">
      <c r="A738" s="604"/>
      <c r="B738" s="604"/>
      <c r="C738" s="609"/>
      <c r="D738" s="604"/>
      <c r="E738" s="604"/>
      <c r="F738" s="604"/>
      <c r="G738" s="604"/>
      <c r="H738" s="604"/>
      <c r="I738" s="604"/>
      <c r="J738" s="604"/>
      <c r="K738" s="604"/>
      <c r="L738" s="604"/>
      <c r="M738" s="604"/>
      <c r="N738" s="604"/>
      <c r="O738" s="604"/>
      <c r="P738" s="604"/>
      <c r="Q738" s="604"/>
      <c r="R738" s="604"/>
      <c r="S738" s="604"/>
      <c r="T738" s="604"/>
      <c r="U738" s="604"/>
      <c r="V738" s="604"/>
      <c r="W738" s="604"/>
      <c r="X738" s="604"/>
    </row>
    <row r="739" spans="1:24" ht="15.6">
      <c r="A739" s="604"/>
      <c r="B739" s="604"/>
      <c r="C739" s="609"/>
      <c r="D739" s="604"/>
      <c r="E739" s="604"/>
      <c r="F739" s="604"/>
      <c r="G739" s="604"/>
      <c r="H739" s="604"/>
      <c r="I739" s="604"/>
      <c r="J739" s="604"/>
      <c r="K739" s="604"/>
      <c r="L739" s="604"/>
      <c r="M739" s="604"/>
      <c r="N739" s="604"/>
      <c r="O739" s="604"/>
      <c r="P739" s="604"/>
      <c r="Q739" s="604"/>
      <c r="R739" s="604"/>
      <c r="S739" s="604"/>
      <c r="T739" s="604"/>
      <c r="U739" s="604"/>
      <c r="V739" s="604"/>
      <c r="W739" s="604"/>
      <c r="X739" s="604"/>
    </row>
    <row r="740" spans="1:24" ht="15.6">
      <c r="A740" s="604"/>
      <c r="B740" s="604"/>
      <c r="C740" s="609"/>
      <c r="D740" s="604"/>
      <c r="E740" s="604"/>
      <c r="F740" s="604"/>
      <c r="G740" s="604"/>
      <c r="H740" s="604"/>
      <c r="I740" s="604"/>
      <c r="J740" s="604"/>
      <c r="K740" s="604"/>
      <c r="L740" s="604"/>
      <c r="M740" s="604"/>
      <c r="N740" s="604"/>
      <c r="O740" s="604"/>
      <c r="P740" s="604"/>
      <c r="Q740" s="604"/>
      <c r="R740" s="604"/>
      <c r="S740" s="604"/>
      <c r="T740" s="604"/>
      <c r="U740" s="604"/>
      <c r="V740" s="604"/>
      <c r="W740" s="604"/>
      <c r="X740" s="604"/>
    </row>
    <row r="741" spans="1:24" ht="15.6">
      <c r="A741" s="604"/>
      <c r="B741" s="604"/>
      <c r="C741" s="609"/>
      <c r="D741" s="604"/>
      <c r="E741" s="604"/>
      <c r="F741" s="604"/>
      <c r="G741" s="604"/>
      <c r="H741" s="604"/>
      <c r="I741" s="604"/>
      <c r="J741" s="604"/>
      <c r="K741" s="604"/>
      <c r="L741" s="604"/>
      <c r="M741" s="604"/>
      <c r="N741" s="604"/>
      <c r="O741" s="604"/>
      <c r="P741" s="604"/>
      <c r="Q741" s="604"/>
      <c r="R741" s="604"/>
      <c r="S741" s="604"/>
      <c r="T741" s="604"/>
      <c r="U741" s="604"/>
      <c r="V741" s="604"/>
      <c r="W741" s="604"/>
      <c r="X741" s="604"/>
    </row>
    <row r="742" spans="1:24" ht="15.6">
      <c r="A742" s="604"/>
      <c r="B742" s="604"/>
      <c r="C742" s="609"/>
      <c r="D742" s="604"/>
      <c r="E742" s="604"/>
      <c r="F742" s="604"/>
      <c r="G742" s="604"/>
      <c r="H742" s="604"/>
      <c r="I742" s="604"/>
      <c r="J742" s="604"/>
      <c r="K742" s="604"/>
      <c r="L742" s="604"/>
      <c r="M742" s="604"/>
      <c r="N742" s="604"/>
      <c r="O742" s="604"/>
      <c r="P742" s="604"/>
      <c r="Q742" s="604"/>
      <c r="R742" s="604"/>
      <c r="S742" s="604"/>
      <c r="T742" s="604"/>
      <c r="U742" s="604"/>
      <c r="V742" s="604"/>
      <c r="W742" s="604"/>
      <c r="X742" s="604"/>
    </row>
    <row r="743" spans="1:24" ht="15.6">
      <c r="A743" s="604"/>
      <c r="B743" s="604"/>
      <c r="C743" s="609"/>
      <c r="D743" s="604"/>
      <c r="E743" s="604"/>
      <c r="F743" s="604"/>
      <c r="G743" s="604"/>
      <c r="H743" s="604"/>
      <c r="I743" s="604"/>
      <c r="J743" s="604"/>
      <c r="K743" s="604"/>
      <c r="L743" s="604"/>
      <c r="M743" s="604"/>
      <c r="N743" s="604"/>
      <c r="O743" s="604"/>
      <c r="P743" s="604"/>
      <c r="Q743" s="604"/>
      <c r="R743" s="604"/>
      <c r="S743" s="604"/>
      <c r="T743" s="604"/>
      <c r="U743" s="604"/>
      <c r="V743" s="604"/>
      <c r="W743" s="604"/>
      <c r="X743" s="604"/>
    </row>
    <row r="744" spans="1:24" ht="15.6">
      <c r="A744" s="604"/>
      <c r="B744" s="604"/>
      <c r="C744" s="609"/>
      <c r="D744" s="604"/>
      <c r="E744" s="604"/>
      <c r="F744" s="604"/>
      <c r="G744" s="604"/>
      <c r="H744" s="604"/>
      <c r="I744" s="604"/>
      <c r="J744" s="604"/>
      <c r="K744" s="604"/>
      <c r="L744" s="604"/>
      <c r="M744" s="604"/>
      <c r="N744" s="604"/>
      <c r="O744" s="604"/>
      <c r="P744" s="604"/>
      <c r="Q744" s="604"/>
      <c r="R744" s="604"/>
      <c r="S744" s="604"/>
      <c r="T744" s="604"/>
      <c r="U744" s="604"/>
      <c r="V744" s="604"/>
      <c r="W744" s="604"/>
      <c r="X744" s="604"/>
    </row>
    <row r="745" spans="1:24" ht="15.6">
      <c r="A745" s="604"/>
      <c r="B745" s="604"/>
      <c r="C745" s="609"/>
      <c r="D745" s="604"/>
      <c r="E745" s="604"/>
      <c r="F745" s="604"/>
      <c r="G745" s="604"/>
      <c r="H745" s="604"/>
      <c r="I745" s="604"/>
      <c r="J745" s="604"/>
      <c r="K745" s="604"/>
      <c r="L745" s="604"/>
      <c r="M745" s="604"/>
      <c r="N745" s="604"/>
      <c r="O745" s="604"/>
      <c r="P745" s="604"/>
      <c r="Q745" s="604"/>
      <c r="R745" s="604"/>
      <c r="S745" s="604"/>
      <c r="T745" s="604"/>
      <c r="U745" s="604"/>
      <c r="V745" s="604"/>
      <c r="W745" s="604"/>
      <c r="X745" s="604"/>
    </row>
    <row r="746" spans="1:24" ht="15.6">
      <c r="A746" s="604"/>
      <c r="B746" s="604"/>
      <c r="C746" s="609"/>
      <c r="D746" s="604"/>
      <c r="E746" s="604"/>
      <c r="F746" s="604"/>
      <c r="G746" s="604"/>
      <c r="H746" s="604"/>
      <c r="I746" s="604"/>
      <c r="J746" s="604"/>
      <c r="K746" s="604"/>
      <c r="L746" s="604"/>
      <c r="M746" s="604"/>
      <c r="N746" s="604"/>
      <c r="O746" s="604"/>
      <c r="P746" s="604"/>
      <c r="Q746" s="604"/>
      <c r="R746" s="604"/>
      <c r="S746" s="604"/>
      <c r="T746" s="604"/>
      <c r="U746" s="604"/>
      <c r="V746" s="604"/>
      <c r="W746" s="604"/>
      <c r="X746" s="604"/>
    </row>
    <row r="747" spans="1:24" ht="15.6">
      <c r="A747" s="604"/>
      <c r="B747" s="604"/>
      <c r="C747" s="609"/>
      <c r="D747" s="604"/>
      <c r="E747" s="604"/>
      <c r="F747" s="604"/>
      <c r="G747" s="604"/>
      <c r="H747" s="604"/>
      <c r="I747" s="604"/>
      <c r="J747" s="604"/>
      <c r="K747" s="604"/>
      <c r="L747" s="604"/>
      <c r="M747" s="604"/>
      <c r="N747" s="604"/>
      <c r="O747" s="604"/>
      <c r="P747" s="604"/>
      <c r="Q747" s="604"/>
      <c r="R747" s="604"/>
      <c r="S747" s="604"/>
      <c r="T747" s="604"/>
      <c r="U747" s="604"/>
      <c r="V747" s="604"/>
      <c r="W747" s="604"/>
      <c r="X747" s="604"/>
    </row>
    <row r="748" spans="1:24" ht="15.6">
      <c r="A748" s="604"/>
      <c r="B748" s="604"/>
      <c r="C748" s="609"/>
      <c r="D748" s="604"/>
      <c r="E748" s="604"/>
      <c r="F748" s="604"/>
      <c r="G748" s="604"/>
      <c r="H748" s="604"/>
      <c r="I748" s="604"/>
      <c r="J748" s="604"/>
      <c r="K748" s="604"/>
      <c r="L748" s="604"/>
      <c r="M748" s="604"/>
      <c r="N748" s="604"/>
      <c r="O748" s="604"/>
      <c r="P748" s="604"/>
      <c r="Q748" s="604"/>
      <c r="R748" s="604"/>
      <c r="S748" s="604"/>
      <c r="T748" s="604"/>
      <c r="U748" s="604"/>
      <c r="V748" s="604"/>
      <c r="W748" s="604"/>
      <c r="X748" s="604"/>
    </row>
    <row r="749" spans="1:24" ht="15.6">
      <c r="A749" s="604"/>
      <c r="B749" s="604"/>
      <c r="C749" s="609"/>
      <c r="D749" s="604"/>
      <c r="E749" s="604"/>
      <c r="F749" s="604"/>
      <c r="G749" s="604"/>
      <c r="H749" s="604"/>
      <c r="I749" s="604"/>
      <c r="J749" s="604"/>
      <c r="K749" s="604"/>
      <c r="L749" s="604"/>
      <c r="M749" s="604"/>
      <c r="N749" s="604"/>
      <c r="O749" s="604"/>
      <c r="P749" s="604"/>
      <c r="Q749" s="604"/>
      <c r="R749" s="604"/>
      <c r="S749" s="604"/>
      <c r="T749" s="604"/>
      <c r="U749" s="604"/>
      <c r="V749" s="604"/>
      <c r="W749" s="604"/>
      <c r="X749" s="604"/>
    </row>
    <row r="750" spans="1:24" ht="15.6">
      <c r="A750" s="604"/>
      <c r="B750" s="604"/>
      <c r="C750" s="609"/>
      <c r="D750" s="604"/>
      <c r="E750" s="604"/>
      <c r="F750" s="604"/>
      <c r="G750" s="604"/>
      <c r="H750" s="604"/>
      <c r="I750" s="604"/>
      <c r="J750" s="604"/>
      <c r="K750" s="604"/>
      <c r="L750" s="604"/>
      <c r="M750" s="604"/>
      <c r="N750" s="604"/>
      <c r="O750" s="604"/>
      <c r="P750" s="604"/>
      <c r="Q750" s="604"/>
      <c r="R750" s="604"/>
      <c r="S750" s="604"/>
      <c r="T750" s="604"/>
      <c r="U750" s="604"/>
      <c r="V750" s="604"/>
      <c r="W750" s="604"/>
      <c r="X750" s="604"/>
    </row>
    <row r="751" spans="1:24" ht="15.6">
      <c r="A751" s="604"/>
      <c r="B751" s="604"/>
      <c r="C751" s="609"/>
      <c r="D751" s="604"/>
      <c r="E751" s="604"/>
      <c r="F751" s="604"/>
      <c r="G751" s="604"/>
      <c r="H751" s="604"/>
      <c r="I751" s="604"/>
      <c r="J751" s="604"/>
      <c r="K751" s="604"/>
      <c r="L751" s="604"/>
      <c r="M751" s="604"/>
      <c r="N751" s="604"/>
      <c r="O751" s="604"/>
      <c r="P751" s="604"/>
      <c r="Q751" s="604"/>
      <c r="R751" s="604"/>
      <c r="S751" s="604"/>
      <c r="T751" s="604"/>
      <c r="U751" s="604"/>
      <c r="V751" s="604"/>
      <c r="W751" s="604"/>
      <c r="X751" s="604"/>
    </row>
    <row r="752" spans="1:24" ht="15.6">
      <c r="A752" s="604"/>
      <c r="B752" s="604"/>
      <c r="C752" s="609"/>
      <c r="D752" s="604"/>
      <c r="E752" s="604"/>
      <c r="F752" s="604"/>
      <c r="G752" s="604"/>
      <c r="H752" s="604"/>
      <c r="I752" s="604"/>
      <c r="J752" s="604"/>
      <c r="K752" s="604"/>
      <c r="L752" s="604"/>
      <c r="M752" s="604"/>
      <c r="N752" s="604"/>
      <c r="O752" s="604"/>
      <c r="P752" s="604"/>
      <c r="Q752" s="604"/>
      <c r="R752" s="604"/>
      <c r="S752" s="604"/>
      <c r="T752" s="604"/>
      <c r="U752" s="604"/>
      <c r="V752" s="604"/>
      <c r="W752" s="604"/>
      <c r="X752" s="604"/>
    </row>
    <row r="753" spans="1:24" ht="15.6">
      <c r="A753" s="604"/>
      <c r="B753" s="604"/>
      <c r="C753" s="609"/>
      <c r="D753" s="604"/>
      <c r="E753" s="604"/>
      <c r="F753" s="604"/>
      <c r="G753" s="604"/>
      <c r="H753" s="604"/>
      <c r="I753" s="604"/>
      <c r="J753" s="604"/>
      <c r="K753" s="604"/>
      <c r="L753" s="604"/>
      <c r="M753" s="604"/>
      <c r="N753" s="604"/>
      <c r="O753" s="604"/>
      <c r="P753" s="604"/>
      <c r="Q753" s="604"/>
      <c r="R753" s="604"/>
      <c r="S753" s="604"/>
      <c r="T753" s="604"/>
      <c r="U753" s="604"/>
      <c r="V753" s="604"/>
      <c r="W753" s="604"/>
      <c r="X753" s="604"/>
    </row>
    <row r="754" spans="1:24" ht="15.6">
      <c r="A754" s="604"/>
      <c r="B754" s="604"/>
      <c r="C754" s="609"/>
      <c r="D754" s="604"/>
      <c r="E754" s="604"/>
      <c r="F754" s="604"/>
      <c r="G754" s="604"/>
      <c r="H754" s="604"/>
      <c r="I754" s="604"/>
      <c r="J754" s="604"/>
      <c r="K754" s="604"/>
      <c r="L754" s="604"/>
      <c r="M754" s="604"/>
      <c r="N754" s="604"/>
      <c r="O754" s="604"/>
      <c r="P754" s="604"/>
      <c r="Q754" s="604"/>
      <c r="R754" s="604"/>
      <c r="S754" s="604"/>
      <c r="T754" s="604"/>
      <c r="U754" s="604"/>
      <c r="V754" s="604"/>
      <c r="W754" s="604"/>
      <c r="X754" s="604"/>
    </row>
    <row r="755" spans="1:24" ht="15.6">
      <c r="A755" s="604"/>
      <c r="B755" s="604"/>
      <c r="C755" s="609"/>
      <c r="D755" s="604"/>
      <c r="E755" s="604"/>
      <c r="F755" s="604"/>
      <c r="G755" s="604"/>
      <c r="H755" s="604"/>
      <c r="I755" s="604"/>
      <c r="J755" s="604"/>
      <c r="K755" s="604"/>
      <c r="L755" s="604"/>
      <c r="M755" s="604"/>
      <c r="N755" s="604"/>
      <c r="O755" s="604"/>
      <c r="P755" s="604"/>
      <c r="Q755" s="604"/>
      <c r="R755" s="604"/>
      <c r="S755" s="604"/>
      <c r="T755" s="604"/>
      <c r="U755" s="604"/>
      <c r="V755" s="604"/>
      <c r="W755" s="604"/>
      <c r="X755" s="604"/>
    </row>
    <row r="756" spans="1:24" ht="15.6">
      <c r="A756" s="604"/>
      <c r="B756" s="604"/>
      <c r="C756" s="609"/>
      <c r="D756" s="604"/>
      <c r="E756" s="604"/>
      <c r="F756" s="604"/>
      <c r="G756" s="604"/>
      <c r="H756" s="604"/>
      <c r="I756" s="604"/>
      <c r="J756" s="604"/>
      <c r="K756" s="604"/>
      <c r="L756" s="604"/>
      <c r="M756" s="604"/>
      <c r="N756" s="604"/>
      <c r="O756" s="604"/>
      <c r="P756" s="604"/>
      <c r="Q756" s="604"/>
      <c r="R756" s="604"/>
      <c r="S756" s="604"/>
      <c r="T756" s="604"/>
      <c r="U756" s="604"/>
      <c r="V756" s="604"/>
      <c r="W756" s="604"/>
      <c r="X756" s="604"/>
    </row>
    <row r="757" spans="1:24" ht="15.6">
      <c r="A757" s="604"/>
      <c r="B757" s="604"/>
      <c r="C757" s="609"/>
      <c r="D757" s="604"/>
      <c r="E757" s="604"/>
      <c r="F757" s="604"/>
      <c r="G757" s="604"/>
      <c r="H757" s="604"/>
      <c r="I757" s="604"/>
      <c r="J757" s="604"/>
      <c r="K757" s="604"/>
      <c r="L757" s="604"/>
      <c r="M757" s="604"/>
      <c r="N757" s="604"/>
      <c r="O757" s="604"/>
      <c r="P757" s="604"/>
      <c r="Q757" s="604"/>
      <c r="R757" s="604"/>
      <c r="S757" s="604"/>
      <c r="T757" s="604"/>
      <c r="U757" s="604"/>
      <c r="V757" s="604"/>
      <c r="W757" s="604"/>
      <c r="X757" s="604"/>
    </row>
    <row r="758" spans="1:24" ht="15.6">
      <c r="A758" s="604"/>
      <c r="B758" s="604"/>
      <c r="C758" s="609"/>
      <c r="D758" s="604"/>
      <c r="E758" s="604"/>
      <c r="F758" s="604"/>
      <c r="G758" s="604"/>
      <c r="H758" s="604"/>
      <c r="I758" s="604"/>
      <c r="J758" s="604"/>
      <c r="K758" s="604"/>
      <c r="L758" s="604"/>
      <c r="M758" s="604"/>
      <c r="N758" s="604"/>
      <c r="O758" s="604"/>
      <c r="P758" s="604"/>
      <c r="Q758" s="604"/>
      <c r="R758" s="604"/>
      <c r="S758" s="604"/>
      <c r="T758" s="604"/>
      <c r="U758" s="604"/>
      <c r="V758" s="604"/>
      <c r="W758" s="604"/>
      <c r="X758" s="604"/>
    </row>
    <row r="759" spans="1:24" ht="15.6">
      <c r="A759" s="604"/>
      <c r="B759" s="604"/>
      <c r="C759" s="609"/>
      <c r="D759" s="604"/>
      <c r="E759" s="604"/>
      <c r="F759" s="604"/>
      <c r="G759" s="604"/>
      <c r="H759" s="604"/>
      <c r="I759" s="604"/>
      <c r="J759" s="604"/>
      <c r="K759" s="604"/>
      <c r="L759" s="604"/>
      <c r="M759" s="604"/>
      <c r="N759" s="604"/>
      <c r="O759" s="604"/>
      <c r="P759" s="604"/>
      <c r="Q759" s="604"/>
      <c r="R759" s="604"/>
      <c r="S759" s="604"/>
      <c r="T759" s="604"/>
      <c r="U759" s="604"/>
      <c r="V759" s="604"/>
      <c r="W759" s="604"/>
      <c r="X759" s="604"/>
    </row>
    <row r="760" spans="1:24" ht="15.6">
      <c r="A760" s="604"/>
      <c r="B760" s="604"/>
      <c r="C760" s="609"/>
      <c r="D760" s="604"/>
      <c r="E760" s="604"/>
      <c r="F760" s="604"/>
      <c r="G760" s="604"/>
      <c r="H760" s="604"/>
      <c r="I760" s="604"/>
      <c r="J760" s="604"/>
      <c r="K760" s="604"/>
      <c r="L760" s="604"/>
      <c r="M760" s="604"/>
      <c r="N760" s="604"/>
      <c r="O760" s="604"/>
      <c r="P760" s="604"/>
      <c r="Q760" s="604"/>
      <c r="R760" s="604"/>
      <c r="S760" s="604"/>
      <c r="T760" s="604"/>
      <c r="U760" s="604"/>
      <c r="V760" s="604"/>
      <c r="W760" s="604"/>
      <c r="X760" s="604"/>
    </row>
    <row r="761" spans="1:24" ht="15.6">
      <c r="A761" s="604"/>
      <c r="B761" s="604"/>
      <c r="C761" s="609"/>
      <c r="D761" s="604"/>
      <c r="E761" s="604"/>
      <c r="F761" s="604"/>
      <c r="G761" s="604"/>
      <c r="H761" s="604"/>
      <c r="I761" s="604"/>
      <c r="J761" s="604"/>
      <c r="K761" s="604"/>
      <c r="L761" s="604"/>
      <c r="M761" s="604"/>
      <c r="N761" s="604"/>
      <c r="O761" s="604"/>
      <c r="P761" s="604"/>
      <c r="Q761" s="604"/>
      <c r="R761" s="604"/>
      <c r="S761" s="604"/>
      <c r="T761" s="604"/>
      <c r="U761" s="604"/>
      <c r="V761" s="604"/>
      <c r="W761" s="604"/>
      <c r="X761" s="604"/>
    </row>
    <row r="762" spans="1:24" ht="15.6">
      <c r="A762" s="604"/>
      <c r="B762" s="604"/>
      <c r="C762" s="609"/>
      <c r="D762" s="604"/>
      <c r="E762" s="604"/>
      <c r="F762" s="604"/>
      <c r="G762" s="604"/>
      <c r="H762" s="604"/>
      <c r="I762" s="604"/>
      <c r="J762" s="604"/>
      <c r="K762" s="604"/>
      <c r="L762" s="604"/>
      <c r="M762" s="604"/>
      <c r="N762" s="604"/>
      <c r="O762" s="604"/>
      <c r="P762" s="604"/>
      <c r="Q762" s="604"/>
      <c r="R762" s="604"/>
      <c r="S762" s="604"/>
      <c r="T762" s="604"/>
      <c r="U762" s="604"/>
      <c r="V762" s="604"/>
      <c r="W762" s="604"/>
      <c r="X762" s="604"/>
    </row>
    <row r="763" spans="1:24" ht="15.6">
      <c r="A763" s="604"/>
      <c r="B763" s="604"/>
      <c r="C763" s="609"/>
      <c r="D763" s="604"/>
      <c r="E763" s="604"/>
      <c r="F763" s="604"/>
      <c r="G763" s="604"/>
      <c r="H763" s="604"/>
      <c r="I763" s="604"/>
      <c r="J763" s="604"/>
      <c r="K763" s="604"/>
      <c r="L763" s="604"/>
      <c r="M763" s="604"/>
      <c r="N763" s="604"/>
      <c r="O763" s="604"/>
      <c r="P763" s="604"/>
      <c r="Q763" s="604"/>
      <c r="R763" s="604"/>
      <c r="S763" s="604"/>
      <c r="T763" s="604"/>
      <c r="U763" s="604"/>
      <c r="V763" s="604"/>
      <c r="W763" s="604"/>
      <c r="X763" s="604"/>
    </row>
    <row r="764" spans="1:24" ht="15.6">
      <c r="A764" s="604"/>
      <c r="B764" s="604"/>
      <c r="C764" s="609"/>
      <c r="D764" s="604"/>
      <c r="E764" s="604"/>
      <c r="F764" s="604"/>
      <c r="G764" s="604"/>
      <c r="H764" s="604"/>
      <c r="I764" s="604"/>
      <c r="J764" s="604"/>
      <c r="K764" s="604"/>
      <c r="L764" s="604"/>
      <c r="M764" s="604"/>
      <c r="N764" s="604"/>
      <c r="O764" s="604"/>
      <c r="P764" s="604"/>
      <c r="Q764" s="604"/>
      <c r="R764" s="604"/>
      <c r="S764" s="604"/>
      <c r="T764" s="604"/>
      <c r="U764" s="604"/>
      <c r="V764" s="604"/>
      <c r="W764" s="604"/>
      <c r="X764" s="604"/>
    </row>
    <row r="765" spans="1:24" ht="15.6">
      <c r="A765" s="604"/>
      <c r="B765" s="604"/>
      <c r="C765" s="609"/>
      <c r="D765" s="604"/>
      <c r="E765" s="604"/>
      <c r="F765" s="604"/>
      <c r="G765" s="604"/>
      <c r="H765" s="604"/>
      <c r="I765" s="604"/>
      <c r="J765" s="604"/>
      <c r="K765" s="604"/>
      <c r="L765" s="604"/>
      <c r="M765" s="604"/>
      <c r="N765" s="604"/>
      <c r="O765" s="604"/>
      <c r="P765" s="604"/>
      <c r="Q765" s="604"/>
      <c r="R765" s="604"/>
      <c r="S765" s="604"/>
      <c r="T765" s="604"/>
      <c r="U765" s="604"/>
      <c r="V765" s="604"/>
      <c r="W765" s="604"/>
      <c r="X765" s="604"/>
    </row>
    <row r="766" spans="1:24" ht="15.6">
      <c r="A766" s="604"/>
      <c r="B766" s="604"/>
      <c r="C766" s="609"/>
      <c r="D766" s="604"/>
      <c r="E766" s="604"/>
      <c r="F766" s="604"/>
      <c r="G766" s="604"/>
      <c r="H766" s="604"/>
      <c r="I766" s="604"/>
      <c r="J766" s="604"/>
      <c r="K766" s="604"/>
      <c r="L766" s="604"/>
      <c r="M766" s="604"/>
      <c r="N766" s="604"/>
      <c r="O766" s="604"/>
      <c r="P766" s="604"/>
      <c r="Q766" s="604"/>
      <c r="R766" s="604"/>
      <c r="S766" s="604"/>
      <c r="T766" s="604"/>
      <c r="U766" s="604"/>
      <c r="V766" s="604"/>
      <c r="W766" s="604"/>
      <c r="X766" s="604"/>
    </row>
    <row r="767" spans="1:24" ht="15.6">
      <c r="A767" s="604"/>
      <c r="B767" s="604"/>
      <c r="C767" s="609"/>
      <c r="D767" s="604"/>
      <c r="E767" s="604"/>
      <c r="F767" s="604"/>
      <c r="G767" s="604"/>
      <c r="H767" s="604"/>
      <c r="I767" s="604"/>
      <c r="J767" s="604"/>
      <c r="K767" s="604"/>
      <c r="L767" s="604"/>
      <c r="M767" s="604"/>
      <c r="N767" s="604"/>
      <c r="O767" s="604"/>
      <c r="P767" s="604"/>
      <c r="Q767" s="604"/>
      <c r="R767" s="604"/>
      <c r="S767" s="604"/>
      <c r="T767" s="604"/>
      <c r="U767" s="604"/>
      <c r="V767" s="604"/>
      <c r="W767" s="604"/>
      <c r="X767" s="604"/>
    </row>
    <row r="768" spans="1:24" ht="15.6">
      <c r="A768" s="604"/>
      <c r="B768" s="604"/>
      <c r="C768" s="609"/>
      <c r="D768" s="604"/>
      <c r="E768" s="604"/>
      <c r="F768" s="604"/>
      <c r="G768" s="604"/>
      <c r="H768" s="604"/>
      <c r="I768" s="604"/>
      <c r="J768" s="604"/>
      <c r="K768" s="604"/>
      <c r="L768" s="604"/>
      <c r="M768" s="604"/>
      <c r="N768" s="604"/>
      <c r="O768" s="604"/>
      <c r="P768" s="604"/>
      <c r="Q768" s="604"/>
      <c r="R768" s="604"/>
      <c r="S768" s="604"/>
      <c r="T768" s="604"/>
      <c r="U768" s="604"/>
      <c r="V768" s="604"/>
      <c r="W768" s="604"/>
      <c r="X768" s="604"/>
    </row>
    <row r="769" spans="1:24" ht="15.6">
      <c r="A769" s="604"/>
      <c r="B769" s="604"/>
      <c r="C769" s="609"/>
      <c r="D769" s="604"/>
      <c r="E769" s="604"/>
      <c r="F769" s="604"/>
      <c r="G769" s="604"/>
      <c r="H769" s="604"/>
      <c r="I769" s="604"/>
      <c r="J769" s="604"/>
      <c r="K769" s="604"/>
      <c r="L769" s="604"/>
      <c r="M769" s="604"/>
      <c r="N769" s="604"/>
      <c r="O769" s="604"/>
      <c r="P769" s="604"/>
      <c r="Q769" s="604"/>
      <c r="R769" s="604"/>
      <c r="S769" s="604"/>
      <c r="T769" s="604"/>
      <c r="U769" s="604"/>
      <c r="V769" s="604"/>
      <c r="W769" s="604"/>
      <c r="X769" s="604"/>
    </row>
    <row r="770" spans="1:24" ht="15.6">
      <c r="A770" s="604"/>
      <c r="B770" s="604"/>
      <c r="C770" s="609"/>
      <c r="D770" s="604"/>
      <c r="E770" s="604"/>
      <c r="F770" s="604"/>
      <c r="G770" s="604"/>
      <c r="H770" s="604"/>
      <c r="I770" s="604"/>
      <c r="J770" s="604"/>
      <c r="K770" s="604"/>
      <c r="L770" s="604"/>
      <c r="M770" s="604"/>
      <c r="N770" s="604"/>
      <c r="O770" s="604"/>
      <c r="P770" s="604"/>
      <c r="Q770" s="604"/>
      <c r="R770" s="604"/>
      <c r="S770" s="604"/>
      <c r="T770" s="604"/>
      <c r="U770" s="604"/>
      <c r="V770" s="604"/>
      <c r="W770" s="604"/>
      <c r="X770" s="604"/>
    </row>
    <row r="771" spans="1:24" ht="15.6">
      <c r="A771" s="604"/>
      <c r="B771" s="604"/>
      <c r="C771" s="609"/>
      <c r="D771" s="604"/>
      <c r="E771" s="604"/>
      <c r="F771" s="604"/>
      <c r="G771" s="604"/>
      <c r="H771" s="604"/>
      <c r="I771" s="604"/>
      <c r="J771" s="604"/>
      <c r="K771" s="604"/>
      <c r="L771" s="604"/>
      <c r="M771" s="604"/>
      <c r="N771" s="604"/>
      <c r="O771" s="604"/>
      <c r="P771" s="604"/>
      <c r="Q771" s="604"/>
      <c r="R771" s="604"/>
      <c r="S771" s="604"/>
      <c r="T771" s="604"/>
      <c r="U771" s="604"/>
      <c r="V771" s="604"/>
      <c r="W771" s="604"/>
      <c r="X771" s="604"/>
    </row>
    <row r="772" spans="1:24" ht="15.6">
      <c r="A772" s="604"/>
      <c r="B772" s="604"/>
      <c r="C772" s="609"/>
      <c r="D772" s="604"/>
      <c r="E772" s="604"/>
      <c r="F772" s="604"/>
      <c r="G772" s="604"/>
      <c r="H772" s="604"/>
      <c r="I772" s="604"/>
      <c r="J772" s="604"/>
      <c r="K772" s="604"/>
      <c r="L772" s="604"/>
      <c r="M772" s="604"/>
      <c r="N772" s="604"/>
      <c r="O772" s="604"/>
      <c r="P772" s="604"/>
      <c r="Q772" s="604"/>
      <c r="R772" s="604"/>
      <c r="S772" s="604"/>
      <c r="T772" s="604"/>
      <c r="U772" s="604"/>
      <c r="V772" s="604"/>
      <c r="W772" s="604"/>
      <c r="X772" s="604"/>
    </row>
    <row r="773" spans="1:24" ht="15.6">
      <c r="A773" s="604"/>
      <c r="B773" s="604"/>
      <c r="C773" s="609"/>
      <c r="D773" s="604"/>
      <c r="E773" s="604"/>
      <c r="F773" s="604"/>
      <c r="G773" s="604"/>
      <c r="H773" s="604"/>
      <c r="I773" s="604"/>
      <c r="J773" s="604"/>
      <c r="K773" s="604"/>
      <c r="L773" s="604"/>
      <c r="M773" s="604"/>
      <c r="N773" s="604"/>
      <c r="O773" s="604"/>
      <c r="P773" s="604"/>
      <c r="Q773" s="604"/>
      <c r="R773" s="604"/>
      <c r="S773" s="604"/>
      <c r="T773" s="604"/>
      <c r="U773" s="604"/>
      <c r="V773" s="604"/>
      <c r="W773" s="604"/>
      <c r="X773" s="604"/>
    </row>
    <row r="774" spans="1:24" ht="15.6">
      <c r="A774" s="604"/>
      <c r="B774" s="604"/>
      <c r="C774" s="609"/>
      <c r="D774" s="604"/>
      <c r="E774" s="604"/>
      <c r="F774" s="604"/>
      <c r="G774" s="604"/>
      <c r="H774" s="604"/>
      <c r="I774" s="604"/>
      <c r="J774" s="604"/>
      <c r="K774" s="604"/>
      <c r="L774" s="604"/>
      <c r="M774" s="604"/>
      <c r="N774" s="604"/>
      <c r="O774" s="604"/>
      <c r="P774" s="604"/>
      <c r="Q774" s="604"/>
      <c r="R774" s="604"/>
      <c r="S774" s="604"/>
      <c r="T774" s="604"/>
      <c r="U774" s="604"/>
      <c r="V774" s="604"/>
      <c r="W774" s="604"/>
      <c r="X774" s="604"/>
    </row>
    <row r="775" spans="1:24" ht="15.6">
      <c r="A775" s="604"/>
      <c r="B775" s="604"/>
      <c r="C775" s="609"/>
      <c r="D775" s="604"/>
      <c r="E775" s="604"/>
      <c r="F775" s="604"/>
      <c r="G775" s="604"/>
      <c r="H775" s="604"/>
      <c r="I775" s="604"/>
      <c r="J775" s="604"/>
      <c r="K775" s="604"/>
      <c r="L775" s="604"/>
      <c r="M775" s="604"/>
      <c r="N775" s="604"/>
      <c r="O775" s="604"/>
      <c r="P775" s="604"/>
      <c r="Q775" s="604"/>
      <c r="R775" s="604"/>
      <c r="S775" s="604"/>
      <c r="T775" s="604"/>
      <c r="U775" s="604"/>
      <c r="V775" s="604"/>
      <c r="W775" s="604"/>
      <c r="X775" s="604"/>
    </row>
    <row r="776" spans="1:24" ht="15.6">
      <c r="A776" s="604"/>
      <c r="B776" s="604"/>
      <c r="C776" s="609"/>
      <c r="D776" s="604"/>
      <c r="E776" s="604"/>
      <c r="F776" s="604"/>
      <c r="G776" s="604"/>
      <c r="H776" s="604"/>
      <c r="I776" s="604"/>
      <c r="J776" s="604"/>
      <c r="K776" s="604"/>
      <c r="L776" s="604"/>
      <c r="M776" s="604"/>
      <c r="N776" s="604"/>
      <c r="O776" s="604"/>
      <c r="P776" s="604"/>
      <c r="Q776" s="604"/>
      <c r="R776" s="604"/>
      <c r="S776" s="604"/>
      <c r="T776" s="604"/>
      <c r="U776" s="604"/>
      <c r="V776" s="604"/>
      <c r="W776" s="604"/>
      <c r="X776" s="604"/>
    </row>
    <row r="777" spans="1:24" ht="15.6">
      <c r="A777" s="604"/>
      <c r="B777" s="604"/>
      <c r="C777" s="609"/>
      <c r="D777" s="604"/>
      <c r="E777" s="604"/>
      <c r="F777" s="604"/>
      <c r="G777" s="604"/>
      <c r="H777" s="604"/>
      <c r="I777" s="604"/>
      <c r="J777" s="604"/>
      <c r="K777" s="604"/>
      <c r="L777" s="604"/>
      <c r="M777" s="604"/>
      <c r="N777" s="604"/>
      <c r="O777" s="604"/>
      <c r="P777" s="604"/>
      <c r="Q777" s="604"/>
      <c r="R777" s="604"/>
      <c r="S777" s="604"/>
      <c r="T777" s="604"/>
      <c r="U777" s="604"/>
      <c r="V777" s="604"/>
      <c r="W777" s="604"/>
      <c r="X777" s="604"/>
    </row>
    <row r="778" spans="1:24" ht="15.6">
      <c r="A778" s="604"/>
      <c r="B778" s="604"/>
      <c r="C778" s="609"/>
      <c r="D778" s="604"/>
      <c r="E778" s="604"/>
      <c r="F778" s="604"/>
      <c r="G778" s="604"/>
      <c r="H778" s="604"/>
      <c r="I778" s="604"/>
      <c r="J778" s="604"/>
      <c r="K778" s="604"/>
      <c r="L778" s="604"/>
      <c r="M778" s="604"/>
      <c r="N778" s="604"/>
      <c r="O778" s="604"/>
      <c r="P778" s="604"/>
      <c r="Q778" s="604"/>
      <c r="R778" s="604"/>
      <c r="S778" s="604"/>
      <c r="T778" s="604"/>
      <c r="U778" s="604"/>
      <c r="V778" s="604"/>
      <c r="W778" s="604"/>
      <c r="X778" s="604"/>
    </row>
    <row r="779" spans="1:24" ht="15.6">
      <c r="A779" s="604"/>
      <c r="B779" s="604"/>
      <c r="C779" s="609"/>
      <c r="D779" s="604"/>
      <c r="E779" s="604"/>
      <c r="F779" s="604"/>
      <c r="G779" s="604"/>
      <c r="H779" s="604"/>
      <c r="I779" s="604"/>
      <c r="J779" s="604"/>
      <c r="K779" s="604"/>
      <c r="L779" s="604"/>
      <c r="M779" s="604"/>
      <c r="N779" s="604"/>
      <c r="O779" s="604"/>
      <c r="P779" s="604"/>
      <c r="Q779" s="604"/>
      <c r="R779" s="604"/>
      <c r="S779" s="604"/>
      <c r="T779" s="604"/>
      <c r="U779" s="604"/>
      <c r="V779" s="604"/>
      <c r="W779" s="604"/>
      <c r="X779" s="604"/>
    </row>
    <row r="780" spans="1:24" ht="15.6">
      <c r="A780" s="604"/>
      <c r="B780" s="604"/>
      <c r="C780" s="609"/>
      <c r="D780" s="604"/>
      <c r="E780" s="604"/>
      <c r="F780" s="604"/>
      <c r="G780" s="604"/>
      <c r="H780" s="604"/>
      <c r="I780" s="604"/>
      <c r="J780" s="604"/>
      <c r="K780" s="604"/>
      <c r="L780" s="604"/>
      <c r="M780" s="604"/>
      <c r="N780" s="604"/>
      <c r="O780" s="604"/>
      <c r="P780" s="604"/>
      <c r="Q780" s="604"/>
      <c r="R780" s="604"/>
      <c r="S780" s="604"/>
      <c r="T780" s="604"/>
      <c r="U780" s="604"/>
      <c r="V780" s="604"/>
      <c r="W780" s="604"/>
      <c r="X780" s="604"/>
    </row>
    <row r="781" spans="1:24" ht="15.6">
      <c r="A781" s="604"/>
      <c r="B781" s="604"/>
      <c r="C781" s="609"/>
      <c r="D781" s="604"/>
      <c r="E781" s="604"/>
      <c r="F781" s="604"/>
      <c r="G781" s="604"/>
      <c r="H781" s="604"/>
      <c r="I781" s="604"/>
      <c r="J781" s="604"/>
      <c r="K781" s="604"/>
      <c r="L781" s="604"/>
      <c r="M781" s="604"/>
      <c r="N781" s="604"/>
      <c r="O781" s="604"/>
      <c r="P781" s="604"/>
      <c r="Q781" s="604"/>
      <c r="R781" s="604"/>
      <c r="S781" s="604"/>
      <c r="T781" s="604"/>
      <c r="U781" s="604"/>
      <c r="V781" s="604"/>
      <c r="W781" s="604"/>
      <c r="X781" s="604"/>
    </row>
    <row r="782" spans="1:24" ht="15.6">
      <c r="A782" s="604"/>
      <c r="B782" s="604"/>
      <c r="C782" s="609"/>
      <c r="D782" s="604"/>
      <c r="E782" s="604"/>
      <c r="F782" s="604"/>
      <c r="G782" s="604"/>
      <c r="H782" s="604"/>
      <c r="I782" s="604"/>
      <c r="J782" s="604"/>
      <c r="K782" s="604"/>
      <c r="L782" s="604"/>
      <c r="M782" s="604"/>
      <c r="N782" s="604"/>
      <c r="O782" s="604"/>
      <c r="P782" s="604"/>
      <c r="Q782" s="604"/>
      <c r="R782" s="604"/>
      <c r="S782" s="604"/>
      <c r="T782" s="604"/>
      <c r="U782" s="604"/>
      <c r="V782" s="604"/>
      <c r="W782" s="604"/>
      <c r="X782" s="604"/>
    </row>
    <row r="783" spans="1:24" ht="15.6">
      <c r="A783" s="604"/>
      <c r="B783" s="604"/>
      <c r="C783" s="609"/>
      <c r="D783" s="604"/>
      <c r="E783" s="604"/>
      <c r="F783" s="604"/>
      <c r="G783" s="604"/>
      <c r="H783" s="604"/>
      <c r="I783" s="604"/>
      <c r="J783" s="604"/>
      <c r="K783" s="604"/>
      <c r="L783" s="604"/>
      <c r="M783" s="604"/>
      <c r="N783" s="604"/>
      <c r="O783" s="604"/>
      <c r="P783" s="604"/>
      <c r="Q783" s="604"/>
      <c r="R783" s="604"/>
      <c r="S783" s="604"/>
      <c r="T783" s="604"/>
      <c r="U783" s="604"/>
      <c r="V783" s="604"/>
      <c r="W783" s="604"/>
      <c r="X783" s="604"/>
    </row>
    <row r="784" spans="1:24" ht="15.6">
      <c r="A784" s="604"/>
      <c r="B784" s="604"/>
      <c r="C784" s="609"/>
      <c r="D784" s="604"/>
      <c r="E784" s="604"/>
      <c r="F784" s="604"/>
      <c r="G784" s="604"/>
      <c r="H784" s="604"/>
      <c r="I784" s="604"/>
      <c r="J784" s="604"/>
      <c r="K784" s="604"/>
      <c r="L784" s="604"/>
      <c r="M784" s="604"/>
      <c r="N784" s="604"/>
      <c r="O784" s="604"/>
      <c r="P784" s="604"/>
      <c r="Q784" s="604"/>
      <c r="R784" s="604"/>
      <c r="S784" s="604"/>
      <c r="T784" s="604"/>
      <c r="U784" s="604"/>
      <c r="V784" s="604"/>
      <c r="W784" s="604"/>
      <c r="X784" s="604"/>
    </row>
    <row r="785" spans="1:24" ht="15.6">
      <c r="A785" s="604"/>
      <c r="B785" s="604"/>
      <c r="C785" s="609"/>
      <c r="D785" s="604"/>
      <c r="E785" s="604"/>
      <c r="F785" s="604"/>
      <c r="G785" s="604"/>
      <c r="H785" s="604"/>
      <c r="I785" s="604"/>
      <c r="J785" s="604"/>
      <c r="K785" s="604"/>
      <c r="L785" s="604"/>
      <c r="M785" s="604"/>
      <c r="N785" s="604"/>
      <c r="O785" s="604"/>
      <c r="P785" s="604"/>
      <c r="Q785" s="604"/>
      <c r="R785" s="604"/>
      <c r="S785" s="604"/>
      <c r="T785" s="604"/>
      <c r="U785" s="604"/>
      <c r="V785" s="604"/>
      <c r="W785" s="604"/>
      <c r="X785" s="604"/>
    </row>
    <row r="786" spans="1:24" ht="15.6">
      <c r="A786" s="604"/>
      <c r="B786" s="604"/>
      <c r="C786" s="609"/>
      <c r="D786" s="604"/>
      <c r="E786" s="604"/>
      <c r="F786" s="604"/>
      <c r="G786" s="604"/>
      <c r="H786" s="604"/>
      <c r="I786" s="604"/>
      <c r="J786" s="604"/>
      <c r="K786" s="604"/>
      <c r="L786" s="604"/>
      <c r="M786" s="604"/>
      <c r="N786" s="604"/>
      <c r="O786" s="604"/>
      <c r="P786" s="604"/>
      <c r="Q786" s="604"/>
      <c r="R786" s="604"/>
      <c r="S786" s="604"/>
      <c r="T786" s="604"/>
      <c r="U786" s="604"/>
      <c r="V786" s="604"/>
      <c r="W786" s="604"/>
      <c r="X786" s="604"/>
    </row>
    <row r="787" spans="1:24" ht="15.6">
      <c r="A787" s="604"/>
      <c r="B787" s="604"/>
      <c r="C787" s="609"/>
      <c r="D787" s="604"/>
      <c r="E787" s="604"/>
      <c r="F787" s="604"/>
      <c r="G787" s="604"/>
      <c r="H787" s="604"/>
      <c r="I787" s="604"/>
      <c r="J787" s="604"/>
      <c r="K787" s="604"/>
      <c r="L787" s="604"/>
      <c r="M787" s="604"/>
      <c r="N787" s="604"/>
      <c r="O787" s="604"/>
      <c r="P787" s="604"/>
      <c r="Q787" s="604"/>
      <c r="R787" s="604"/>
      <c r="S787" s="604"/>
      <c r="T787" s="604"/>
      <c r="U787" s="604"/>
      <c r="V787" s="604"/>
      <c r="W787" s="604"/>
      <c r="X787" s="604"/>
    </row>
    <row r="788" spans="1:24" ht="15.6">
      <c r="A788" s="604"/>
      <c r="B788" s="604"/>
      <c r="C788" s="609"/>
      <c r="D788" s="604"/>
      <c r="E788" s="604"/>
      <c r="F788" s="604"/>
      <c r="G788" s="604"/>
      <c r="H788" s="604"/>
      <c r="I788" s="604"/>
      <c r="J788" s="604"/>
      <c r="K788" s="604"/>
      <c r="L788" s="604"/>
      <c r="M788" s="604"/>
      <c r="N788" s="604"/>
      <c r="O788" s="604"/>
      <c r="P788" s="604"/>
      <c r="Q788" s="604"/>
      <c r="R788" s="604"/>
      <c r="S788" s="604"/>
      <c r="T788" s="604"/>
      <c r="U788" s="604"/>
      <c r="V788" s="604"/>
      <c r="W788" s="604"/>
      <c r="X788" s="604"/>
    </row>
    <row r="789" spans="1:24" ht="15.6">
      <c r="A789" s="604"/>
      <c r="B789" s="604"/>
      <c r="C789" s="609"/>
      <c r="D789" s="604"/>
      <c r="E789" s="604"/>
      <c r="F789" s="604"/>
      <c r="G789" s="604"/>
      <c r="H789" s="604"/>
      <c r="I789" s="604"/>
      <c r="J789" s="604"/>
      <c r="K789" s="604"/>
      <c r="L789" s="604"/>
      <c r="M789" s="604"/>
      <c r="N789" s="604"/>
      <c r="O789" s="604"/>
      <c r="P789" s="604"/>
      <c r="Q789" s="604"/>
      <c r="R789" s="604"/>
      <c r="S789" s="604"/>
      <c r="T789" s="604"/>
      <c r="U789" s="604"/>
      <c r="V789" s="604"/>
      <c r="W789" s="604"/>
      <c r="X789" s="604"/>
    </row>
    <row r="790" spans="1:24" ht="15.6">
      <c r="A790" s="604"/>
      <c r="B790" s="604"/>
      <c r="C790" s="609"/>
      <c r="D790" s="604"/>
      <c r="E790" s="604"/>
      <c r="F790" s="604"/>
      <c r="G790" s="604"/>
      <c r="H790" s="604"/>
      <c r="I790" s="604"/>
      <c r="J790" s="604"/>
      <c r="K790" s="604"/>
      <c r="L790" s="604"/>
      <c r="M790" s="604"/>
      <c r="N790" s="604"/>
      <c r="O790" s="604"/>
      <c r="P790" s="604"/>
      <c r="Q790" s="604"/>
      <c r="R790" s="604"/>
      <c r="S790" s="604"/>
      <c r="T790" s="604"/>
      <c r="U790" s="604"/>
      <c r="V790" s="604"/>
      <c r="W790" s="604"/>
      <c r="X790" s="604"/>
    </row>
    <row r="791" spans="1:24" ht="15.6">
      <c r="A791" s="604"/>
      <c r="B791" s="604"/>
      <c r="C791" s="609"/>
      <c r="D791" s="604"/>
      <c r="E791" s="604"/>
      <c r="F791" s="604"/>
      <c r="G791" s="604"/>
      <c r="H791" s="604"/>
      <c r="I791" s="604"/>
      <c r="J791" s="604"/>
      <c r="K791" s="604"/>
      <c r="L791" s="604"/>
      <c r="M791" s="604"/>
      <c r="N791" s="604"/>
      <c r="O791" s="604"/>
      <c r="P791" s="604"/>
      <c r="Q791" s="604"/>
      <c r="R791" s="604"/>
      <c r="S791" s="604"/>
      <c r="T791" s="604"/>
      <c r="U791" s="604"/>
      <c r="V791" s="604"/>
      <c r="W791" s="604"/>
      <c r="X791" s="604"/>
    </row>
    <row r="792" spans="1:24" ht="15.6">
      <c r="A792" s="604"/>
      <c r="B792" s="604"/>
      <c r="C792" s="609"/>
      <c r="D792" s="604"/>
      <c r="E792" s="604"/>
      <c r="F792" s="604"/>
      <c r="G792" s="604"/>
      <c r="H792" s="604"/>
      <c r="I792" s="604"/>
      <c r="J792" s="604"/>
      <c r="K792" s="604"/>
      <c r="L792" s="604"/>
      <c r="M792" s="604"/>
      <c r="N792" s="604"/>
      <c r="O792" s="604"/>
      <c r="P792" s="604"/>
      <c r="Q792" s="604"/>
      <c r="R792" s="604"/>
      <c r="S792" s="604"/>
      <c r="T792" s="604"/>
      <c r="U792" s="604"/>
      <c r="V792" s="604"/>
      <c r="W792" s="604"/>
      <c r="X792" s="604"/>
    </row>
    <row r="793" spans="1:24" ht="15.6">
      <c r="A793" s="604"/>
      <c r="B793" s="604"/>
      <c r="C793" s="609"/>
      <c r="D793" s="604"/>
      <c r="E793" s="604"/>
      <c r="F793" s="604"/>
      <c r="G793" s="604"/>
      <c r="H793" s="604"/>
      <c r="I793" s="604"/>
      <c r="J793" s="604"/>
      <c r="K793" s="604"/>
      <c r="L793" s="604"/>
      <c r="M793" s="604"/>
      <c r="N793" s="604"/>
      <c r="O793" s="604"/>
      <c r="P793" s="604"/>
      <c r="Q793" s="604"/>
      <c r="R793" s="604"/>
      <c r="S793" s="604"/>
      <c r="T793" s="604"/>
      <c r="U793" s="604"/>
      <c r="V793" s="604"/>
      <c r="W793" s="604"/>
      <c r="X793" s="604"/>
    </row>
    <row r="794" spans="1:24" ht="15.6">
      <c r="A794" s="604"/>
      <c r="B794" s="604"/>
      <c r="C794" s="609"/>
      <c r="D794" s="604"/>
      <c r="E794" s="604"/>
      <c r="F794" s="604"/>
      <c r="G794" s="604"/>
      <c r="H794" s="604"/>
      <c r="I794" s="604"/>
      <c r="J794" s="604"/>
      <c r="K794" s="604"/>
      <c r="L794" s="604"/>
      <c r="M794" s="604"/>
      <c r="N794" s="604"/>
      <c r="O794" s="604"/>
      <c r="P794" s="604"/>
      <c r="Q794" s="604"/>
      <c r="R794" s="604"/>
      <c r="S794" s="604"/>
      <c r="T794" s="604"/>
      <c r="U794" s="604"/>
      <c r="V794" s="604"/>
      <c r="W794" s="604"/>
      <c r="X794" s="604"/>
    </row>
    <row r="795" spans="1:24" ht="15.6">
      <c r="A795" s="604"/>
      <c r="B795" s="604"/>
      <c r="C795" s="609"/>
      <c r="D795" s="604"/>
      <c r="E795" s="604"/>
      <c r="F795" s="604"/>
      <c r="G795" s="604"/>
      <c r="H795" s="604"/>
      <c r="I795" s="604"/>
      <c r="J795" s="604"/>
      <c r="K795" s="604"/>
      <c r="L795" s="604"/>
      <c r="M795" s="604"/>
      <c r="N795" s="604"/>
      <c r="O795" s="604"/>
      <c r="P795" s="604"/>
      <c r="Q795" s="604"/>
      <c r="R795" s="604"/>
      <c r="S795" s="604"/>
      <c r="T795" s="604"/>
      <c r="U795" s="604"/>
      <c r="V795" s="604"/>
      <c r="W795" s="604"/>
      <c r="X795" s="604"/>
    </row>
    <row r="796" spans="1:24" ht="15.6">
      <c r="A796" s="604"/>
      <c r="B796" s="604"/>
      <c r="C796" s="609"/>
      <c r="D796" s="604"/>
      <c r="E796" s="604"/>
      <c r="F796" s="604"/>
      <c r="G796" s="604"/>
      <c r="H796" s="604"/>
      <c r="I796" s="604"/>
      <c r="J796" s="604"/>
      <c r="K796" s="604"/>
      <c r="L796" s="604"/>
      <c r="M796" s="604"/>
      <c r="N796" s="604"/>
      <c r="O796" s="604"/>
      <c r="P796" s="604"/>
      <c r="Q796" s="604"/>
      <c r="R796" s="604"/>
      <c r="S796" s="604"/>
      <c r="T796" s="604"/>
      <c r="U796" s="604"/>
      <c r="V796" s="604"/>
      <c r="W796" s="604"/>
      <c r="X796" s="604"/>
    </row>
    <row r="797" spans="1:24" ht="15.6">
      <c r="A797" s="604"/>
      <c r="B797" s="604"/>
      <c r="C797" s="609"/>
      <c r="D797" s="604"/>
      <c r="E797" s="604"/>
      <c r="F797" s="604"/>
      <c r="G797" s="604"/>
      <c r="H797" s="604"/>
      <c r="I797" s="604"/>
      <c r="J797" s="604"/>
      <c r="K797" s="604"/>
      <c r="L797" s="604"/>
      <c r="M797" s="604"/>
      <c r="N797" s="604"/>
      <c r="O797" s="604"/>
      <c r="P797" s="604"/>
      <c r="Q797" s="604"/>
      <c r="R797" s="604"/>
      <c r="S797" s="604"/>
      <c r="T797" s="604"/>
      <c r="U797" s="604"/>
      <c r="V797" s="604"/>
      <c r="W797" s="604"/>
      <c r="X797" s="604"/>
    </row>
    <row r="798" spans="1:24" ht="15.6">
      <c r="A798" s="604"/>
      <c r="B798" s="604"/>
      <c r="C798" s="609"/>
      <c r="D798" s="604"/>
      <c r="E798" s="604"/>
      <c r="F798" s="604"/>
      <c r="G798" s="604"/>
      <c r="H798" s="604"/>
      <c r="I798" s="604"/>
      <c r="J798" s="604"/>
      <c r="K798" s="604"/>
      <c r="L798" s="604"/>
      <c r="M798" s="604"/>
      <c r="N798" s="604"/>
      <c r="O798" s="604"/>
      <c r="P798" s="604"/>
      <c r="Q798" s="604"/>
      <c r="R798" s="604"/>
      <c r="S798" s="604"/>
      <c r="T798" s="604"/>
      <c r="U798" s="604"/>
      <c r="V798" s="604"/>
      <c r="W798" s="604"/>
      <c r="X798" s="604"/>
    </row>
    <row r="799" spans="1:24" ht="15.6">
      <c r="A799" s="604"/>
      <c r="B799" s="604"/>
      <c r="C799" s="609"/>
      <c r="D799" s="604"/>
      <c r="E799" s="604"/>
      <c r="F799" s="604"/>
      <c r="G799" s="604"/>
      <c r="H799" s="604"/>
      <c r="I799" s="604"/>
      <c r="J799" s="604"/>
      <c r="K799" s="604"/>
      <c r="L799" s="604"/>
      <c r="M799" s="604"/>
      <c r="N799" s="604"/>
      <c r="O799" s="604"/>
      <c r="P799" s="604"/>
      <c r="Q799" s="604"/>
      <c r="R799" s="604"/>
      <c r="S799" s="604"/>
      <c r="T799" s="604"/>
      <c r="U799" s="604"/>
      <c r="V799" s="604"/>
      <c r="W799" s="604"/>
      <c r="X799" s="604"/>
    </row>
    <row r="800" spans="1:24" ht="15.6">
      <c r="A800" s="604"/>
      <c r="B800" s="604"/>
      <c r="C800" s="609"/>
      <c r="D800" s="604"/>
      <c r="E800" s="604"/>
      <c r="F800" s="604"/>
      <c r="G800" s="604"/>
      <c r="H800" s="604"/>
      <c r="I800" s="604"/>
      <c r="J800" s="604"/>
      <c r="K800" s="604"/>
      <c r="L800" s="604"/>
      <c r="M800" s="604"/>
      <c r="N800" s="604"/>
      <c r="O800" s="604"/>
      <c r="P800" s="604"/>
      <c r="Q800" s="604"/>
      <c r="R800" s="604"/>
      <c r="S800" s="604"/>
      <c r="T800" s="604"/>
      <c r="U800" s="604"/>
      <c r="V800" s="604"/>
      <c r="W800" s="604"/>
      <c r="X800" s="604"/>
    </row>
    <row r="801" spans="1:24" ht="15.6">
      <c r="A801" s="604"/>
      <c r="B801" s="604"/>
      <c r="C801" s="609"/>
      <c r="D801" s="604"/>
      <c r="E801" s="604"/>
      <c r="F801" s="604"/>
      <c r="G801" s="604"/>
      <c r="H801" s="604"/>
      <c r="I801" s="604"/>
      <c r="J801" s="604"/>
      <c r="K801" s="604"/>
      <c r="L801" s="604"/>
      <c r="M801" s="604"/>
      <c r="N801" s="604"/>
      <c r="O801" s="604"/>
      <c r="P801" s="604"/>
      <c r="Q801" s="604"/>
      <c r="R801" s="604"/>
      <c r="S801" s="604"/>
      <c r="T801" s="604"/>
      <c r="U801" s="604"/>
      <c r="V801" s="604"/>
      <c r="W801" s="604"/>
      <c r="X801" s="604"/>
    </row>
    <row r="802" spans="1:24" ht="15.6">
      <c r="A802" s="604"/>
      <c r="B802" s="604"/>
      <c r="C802" s="609"/>
      <c r="D802" s="604"/>
      <c r="E802" s="604"/>
      <c r="F802" s="604"/>
      <c r="G802" s="604"/>
      <c r="H802" s="604"/>
      <c r="I802" s="604"/>
      <c r="J802" s="604"/>
      <c r="K802" s="604"/>
      <c r="L802" s="604"/>
      <c r="M802" s="604"/>
      <c r="N802" s="604"/>
      <c r="O802" s="604"/>
      <c r="P802" s="604"/>
      <c r="Q802" s="604"/>
      <c r="R802" s="604"/>
      <c r="S802" s="604"/>
      <c r="T802" s="604"/>
      <c r="U802" s="604"/>
      <c r="V802" s="604"/>
      <c r="W802" s="604"/>
      <c r="X802" s="604"/>
    </row>
    <row r="803" spans="1:24" ht="15.6">
      <c r="A803" s="604"/>
      <c r="B803" s="604"/>
      <c r="C803" s="609"/>
      <c r="D803" s="604"/>
      <c r="E803" s="604"/>
      <c r="F803" s="604"/>
      <c r="G803" s="604"/>
      <c r="H803" s="604"/>
      <c r="I803" s="604"/>
      <c r="J803" s="604"/>
      <c r="K803" s="604"/>
      <c r="L803" s="604"/>
      <c r="M803" s="604"/>
      <c r="N803" s="604"/>
      <c r="O803" s="604"/>
      <c r="P803" s="604"/>
      <c r="Q803" s="604"/>
      <c r="R803" s="604"/>
      <c r="S803" s="604"/>
      <c r="T803" s="604"/>
      <c r="U803" s="604"/>
      <c r="V803" s="604"/>
      <c r="W803" s="604"/>
      <c r="X803" s="604"/>
    </row>
    <row r="804" spans="1:24" ht="15.6">
      <c r="A804" s="604"/>
      <c r="B804" s="604"/>
      <c r="C804" s="609"/>
      <c r="D804" s="604"/>
      <c r="E804" s="604"/>
      <c r="F804" s="604"/>
      <c r="G804" s="604"/>
      <c r="H804" s="604"/>
      <c r="I804" s="604"/>
      <c r="J804" s="604"/>
      <c r="K804" s="604"/>
      <c r="L804" s="604"/>
      <c r="M804" s="604"/>
      <c r="N804" s="604"/>
      <c r="O804" s="604"/>
      <c r="P804" s="604"/>
      <c r="Q804" s="604"/>
      <c r="R804" s="604"/>
      <c r="S804" s="604"/>
      <c r="T804" s="604"/>
      <c r="U804" s="604"/>
      <c r="V804" s="604"/>
      <c r="W804" s="604"/>
      <c r="X804" s="604"/>
    </row>
    <row r="805" spans="1:24" ht="15.6">
      <c r="A805" s="604"/>
      <c r="B805" s="604"/>
      <c r="C805" s="609"/>
      <c r="D805" s="604"/>
      <c r="E805" s="604"/>
      <c r="F805" s="604"/>
      <c r="G805" s="604"/>
      <c r="H805" s="604"/>
      <c r="I805" s="604"/>
      <c r="J805" s="604"/>
      <c r="K805" s="604"/>
      <c r="L805" s="604"/>
      <c r="M805" s="604"/>
      <c r="N805" s="604"/>
      <c r="O805" s="604"/>
      <c r="P805" s="604"/>
      <c r="Q805" s="604"/>
      <c r="R805" s="604"/>
      <c r="S805" s="604"/>
      <c r="T805" s="604"/>
      <c r="U805" s="604"/>
      <c r="V805" s="604"/>
      <c r="W805" s="604"/>
      <c r="X805" s="604"/>
    </row>
    <row r="806" spans="1:24" ht="15.6">
      <c r="A806" s="604"/>
      <c r="B806" s="604"/>
      <c r="C806" s="609"/>
      <c r="D806" s="604"/>
      <c r="E806" s="604"/>
      <c r="F806" s="604"/>
      <c r="G806" s="604"/>
      <c r="H806" s="604"/>
      <c r="I806" s="604"/>
      <c r="J806" s="604"/>
      <c r="K806" s="604"/>
      <c r="L806" s="604"/>
      <c r="M806" s="604"/>
      <c r="N806" s="604"/>
      <c r="O806" s="604"/>
      <c r="P806" s="604"/>
      <c r="Q806" s="604"/>
      <c r="R806" s="604"/>
      <c r="S806" s="604"/>
      <c r="T806" s="604"/>
      <c r="U806" s="604"/>
      <c r="V806" s="604"/>
      <c r="W806" s="604"/>
      <c r="X806" s="604"/>
    </row>
    <row r="807" spans="1:24" ht="15.6">
      <c r="A807" s="604"/>
      <c r="B807" s="604"/>
      <c r="C807" s="609"/>
      <c r="D807" s="604"/>
      <c r="E807" s="604"/>
      <c r="F807" s="604"/>
      <c r="G807" s="604"/>
      <c r="H807" s="604"/>
      <c r="I807" s="604"/>
      <c r="J807" s="604"/>
      <c r="K807" s="604"/>
      <c r="L807" s="604"/>
      <c r="M807" s="604"/>
      <c r="N807" s="604"/>
      <c r="O807" s="604"/>
      <c r="P807" s="604"/>
      <c r="Q807" s="604"/>
      <c r="R807" s="604"/>
      <c r="S807" s="604"/>
      <c r="T807" s="604"/>
      <c r="U807" s="604"/>
      <c r="V807" s="604"/>
      <c r="W807" s="604"/>
      <c r="X807" s="604"/>
    </row>
    <row r="808" spans="1:24" ht="15.6">
      <c r="A808" s="604"/>
      <c r="B808" s="604"/>
      <c r="C808" s="609"/>
      <c r="D808" s="604"/>
      <c r="E808" s="604"/>
      <c r="F808" s="604"/>
      <c r="G808" s="604"/>
      <c r="H808" s="604"/>
      <c r="I808" s="604"/>
      <c r="J808" s="604"/>
      <c r="K808" s="604"/>
      <c r="L808" s="604"/>
      <c r="M808" s="604"/>
      <c r="N808" s="604"/>
      <c r="O808" s="604"/>
      <c r="P808" s="604"/>
      <c r="Q808" s="604"/>
      <c r="R808" s="604"/>
      <c r="S808" s="604"/>
      <c r="T808" s="604"/>
      <c r="U808" s="604"/>
      <c r="V808" s="604"/>
      <c r="W808" s="604"/>
      <c r="X808" s="604"/>
    </row>
    <row r="809" spans="1:24" ht="15.6">
      <c r="A809" s="604"/>
      <c r="B809" s="604"/>
      <c r="C809" s="609"/>
      <c r="D809" s="604"/>
      <c r="E809" s="604"/>
      <c r="F809" s="604"/>
      <c r="G809" s="604"/>
      <c r="H809" s="604"/>
      <c r="I809" s="604"/>
      <c r="J809" s="604"/>
      <c r="K809" s="604"/>
      <c r="L809" s="604"/>
      <c r="M809" s="604"/>
      <c r="N809" s="604"/>
      <c r="O809" s="604"/>
      <c r="P809" s="604"/>
      <c r="Q809" s="604"/>
      <c r="R809" s="604"/>
      <c r="S809" s="604"/>
      <c r="T809" s="604"/>
      <c r="U809" s="604"/>
      <c r="V809" s="604"/>
      <c r="W809" s="604"/>
      <c r="X809" s="604"/>
    </row>
    <row r="810" spans="1:24" ht="15.6">
      <c r="A810" s="604"/>
      <c r="B810" s="604"/>
      <c r="C810" s="609"/>
      <c r="D810" s="604"/>
      <c r="E810" s="604"/>
      <c r="F810" s="604"/>
      <c r="G810" s="604"/>
      <c r="H810" s="604"/>
      <c r="I810" s="604"/>
      <c r="J810" s="604"/>
      <c r="K810" s="604"/>
      <c r="L810" s="604"/>
      <c r="M810" s="604"/>
      <c r="N810" s="604"/>
      <c r="O810" s="604"/>
      <c r="P810" s="604"/>
      <c r="Q810" s="604"/>
      <c r="R810" s="604"/>
      <c r="S810" s="604"/>
      <c r="T810" s="604"/>
      <c r="U810" s="604"/>
      <c r="V810" s="604"/>
      <c r="W810" s="604"/>
      <c r="X810" s="604"/>
    </row>
    <row r="811" spans="1:24" ht="15.6">
      <c r="A811" s="604"/>
      <c r="B811" s="604"/>
      <c r="C811" s="609"/>
      <c r="D811" s="604"/>
      <c r="E811" s="604"/>
      <c r="F811" s="604"/>
      <c r="G811" s="604"/>
      <c r="H811" s="604"/>
      <c r="I811" s="604"/>
      <c r="J811" s="604"/>
      <c r="K811" s="604"/>
      <c r="L811" s="604"/>
      <c r="M811" s="604"/>
      <c r="N811" s="604"/>
      <c r="O811" s="604"/>
      <c r="P811" s="604"/>
      <c r="Q811" s="604"/>
      <c r="R811" s="604"/>
      <c r="S811" s="604"/>
      <c r="T811" s="604"/>
      <c r="U811" s="604"/>
      <c r="V811" s="604"/>
      <c r="W811" s="604"/>
      <c r="X811" s="604"/>
    </row>
    <row r="812" spans="1:24" ht="15.6">
      <c r="A812" s="604"/>
      <c r="B812" s="604"/>
      <c r="C812" s="609"/>
      <c r="D812" s="604"/>
      <c r="E812" s="604"/>
      <c r="F812" s="604"/>
      <c r="G812" s="604"/>
      <c r="H812" s="604"/>
      <c r="I812" s="604"/>
      <c r="J812" s="604"/>
      <c r="K812" s="604"/>
      <c r="L812" s="604"/>
      <c r="M812" s="604"/>
      <c r="N812" s="604"/>
      <c r="O812" s="604"/>
      <c r="P812" s="604"/>
      <c r="Q812" s="604"/>
      <c r="R812" s="604"/>
      <c r="S812" s="604"/>
      <c r="T812" s="604"/>
      <c r="U812" s="604"/>
      <c r="V812" s="604"/>
      <c r="W812" s="604"/>
      <c r="X812" s="604"/>
    </row>
    <row r="813" spans="1:24" ht="15.6">
      <c r="A813" s="604"/>
      <c r="B813" s="604"/>
      <c r="C813" s="609"/>
      <c r="D813" s="604"/>
      <c r="E813" s="604"/>
      <c r="F813" s="604"/>
      <c r="G813" s="604"/>
      <c r="H813" s="604"/>
      <c r="I813" s="604"/>
      <c r="J813" s="604"/>
      <c r="K813" s="604"/>
      <c r="L813" s="604"/>
      <c r="M813" s="604"/>
      <c r="N813" s="604"/>
      <c r="O813" s="604"/>
      <c r="P813" s="604"/>
      <c r="Q813" s="604"/>
      <c r="R813" s="604"/>
      <c r="S813" s="604"/>
      <c r="T813" s="604"/>
      <c r="U813" s="604"/>
      <c r="V813" s="604"/>
      <c r="W813" s="604"/>
      <c r="X813" s="604"/>
    </row>
    <row r="814" spans="1:24" ht="15.6">
      <c r="A814" s="604"/>
      <c r="B814" s="604"/>
      <c r="C814" s="609"/>
      <c r="D814" s="604"/>
      <c r="E814" s="604"/>
      <c r="F814" s="604"/>
      <c r="G814" s="604"/>
      <c r="H814" s="604"/>
      <c r="I814" s="604"/>
      <c r="J814" s="604"/>
      <c r="K814" s="604"/>
      <c r="L814" s="604"/>
      <c r="M814" s="604"/>
      <c r="N814" s="604"/>
      <c r="O814" s="604"/>
      <c r="P814" s="604"/>
      <c r="Q814" s="604"/>
      <c r="R814" s="604"/>
      <c r="S814" s="604"/>
      <c r="T814" s="604"/>
      <c r="U814" s="604"/>
      <c r="V814" s="604"/>
      <c r="W814" s="604"/>
      <c r="X814" s="604"/>
    </row>
    <row r="815" spans="1:24" ht="15.6">
      <c r="A815" s="604"/>
      <c r="B815" s="604"/>
      <c r="C815" s="609"/>
      <c r="D815" s="604"/>
      <c r="E815" s="604"/>
      <c r="F815" s="604"/>
      <c r="G815" s="604"/>
      <c r="H815" s="604"/>
      <c r="I815" s="604"/>
      <c r="J815" s="604"/>
      <c r="K815" s="604"/>
      <c r="L815" s="604"/>
      <c r="M815" s="604"/>
      <c r="N815" s="604"/>
      <c r="O815" s="604"/>
      <c r="P815" s="604"/>
      <c r="Q815" s="604"/>
      <c r="R815" s="604"/>
      <c r="S815" s="604"/>
      <c r="T815" s="604"/>
      <c r="U815" s="604"/>
      <c r="V815" s="604"/>
      <c r="W815" s="604"/>
      <c r="X815" s="604"/>
    </row>
    <row r="816" spans="1:24" ht="15.6">
      <c r="A816" s="604"/>
      <c r="B816" s="604"/>
      <c r="C816" s="609"/>
      <c r="D816" s="604"/>
      <c r="E816" s="604"/>
      <c r="F816" s="604"/>
      <c r="G816" s="604"/>
      <c r="H816" s="604"/>
      <c r="I816" s="604"/>
      <c r="J816" s="604"/>
      <c r="K816" s="604"/>
      <c r="L816" s="604"/>
      <c r="M816" s="604"/>
      <c r="N816" s="604"/>
      <c r="O816" s="604"/>
      <c r="P816" s="604"/>
      <c r="Q816" s="604"/>
      <c r="R816" s="604"/>
      <c r="S816" s="604"/>
      <c r="T816" s="604"/>
      <c r="U816" s="604"/>
      <c r="V816" s="604"/>
      <c r="W816" s="604"/>
      <c r="X816" s="604"/>
    </row>
    <row r="817" spans="1:24" ht="15.6">
      <c r="A817" s="604"/>
      <c r="B817" s="604"/>
      <c r="C817" s="609"/>
      <c r="D817" s="604"/>
      <c r="E817" s="604"/>
      <c r="F817" s="604"/>
      <c r="G817" s="604"/>
      <c r="H817" s="604"/>
      <c r="I817" s="604"/>
      <c r="J817" s="604"/>
      <c r="K817" s="604"/>
      <c r="L817" s="604"/>
      <c r="M817" s="604"/>
      <c r="N817" s="604"/>
      <c r="O817" s="604"/>
      <c r="P817" s="604"/>
      <c r="Q817" s="604"/>
      <c r="R817" s="604"/>
      <c r="S817" s="604"/>
      <c r="T817" s="604"/>
      <c r="U817" s="604"/>
      <c r="V817" s="604"/>
      <c r="W817" s="604"/>
      <c r="X817" s="604"/>
    </row>
    <row r="818" spans="1:24" ht="15.6">
      <c r="A818" s="604"/>
      <c r="B818" s="604"/>
      <c r="C818" s="609"/>
      <c r="D818" s="604"/>
      <c r="E818" s="604"/>
      <c r="F818" s="604"/>
      <c r="G818" s="604"/>
      <c r="H818" s="604"/>
      <c r="I818" s="604"/>
      <c r="J818" s="604"/>
      <c r="K818" s="604"/>
      <c r="L818" s="604"/>
      <c r="M818" s="604"/>
      <c r="N818" s="604"/>
      <c r="O818" s="604"/>
      <c r="P818" s="604"/>
      <c r="Q818" s="604"/>
      <c r="R818" s="604"/>
      <c r="S818" s="604"/>
      <c r="T818" s="604"/>
      <c r="U818" s="604"/>
      <c r="V818" s="604"/>
      <c r="W818" s="604"/>
      <c r="X818" s="604"/>
    </row>
    <row r="819" spans="1:24" ht="15.6">
      <c r="A819" s="604"/>
      <c r="B819" s="604"/>
      <c r="C819" s="609"/>
      <c r="D819" s="604"/>
      <c r="E819" s="604"/>
      <c r="F819" s="604"/>
      <c r="G819" s="604"/>
      <c r="H819" s="604"/>
      <c r="I819" s="604"/>
      <c r="J819" s="604"/>
      <c r="K819" s="604"/>
      <c r="L819" s="604"/>
      <c r="M819" s="604"/>
      <c r="N819" s="604"/>
      <c r="O819" s="604"/>
      <c r="P819" s="604"/>
      <c r="Q819" s="604"/>
      <c r="R819" s="604"/>
      <c r="S819" s="604"/>
      <c r="T819" s="604"/>
      <c r="U819" s="604"/>
      <c r="V819" s="604"/>
      <c r="W819" s="604"/>
      <c r="X819" s="604"/>
    </row>
    <row r="820" spans="1:24" ht="15.6">
      <c r="A820" s="604"/>
      <c r="B820" s="604"/>
      <c r="C820" s="609"/>
      <c r="D820" s="604"/>
      <c r="E820" s="604"/>
      <c r="F820" s="604"/>
      <c r="G820" s="604"/>
      <c r="H820" s="604"/>
      <c r="I820" s="604"/>
      <c r="J820" s="604"/>
      <c r="K820" s="604"/>
      <c r="L820" s="604"/>
      <c r="M820" s="604"/>
      <c r="N820" s="604"/>
      <c r="O820" s="604"/>
      <c r="P820" s="604"/>
      <c r="Q820" s="604"/>
      <c r="R820" s="604"/>
      <c r="S820" s="604"/>
      <c r="T820" s="604"/>
      <c r="U820" s="604"/>
      <c r="V820" s="604"/>
      <c r="W820" s="604"/>
      <c r="X820" s="604"/>
    </row>
    <row r="821" spans="1:24" ht="15.6">
      <c r="A821" s="604"/>
      <c r="B821" s="604"/>
      <c r="C821" s="609"/>
      <c r="D821" s="604"/>
      <c r="E821" s="604"/>
      <c r="F821" s="604"/>
      <c r="G821" s="604"/>
      <c r="H821" s="604"/>
      <c r="I821" s="604"/>
      <c r="J821" s="604"/>
      <c r="K821" s="604"/>
      <c r="L821" s="604"/>
      <c r="M821" s="604"/>
      <c r="N821" s="604"/>
      <c r="O821" s="604"/>
      <c r="P821" s="604"/>
      <c r="Q821" s="604"/>
      <c r="R821" s="604"/>
      <c r="S821" s="604"/>
      <c r="T821" s="604"/>
      <c r="U821" s="604"/>
      <c r="V821" s="604"/>
      <c r="W821" s="604"/>
      <c r="X821" s="604"/>
    </row>
    <row r="822" spans="1:24" ht="15.6">
      <c r="A822" s="604"/>
      <c r="B822" s="604"/>
      <c r="C822" s="609"/>
      <c r="D822" s="604"/>
      <c r="E822" s="604"/>
      <c r="F822" s="604"/>
      <c r="G822" s="604"/>
      <c r="H822" s="604"/>
      <c r="I822" s="604"/>
      <c r="J822" s="604"/>
      <c r="K822" s="604"/>
      <c r="L822" s="604"/>
      <c r="M822" s="604"/>
      <c r="N822" s="604"/>
      <c r="O822" s="604"/>
      <c r="P822" s="604"/>
      <c r="Q822" s="604"/>
      <c r="R822" s="604"/>
      <c r="S822" s="604"/>
      <c r="T822" s="604"/>
      <c r="U822" s="604"/>
      <c r="V822" s="604"/>
      <c r="W822" s="604"/>
      <c r="X822" s="604"/>
    </row>
    <row r="823" spans="1:24" ht="15.6">
      <c r="A823" s="604"/>
      <c r="B823" s="604"/>
      <c r="C823" s="609"/>
      <c r="D823" s="604"/>
      <c r="E823" s="604"/>
      <c r="F823" s="604"/>
      <c r="G823" s="604"/>
      <c r="H823" s="604"/>
      <c r="I823" s="604"/>
      <c r="J823" s="604"/>
      <c r="K823" s="604"/>
      <c r="L823" s="604"/>
      <c r="M823" s="604"/>
      <c r="N823" s="604"/>
      <c r="O823" s="604"/>
      <c r="P823" s="604"/>
      <c r="Q823" s="604"/>
      <c r="R823" s="604"/>
      <c r="S823" s="604"/>
      <c r="T823" s="604"/>
      <c r="U823" s="604"/>
      <c r="V823" s="604"/>
      <c r="W823" s="604"/>
      <c r="X823" s="604"/>
    </row>
    <row r="824" spans="1:24" ht="15.6">
      <c r="A824" s="604"/>
      <c r="B824" s="604"/>
      <c r="C824" s="609"/>
      <c r="D824" s="604"/>
      <c r="E824" s="604"/>
      <c r="F824" s="604"/>
      <c r="G824" s="604"/>
      <c r="H824" s="604"/>
      <c r="I824" s="604"/>
      <c r="J824" s="604"/>
      <c r="K824" s="604"/>
      <c r="L824" s="604"/>
      <c r="M824" s="604"/>
      <c r="N824" s="604"/>
      <c r="O824" s="604"/>
      <c r="P824" s="604"/>
      <c r="Q824" s="604"/>
      <c r="R824" s="604"/>
      <c r="S824" s="604"/>
      <c r="T824" s="604"/>
      <c r="U824" s="604"/>
      <c r="V824" s="604"/>
      <c r="W824" s="604"/>
      <c r="X824" s="604"/>
    </row>
    <row r="825" spans="1:24" ht="15.6">
      <c r="A825" s="604"/>
      <c r="B825" s="604"/>
      <c r="C825" s="609"/>
      <c r="D825" s="604"/>
      <c r="E825" s="604"/>
      <c r="F825" s="604"/>
      <c r="G825" s="604"/>
      <c r="H825" s="604"/>
      <c r="I825" s="604"/>
      <c r="J825" s="604"/>
      <c r="K825" s="604"/>
      <c r="L825" s="604"/>
      <c r="M825" s="604"/>
      <c r="N825" s="604"/>
      <c r="O825" s="604"/>
      <c r="P825" s="604"/>
      <c r="Q825" s="604"/>
      <c r="R825" s="604"/>
      <c r="S825" s="604"/>
      <c r="T825" s="604"/>
      <c r="U825" s="604"/>
      <c r="V825" s="604"/>
      <c r="W825" s="604"/>
      <c r="X825" s="604"/>
    </row>
    <row r="826" spans="1:24" ht="15.6">
      <c r="A826" s="604"/>
      <c r="B826" s="604"/>
      <c r="C826" s="609"/>
      <c r="D826" s="604"/>
      <c r="E826" s="604"/>
      <c r="F826" s="604"/>
      <c r="G826" s="604"/>
      <c r="H826" s="604"/>
      <c r="I826" s="604"/>
      <c r="J826" s="604"/>
      <c r="K826" s="604"/>
      <c r="L826" s="604"/>
      <c r="M826" s="604"/>
      <c r="N826" s="604"/>
      <c r="O826" s="604"/>
      <c r="P826" s="604"/>
      <c r="Q826" s="604"/>
      <c r="R826" s="604"/>
      <c r="S826" s="604"/>
      <c r="T826" s="604"/>
      <c r="U826" s="604"/>
      <c r="V826" s="604"/>
      <c r="W826" s="604"/>
      <c r="X826" s="604"/>
    </row>
    <row r="827" spans="1:24" ht="15.6">
      <c r="A827" s="604"/>
      <c r="B827" s="604"/>
      <c r="C827" s="609"/>
      <c r="D827" s="604"/>
      <c r="E827" s="604"/>
      <c r="F827" s="604"/>
      <c r="G827" s="604"/>
      <c r="H827" s="604"/>
      <c r="I827" s="604"/>
      <c r="J827" s="604"/>
      <c r="K827" s="604"/>
      <c r="L827" s="604"/>
      <c r="M827" s="604"/>
      <c r="N827" s="604"/>
      <c r="O827" s="604"/>
      <c r="P827" s="604"/>
      <c r="Q827" s="604"/>
      <c r="R827" s="604"/>
      <c r="S827" s="604"/>
      <c r="T827" s="604"/>
      <c r="U827" s="604"/>
      <c r="V827" s="604"/>
      <c r="W827" s="604"/>
      <c r="X827" s="604"/>
    </row>
    <row r="828" spans="1:24" ht="15.6">
      <c r="A828" s="604"/>
      <c r="B828" s="604"/>
      <c r="C828" s="609"/>
      <c r="D828" s="604"/>
      <c r="E828" s="604"/>
      <c r="F828" s="604"/>
      <c r="G828" s="604"/>
      <c r="H828" s="604"/>
      <c r="I828" s="604"/>
      <c r="J828" s="604"/>
      <c r="K828" s="604"/>
      <c r="L828" s="604"/>
      <c r="M828" s="604"/>
      <c r="N828" s="604"/>
      <c r="O828" s="604"/>
      <c r="P828" s="604"/>
      <c r="Q828" s="604"/>
      <c r="R828" s="604"/>
      <c r="S828" s="604"/>
      <c r="T828" s="604"/>
      <c r="U828" s="604"/>
      <c r="V828" s="604"/>
      <c r="W828" s="604"/>
      <c r="X828" s="604"/>
    </row>
    <row r="829" spans="1:24" ht="15.6">
      <c r="A829" s="604"/>
      <c r="B829" s="604"/>
      <c r="C829" s="609"/>
      <c r="D829" s="604"/>
      <c r="E829" s="604"/>
      <c r="F829" s="604"/>
      <c r="G829" s="604"/>
      <c r="H829" s="604"/>
      <c r="I829" s="604"/>
      <c r="J829" s="604"/>
      <c r="K829" s="604"/>
      <c r="L829" s="604"/>
      <c r="M829" s="604"/>
      <c r="N829" s="604"/>
      <c r="O829" s="604"/>
      <c r="P829" s="604"/>
      <c r="Q829" s="604"/>
      <c r="R829" s="604"/>
      <c r="S829" s="604"/>
      <c r="T829" s="604"/>
      <c r="U829" s="604"/>
      <c r="V829" s="604"/>
      <c r="W829" s="604"/>
      <c r="X829" s="604"/>
    </row>
    <row r="830" spans="1:24" ht="15.6">
      <c r="A830" s="604"/>
      <c r="B830" s="604"/>
      <c r="C830" s="609"/>
      <c r="D830" s="604"/>
      <c r="E830" s="604"/>
      <c r="F830" s="604"/>
      <c r="G830" s="604"/>
      <c r="H830" s="604"/>
      <c r="I830" s="604"/>
      <c r="J830" s="604"/>
      <c r="K830" s="604"/>
      <c r="L830" s="604"/>
      <c r="M830" s="604"/>
      <c r="N830" s="604"/>
      <c r="O830" s="604"/>
      <c r="P830" s="604"/>
      <c r="Q830" s="604"/>
      <c r="R830" s="604"/>
      <c r="S830" s="604"/>
      <c r="T830" s="604"/>
      <c r="U830" s="604"/>
      <c r="V830" s="604"/>
      <c r="W830" s="604"/>
      <c r="X830" s="604"/>
    </row>
    <row r="831" spans="1:24" ht="15.6">
      <c r="A831" s="604"/>
      <c r="B831" s="604"/>
      <c r="C831" s="609"/>
      <c r="D831" s="604"/>
      <c r="E831" s="604"/>
      <c r="F831" s="604"/>
      <c r="G831" s="604"/>
      <c r="H831" s="604"/>
      <c r="I831" s="604"/>
      <c r="J831" s="604"/>
      <c r="K831" s="604"/>
      <c r="L831" s="604"/>
      <c r="M831" s="604"/>
      <c r="N831" s="604"/>
      <c r="O831" s="604"/>
      <c r="P831" s="604"/>
      <c r="Q831" s="604"/>
      <c r="R831" s="604"/>
      <c r="S831" s="604"/>
      <c r="T831" s="604"/>
      <c r="U831" s="604"/>
      <c r="V831" s="604"/>
      <c r="W831" s="604"/>
      <c r="X831" s="604"/>
    </row>
    <row r="832" spans="1:24" ht="15.6">
      <c r="A832" s="604"/>
      <c r="B832" s="604"/>
      <c r="C832" s="609"/>
      <c r="D832" s="604"/>
      <c r="E832" s="604"/>
      <c r="F832" s="604"/>
      <c r="G832" s="604"/>
      <c r="H832" s="604"/>
      <c r="I832" s="604"/>
      <c r="J832" s="604"/>
      <c r="K832" s="604"/>
      <c r="L832" s="604"/>
      <c r="M832" s="604"/>
      <c r="N832" s="604"/>
      <c r="O832" s="604"/>
      <c r="P832" s="604"/>
      <c r="Q832" s="604"/>
      <c r="R832" s="604"/>
      <c r="S832" s="604"/>
      <c r="T832" s="604"/>
      <c r="U832" s="604"/>
      <c r="V832" s="604"/>
      <c r="W832" s="604"/>
      <c r="X832" s="604"/>
    </row>
    <row r="833" spans="1:24" ht="15.6">
      <c r="A833" s="604"/>
      <c r="B833" s="604"/>
      <c r="C833" s="609"/>
      <c r="D833" s="604"/>
      <c r="E833" s="604"/>
      <c r="F833" s="604"/>
      <c r="G833" s="604"/>
      <c r="H833" s="604"/>
      <c r="I833" s="604"/>
      <c r="J833" s="604"/>
      <c r="K833" s="604"/>
      <c r="L833" s="604"/>
      <c r="M833" s="604"/>
      <c r="N833" s="604"/>
      <c r="O833" s="604"/>
      <c r="P833" s="604"/>
      <c r="Q833" s="604"/>
      <c r="R833" s="604"/>
      <c r="S833" s="604"/>
      <c r="T833" s="604"/>
      <c r="U833" s="604"/>
      <c r="V833" s="604"/>
      <c r="W833" s="604"/>
      <c r="X833" s="604"/>
    </row>
    <row r="834" spans="1:24" ht="15.6">
      <c r="A834" s="604"/>
      <c r="B834" s="604"/>
      <c r="C834" s="609"/>
      <c r="D834" s="604"/>
      <c r="E834" s="604"/>
      <c r="F834" s="604"/>
      <c r="G834" s="604"/>
      <c r="H834" s="604"/>
      <c r="I834" s="604"/>
      <c r="J834" s="604"/>
      <c r="K834" s="604"/>
      <c r="L834" s="604"/>
      <c r="M834" s="604"/>
      <c r="N834" s="604"/>
      <c r="O834" s="604"/>
      <c r="P834" s="604"/>
      <c r="Q834" s="604"/>
      <c r="R834" s="604"/>
      <c r="S834" s="604"/>
      <c r="T834" s="604"/>
      <c r="U834" s="604"/>
      <c r="V834" s="604"/>
      <c r="W834" s="604"/>
      <c r="X834" s="604"/>
    </row>
    <row r="835" spans="1:24" ht="15.6">
      <c r="A835" s="604"/>
      <c r="B835" s="604"/>
      <c r="C835" s="609"/>
      <c r="D835" s="604"/>
      <c r="E835" s="604"/>
      <c r="F835" s="604"/>
      <c r="G835" s="604"/>
      <c r="H835" s="604"/>
      <c r="I835" s="604"/>
      <c r="J835" s="604"/>
      <c r="K835" s="604"/>
      <c r="L835" s="604"/>
      <c r="M835" s="604"/>
      <c r="N835" s="604"/>
      <c r="O835" s="604"/>
      <c r="P835" s="604"/>
      <c r="Q835" s="604"/>
      <c r="R835" s="604"/>
      <c r="S835" s="604"/>
      <c r="T835" s="604"/>
      <c r="U835" s="604"/>
      <c r="V835" s="604"/>
      <c r="W835" s="604"/>
      <c r="X835" s="604"/>
    </row>
    <row r="836" spans="1:24" ht="15.6">
      <c r="A836" s="604"/>
      <c r="B836" s="604"/>
      <c r="C836" s="609"/>
      <c r="D836" s="604"/>
      <c r="E836" s="604"/>
      <c r="F836" s="604"/>
      <c r="G836" s="604"/>
      <c r="H836" s="604"/>
      <c r="I836" s="604"/>
      <c r="J836" s="604"/>
      <c r="K836" s="604"/>
      <c r="L836" s="604"/>
      <c r="M836" s="604"/>
      <c r="N836" s="604"/>
      <c r="O836" s="604"/>
      <c r="P836" s="604"/>
      <c r="Q836" s="604"/>
      <c r="R836" s="604"/>
      <c r="S836" s="604"/>
      <c r="T836" s="604"/>
      <c r="U836" s="604"/>
      <c r="V836" s="604"/>
      <c r="W836" s="604"/>
      <c r="X836" s="604"/>
    </row>
    <row r="837" spans="1:24" ht="15.6">
      <c r="A837" s="604"/>
      <c r="B837" s="604"/>
      <c r="C837" s="609"/>
      <c r="D837" s="604"/>
      <c r="E837" s="604"/>
      <c r="F837" s="604"/>
      <c r="G837" s="604"/>
      <c r="H837" s="604"/>
      <c r="I837" s="604"/>
      <c r="J837" s="604"/>
      <c r="K837" s="604"/>
      <c r="L837" s="604"/>
      <c r="M837" s="604"/>
      <c r="N837" s="604"/>
      <c r="O837" s="604"/>
      <c r="P837" s="604"/>
      <c r="Q837" s="604"/>
      <c r="R837" s="604"/>
      <c r="S837" s="604"/>
      <c r="T837" s="604"/>
      <c r="U837" s="604"/>
      <c r="V837" s="604"/>
      <c r="W837" s="604"/>
      <c r="X837" s="604"/>
    </row>
    <row r="838" spans="1:24" ht="15.6">
      <c r="A838" s="604"/>
      <c r="B838" s="604"/>
      <c r="C838" s="609"/>
      <c r="D838" s="604"/>
      <c r="E838" s="604"/>
      <c r="F838" s="604"/>
      <c r="G838" s="604"/>
      <c r="H838" s="604"/>
      <c r="I838" s="604"/>
      <c r="J838" s="604"/>
      <c r="K838" s="604"/>
      <c r="L838" s="604"/>
      <c r="M838" s="604"/>
      <c r="N838" s="604"/>
      <c r="O838" s="604"/>
      <c r="P838" s="604"/>
      <c r="Q838" s="604"/>
      <c r="R838" s="604"/>
      <c r="S838" s="604"/>
      <c r="T838" s="604"/>
      <c r="U838" s="604"/>
      <c r="V838" s="604"/>
      <c r="W838" s="604"/>
      <c r="X838" s="604"/>
    </row>
    <row r="839" spans="1:24" ht="15.6">
      <c r="A839" s="604"/>
      <c r="B839" s="604"/>
      <c r="C839" s="609"/>
      <c r="D839" s="604"/>
      <c r="E839" s="604"/>
      <c r="F839" s="604"/>
      <c r="G839" s="604"/>
      <c r="H839" s="604"/>
      <c r="I839" s="604"/>
      <c r="J839" s="604"/>
      <c r="K839" s="604"/>
      <c r="L839" s="604"/>
      <c r="M839" s="604"/>
      <c r="N839" s="604"/>
      <c r="O839" s="604"/>
      <c r="P839" s="604"/>
      <c r="Q839" s="604"/>
      <c r="R839" s="604"/>
      <c r="S839" s="604"/>
      <c r="T839" s="604"/>
      <c r="U839" s="604"/>
      <c r="V839" s="604"/>
      <c r="W839" s="604"/>
      <c r="X839" s="604"/>
    </row>
    <row r="840" spans="1:24" ht="15.6">
      <c r="A840" s="604"/>
      <c r="B840" s="604"/>
      <c r="C840" s="609"/>
      <c r="D840" s="604"/>
      <c r="E840" s="604"/>
      <c r="F840" s="604"/>
      <c r="G840" s="604"/>
      <c r="H840" s="604"/>
      <c r="I840" s="604"/>
      <c r="J840" s="604"/>
      <c r="K840" s="604"/>
      <c r="L840" s="604"/>
      <c r="M840" s="604"/>
      <c r="N840" s="604"/>
      <c r="O840" s="604"/>
      <c r="P840" s="604"/>
      <c r="Q840" s="604"/>
      <c r="R840" s="604"/>
      <c r="S840" s="604"/>
      <c r="T840" s="604"/>
      <c r="U840" s="604"/>
      <c r="V840" s="604"/>
      <c r="W840" s="604"/>
      <c r="X840" s="604"/>
    </row>
    <row r="841" spans="1:24" ht="15.6">
      <c r="A841" s="604"/>
      <c r="B841" s="604"/>
      <c r="C841" s="609"/>
      <c r="D841" s="604"/>
      <c r="E841" s="604"/>
      <c r="F841" s="604"/>
      <c r="G841" s="604"/>
      <c r="H841" s="604"/>
      <c r="I841" s="604"/>
      <c r="J841" s="604"/>
      <c r="K841" s="604"/>
      <c r="L841" s="604"/>
      <c r="M841" s="604"/>
      <c r="N841" s="604"/>
      <c r="O841" s="604"/>
      <c r="P841" s="604"/>
      <c r="Q841" s="604"/>
      <c r="R841" s="604"/>
      <c r="S841" s="604"/>
      <c r="T841" s="604"/>
      <c r="U841" s="604"/>
      <c r="V841" s="604"/>
      <c r="W841" s="604"/>
      <c r="X841" s="604"/>
    </row>
    <row r="842" spans="1:24" ht="15.6">
      <c r="A842" s="604"/>
      <c r="B842" s="604"/>
      <c r="C842" s="609"/>
      <c r="D842" s="604"/>
      <c r="E842" s="604"/>
      <c r="F842" s="604"/>
      <c r="G842" s="604"/>
      <c r="H842" s="604"/>
      <c r="I842" s="604"/>
      <c r="J842" s="604"/>
      <c r="K842" s="604"/>
      <c r="L842" s="604"/>
      <c r="M842" s="604"/>
      <c r="N842" s="604"/>
      <c r="O842" s="604"/>
      <c r="P842" s="604"/>
      <c r="Q842" s="604"/>
      <c r="R842" s="604"/>
      <c r="S842" s="604"/>
      <c r="T842" s="604"/>
      <c r="U842" s="604"/>
      <c r="V842" s="604"/>
      <c r="W842" s="604"/>
      <c r="X842" s="604"/>
    </row>
    <row r="843" spans="1:24" ht="15.6">
      <c r="A843" s="604"/>
      <c r="B843" s="604"/>
      <c r="C843" s="609"/>
      <c r="D843" s="604"/>
      <c r="E843" s="604"/>
      <c r="F843" s="604"/>
      <c r="G843" s="604"/>
      <c r="H843" s="604"/>
      <c r="I843" s="604"/>
      <c r="J843" s="604"/>
      <c r="K843" s="604"/>
      <c r="L843" s="604"/>
      <c r="M843" s="604"/>
      <c r="N843" s="604"/>
      <c r="O843" s="604"/>
      <c r="P843" s="604"/>
      <c r="Q843" s="604"/>
      <c r="R843" s="604"/>
      <c r="S843" s="604"/>
      <c r="T843" s="604"/>
      <c r="U843" s="604"/>
      <c r="V843" s="604"/>
      <c r="W843" s="604"/>
      <c r="X843" s="604"/>
    </row>
    <row r="844" spans="1:24" ht="15.6">
      <c r="A844" s="604"/>
      <c r="B844" s="604"/>
      <c r="C844" s="609"/>
      <c r="D844" s="604"/>
      <c r="E844" s="604"/>
      <c r="F844" s="604"/>
      <c r="G844" s="604"/>
      <c r="H844" s="604"/>
      <c r="I844" s="604"/>
      <c r="J844" s="604"/>
      <c r="K844" s="604"/>
      <c r="L844" s="604"/>
      <c r="M844" s="604"/>
      <c r="N844" s="604"/>
      <c r="O844" s="604"/>
      <c r="P844" s="604"/>
      <c r="Q844" s="604"/>
      <c r="R844" s="604"/>
      <c r="S844" s="604"/>
      <c r="T844" s="604"/>
      <c r="U844" s="604"/>
      <c r="V844" s="604"/>
      <c r="W844" s="604"/>
      <c r="X844" s="604"/>
    </row>
    <row r="845" spans="1:24" ht="15.6">
      <c r="A845" s="604"/>
      <c r="B845" s="604"/>
      <c r="C845" s="609"/>
      <c r="D845" s="604"/>
      <c r="E845" s="604"/>
      <c r="F845" s="604"/>
      <c r="G845" s="604"/>
      <c r="H845" s="604"/>
      <c r="I845" s="604"/>
      <c r="J845" s="604"/>
      <c r="K845" s="604"/>
      <c r="L845" s="604"/>
      <c r="M845" s="604"/>
      <c r="N845" s="604"/>
      <c r="O845" s="604"/>
      <c r="P845" s="604"/>
      <c r="Q845" s="604"/>
      <c r="R845" s="604"/>
      <c r="S845" s="604"/>
      <c r="T845" s="604"/>
      <c r="U845" s="604"/>
      <c r="V845" s="604"/>
      <c r="W845" s="604"/>
      <c r="X845" s="604"/>
    </row>
    <row r="846" spans="1:24" ht="15.6">
      <c r="A846" s="604"/>
      <c r="B846" s="604"/>
      <c r="C846" s="609"/>
      <c r="D846" s="604"/>
      <c r="E846" s="604"/>
      <c r="F846" s="604"/>
      <c r="G846" s="604"/>
      <c r="H846" s="604"/>
      <c r="I846" s="604"/>
      <c r="J846" s="604"/>
      <c r="K846" s="604"/>
      <c r="L846" s="604"/>
      <c r="M846" s="604"/>
      <c r="N846" s="604"/>
      <c r="O846" s="604"/>
      <c r="P846" s="604"/>
      <c r="Q846" s="604"/>
      <c r="R846" s="604"/>
      <c r="S846" s="604"/>
      <c r="T846" s="604"/>
      <c r="U846" s="604"/>
      <c r="V846" s="604"/>
      <c r="W846" s="604"/>
      <c r="X846" s="604"/>
    </row>
    <row r="847" spans="1:24" ht="15.6">
      <c r="A847" s="604"/>
      <c r="B847" s="604"/>
      <c r="C847" s="609"/>
      <c r="D847" s="604"/>
      <c r="E847" s="604"/>
      <c r="F847" s="604"/>
      <c r="G847" s="604"/>
      <c r="H847" s="604"/>
      <c r="I847" s="604"/>
      <c r="J847" s="604"/>
      <c r="K847" s="604"/>
      <c r="L847" s="604"/>
      <c r="M847" s="604"/>
      <c r="N847" s="604"/>
      <c r="O847" s="604"/>
      <c r="P847" s="604"/>
      <c r="Q847" s="604"/>
      <c r="R847" s="604"/>
      <c r="S847" s="604"/>
      <c r="T847" s="604"/>
      <c r="U847" s="604"/>
      <c r="V847" s="604"/>
      <c r="W847" s="604"/>
      <c r="X847" s="604"/>
    </row>
    <row r="848" spans="1:24" ht="15.6">
      <c r="A848" s="604"/>
      <c r="B848" s="604"/>
      <c r="C848" s="609"/>
      <c r="D848" s="604"/>
      <c r="E848" s="604"/>
      <c r="F848" s="604"/>
      <c r="G848" s="604"/>
      <c r="H848" s="604"/>
      <c r="I848" s="604"/>
      <c r="J848" s="604"/>
      <c r="K848" s="604"/>
      <c r="L848" s="604"/>
      <c r="M848" s="604"/>
      <c r="N848" s="604"/>
      <c r="O848" s="604"/>
      <c r="P848" s="604"/>
      <c r="Q848" s="604"/>
      <c r="R848" s="604"/>
      <c r="S848" s="604"/>
      <c r="T848" s="604"/>
      <c r="U848" s="604"/>
      <c r="V848" s="604"/>
      <c r="W848" s="604"/>
      <c r="X848" s="604"/>
    </row>
    <row r="849" spans="1:24" ht="15.6">
      <c r="A849" s="604"/>
      <c r="B849" s="604"/>
      <c r="C849" s="609"/>
      <c r="D849" s="604"/>
      <c r="E849" s="604"/>
      <c r="F849" s="604"/>
      <c r="G849" s="604"/>
      <c r="H849" s="604"/>
      <c r="I849" s="604"/>
      <c r="J849" s="604"/>
      <c r="K849" s="604"/>
      <c r="L849" s="604"/>
      <c r="M849" s="604"/>
      <c r="N849" s="604"/>
      <c r="O849" s="604"/>
      <c r="P849" s="604"/>
      <c r="Q849" s="604"/>
      <c r="R849" s="604"/>
      <c r="S849" s="604"/>
      <c r="T849" s="604"/>
      <c r="U849" s="604"/>
      <c r="V849" s="604"/>
      <c r="W849" s="604"/>
      <c r="X849" s="604"/>
    </row>
    <row r="850" spans="1:24" ht="15.6">
      <c r="A850" s="604"/>
      <c r="B850" s="604"/>
      <c r="C850" s="609"/>
      <c r="D850" s="604"/>
      <c r="E850" s="604"/>
      <c r="F850" s="604"/>
      <c r="G850" s="604"/>
      <c r="H850" s="604"/>
      <c r="I850" s="604"/>
      <c r="J850" s="604"/>
      <c r="K850" s="604"/>
      <c r="L850" s="604"/>
      <c r="M850" s="604"/>
      <c r="N850" s="604"/>
      <c r="O850" s="604"/>
      <c r="P850" s="604"/>
      <c r="Q850" s="604"/>
      <c r="R850" s="604"/>
      <c r="S850" s="604"/>
      <c r="T850" s="604"/>
      <c r="U850" s="604"/>
      <c r="V850" s="604"/>
      <c r="W850" s="604"/>
      <c r="X850" s="604"/>
    </row>
    <row r="851" spans="1:24" ht="15.6">
      <c r="A851" s="604"/>
      <c r="B851" s="604"/>
      <c r="C851" s="609"/>
      <c r="D851" s="604"/>
      <c r="E851" s="604"/>
      <c r="F851" s="604"/>
      <c r="G851" s="604"/>
      <c r="H851" s="604"/>
      <c r="I851" s="604"/>
      <c r="J851" s="604"/>
      <c r="K851" s="604"/>
      <c r="L851" s="604"/>
      <c r="M851" s="604"/>
      <c r="N851" s="604"/>
      <c r="O851" s="604"/>
      <c r="P851" s="604"/>
      <c r="Q851" s="604"/>
      <c r="R851" s="604"/>
      <c r="S851" s="604"/>
      <c r="T851" s="604"/>
      <c r="U851" s="604"/>
      <c r="V851" s="604"/>
      <c r="W851" s="604"/>
      <c r="X851" s="604"/>
    </row>
    <row r="852" spans="1:24" ht="15.6">
      <c r="A852" s="604"/>
      <c r="B852" s="604"/>
      <c r="C852" s="609"/>
      <c r="D852" s="604"/>
      <c r="E852" s="604"/>
      <c r="F852" s="604"/>
      <c r="G852" s="604"/>
      <c r="H852" s="604"/>
      <c r="I852" s="604"/>
      <c r="J852" s="604"/>
      <c r="K852" s="604"/>
      <c r="L852" s="604"/>
      <c r="M852" s="604"/>
      <c r="N852" s="604"/>
      <c r="O852" s="604"/>
      <c r="P852" s="604"/>
      <c r="Q852" s="604"/>
      <c r="R852" s="604"/>
      <c r="S852" s="604"/>
      <c r="T852" s="604"/>
      <c r="U852" s="604"/>
      <c r="V852" s="604"/>
      <c r="W852" s="604"/>
      <c r="X852" s="604"/>
    </row>
    <row r="853" spans="1:24" ht="15.6">
      <c r="A853" s="604"/>
      <c r="B853" s="604"/>
      <c r="C853" s="609"/>
      <c r="D853" s="604"/>
      <c r="E853" s="604"/>
      <c r="F853" s="604"/>
      <c r="G853" s="604"/>
      <c r="H853" s="604"/>
      <c r="I853" s="604"/>
      <c r="J853" s="604"/>
      <c r="K853" s="604"/>
      <c r="L853" s="604"/>
      <c r="M853" s="604"/>
      <c r="N853" s="604"/>
      <c r="O853" s="604"/>
      <c r="P853" s="604"/>
      <c r="Q853" s="604"/>
      <c r="R853" s="604"/>
      <c r="S853" s="604"/>
      <c r="T853" s="604"/>
      <c r="U853" s="604"/>
      <c r="V853" s="604"/>
      <c r="W853" s="604"/>
      <c r="X853" s="604"/>
    </row>
    <row r="854" spans="1:24" ht="15.6">
      <c r="A854" s="604"/>
      <c r="B854" s="604"/>
      <c r="C854" s="609"/>
      <c r="D854" s="604"/>
      <c r="E854" s="604"/>
      <c r="F854" s="604"/>
      <c r="G854" s="604"/>
      <c r="H854" s="604"/>
      <c r="I854" s="604"/>
      <c r="J854" s="604"/>
      <c r="K854" s="604"/>
      <c r="L854" s="604"/>
      <c r="M854" s="604"/>
      <c r="N854" s="604"/>
      <c r="O854" s="604"/>
      <c r="P854" s="604"/>
      <c r="Q854" s="604"/>
      <c r="R854" s="604"/>
      <c r="S854" s="604"/>
      <c r="T854" s="604"/>
      <c r="U854" s="604"/>
      <c r="V854" s="604"/>
      <c r="W854" s="604"/>
      <c r="X854" s="604"/>
    </row>
    <row r="855" spans="1:24" ht="15.6">
      <c r="A855" s="604"/>
      <c r="B855" s="604"/>
      <c r="C855" s="609"/>
      <c r="D855" s="604"/>
      <c r="E855" s="604"/>
      <c r="F855" s="604"/>
      <c r="G855" s="604"/>
      <c r="H855" s="604"/>
      <c r="I855" s="604"/>
      <c r="J855" s="604"/>
      <c r="K855" s="604"/>
      <c r="L855" s="604"/>
      <c r="M855" s="604"/>
      <c r="N855" s="604"/>
      <c r="O855" s="604"/>
      <c r="P855" s="604"/>
      <c r="Q855" s="604"/>
      <c r="R855" s="604"/>
      <c r="S855" s="604"/>
      <c r="T855" s="604"/>
      <c r="U855" s="604"/>
      <c r="V855" s="604"/>
      <c r="W855" s="604"/>
      <c r="X855" s="604"/>
    </row>
    <row r="856" spans="1:24" ht="15.6">
      <c r="A856" s="604"/>
      <c r="B856" s="604"/>
      <c r="C856" s="609"/>
      <c r="D856" s="604"/>
      <c r="E856" s="604"/>
      <c r="F856" s="604"/>
      <c r="G856" s="604"/>
      <c r="H856" s="604"/>
      <c r="I856" s="604"/>
      <c r="J856" s="604"/>
      <c r="K856" s="604"/>
      <c r="L856" s="604"/>
      <c r="M856" s="604"/>
      <c r="N856" s="604"/>
      <c r="O856" s="604"/>
      <c r="P856" s="604"/>
      <c r="Q856" s="604"/>
      <c r="R856" s="604"/>
      <c r="S856" s="604"/>
      <c r="T856" s="604"/>
      <c r="U856" s="604"/>
      <c r="V856" s="604"/>
      <c r="W856" s="604"/>
      <c r="X856" s="604"/>
    </row>
    <row r="857" spans="1:24" ht="15.6">
      <c r="A857" s="604"/>
      <c r="B857" s="604"/>
      <c r="C857" s="609"/>
      <c r="D857" s="604"/>
      <c r="E857" s="604"/>
      <c r="F857" s="604"/>
      <c r="G857" s="604"/>
      <c r="H857" s="604"/>
      <c r="I857" s="604"/>
      <c r="J857" s="604"/>
      <c r="K857" s="604"/>
      <c r="L857" s="604"/>
      <c r="M857" s="604"/>
      <c r="N857" s="604"/>
      <c r="O857" s="604"/>
      <c r="P857" s="604"/>
      <c r="Q857" s="604"/>
      <c r="R857" s="604"/>
      <c r="S857" s="604"/>
      <c r="T857" s="604"/>
      <c r="U857" s="604"/>
      <c r="V857" s="604"/>
      <c r="W857" s="604"/>
      <c r="X857" s="604"/>
    </row>
    <row r="858" spans="1:24" ht="15.6">
      <c r="A858" s="604"/>
      <c r="B858" s="604"/>
      <c r="C858" s="609"/>
      <c r="D858" s="604"/>
      <c r="E858" s="604"/>
      <c r="F858" s="604"/>
      <c r="G858" s="604"/>
      <c r="H858" s="604"/>
      <c r="I858" s="604"/>
      <c r="J858" s="604"/>
      <c r="K858" s="604"/>
      <c r="L858" s="604"/>
      <c r="M858" s="604"/>
      <c r="N858" s="604"/>
      <c r="O858" s="604"/>
      <c r="P858" s="604"/>
      <c r="Q858" s="604"/>
      <c r="R858" s="604"/>
      <c r="S858" s="604"/>
      <c r="T858" s="604"/>
      <c r="U858" s="604"/>
      <c r="V858" s="604"/>
      <c r="W858" s="604"/>
      <c r="X858" s="604"/>
    </row>
    <row r="859" spans="1:24" ht="15.6">
      <c r="A859" s="604"/>
      <c r="B859" s="604"/>
      <c r="C859" s="609"/>
      <c r="D859" s="604"/>
      <c r="E859" s="604"/>
      <c r="F859" s="604"/>
      <c r="G859" s="604"/>
      <c r="H859" s="604"/>
      <c r="I859" s="604"/>
      <c r="J859" s="604"/>
      <c r="K859" s="604"/>
      <c r="L859" s="604"/>
      <c r="M859" s="604"/>
      <c r="N859" s="604"/>
      <c r="O859" s="604"/>
      <c r="P859" s="604"/>
      <c r="Q859" s="604"/>
      <c r="R859" s="604"/>
      <c r="S859" s="604"/>
      <c r="T859" s="604"/>
      <c r="U859" s="604"/>
      <c r="V859" s="604"/>
      <c r="W859" s="604"/>
      <c r="X859" s="604"/>
    </row>
    <row r="860" spans="1:24" ht="15.6">
      <c r="A860" s="604"/>
      <c r="B860" s="604"/>
      <c r="C860" s="609"/>
      <c r="D860" s="604"/>
      <c r="E860" s="604"/>
      <c r="F860" s="604"/>
      <c r="G860" s="604"/>
      <c r="H860" s="604"/>
      <c r="I860" s="604"/>
      <c r="J860" s="604"/>
      <c r="K860" s="604"/>
      <c r="L860" s="604"/>
      <c r="M860" s="604"/>
      <c r="N860" s="604"/>
      <c r="O860" s="604"/>
      <c r="P860" s="604"/>
      <c r="Q860" s="604"/>
      <c r="R860" s="604"/>
      <c r="S860" s="604"/>
      <c r="T860" s="604"/>
      <c r="U860" s="604"/>
      <c r="V860" s="604"/>
      <c r="W860" s="604"/>
      <c r="X860" s="604"/>
    </row>
    <row r="861" spans="1:24" ht="15.6">
      <c r="A861" s="604"/>
      <c r="B861" s="604"/>
      <c r="C861" s="609"/>
      <c r="D861" s="604"/>
      <c r="E861" s="604"/>
      <c r="F861" s="604"/>
      <c r="G861" s="604"/>
      <c r="H861" s="604"/>
      <c r="I861" s="604"/>
      <c r="J861" s="604"/>
      <c r="K861" s="604"/>
      <c r="L861" s="604"/>
      <c r="M861" s="604"/>
      <c r="N861" s="604"/>
      <c r="O861" s="604"/>
      <c r="P861" s="604"/>
      <c r="Q861" s="604"/>
      <c r="R861" s="604"/>
      <c r="S861" s="604"/>
      <c r="T861" s="604"/>
      <c r="U861" s="604"/>
      <c r="V861" s="604"/>
      <c r="W861" s="604"/>
      <c r="X861" s="604"/>
    </row>
    <row r="862" spans="1:24" ht="15.6">
      <c r="A862" s="604"/>
      <c r="B862" s="604"/>
      <c r="C862" s="609"/>
      <c r="D862" s="604"/>
      <c r="E862" s="604"/>
      <c r="F862" s="604"/>
      <c r="G862" s="604"/>
      <c r="H862" s="604"/>
      <c r="I862" s="604"/>
      <c r="J862" s="604"/>
      <c r="K862" s="604"/>
      <c r="L862" s="604"/>
      <c r="M862" s="604"/>
      <c r="N862" s="604"/>
      <c r="O862" s="604"/>
      <c r="P862" s="604"/>
      <c r="Q862" s="604"/>
      <c r="R862" s="604"/>
      <c r="S862" s="604"/>
      <c r="T862" s="604"/>
      <c r="U862" s="604"/>
      <c r="V862" s="604"/>
      <c r="W862" s="604"/>
      <c r="X862" s="604"/>
    </row>
    <row r="863" spans="1:24" ht="15.6">
      <c r="A863" s="604"/>
      <c r="B863" s="604"/>
      <c r="C863" s="609"/>
      <c r="D863" s="604"/>
      <c r="E863" s="604"/>
      <c r="F863" s="604"/>
      <c r="G863" s="604"/>
      <c r="H863" s="604"/>
      <c r="I863" s="604"/>
      <c r="J863" s="604"/>
      <c r="K863" s="604"/>
      <c r="L863" s="604"/>
      <c r="M863" s="604"/>
      <c r="N863" s="604"/>
      <c r="O863" s="604"/>
      <c r="P863" s="604"/>
      <c r="Q863" s="604"/>
      <c r="R863" s="604"/>
      <c r="S863" s="604"/>
      <c r="T863" s="604"/>
      <c r="U863" s="604"/>
      <c r="V863" s="604"/>
      <c r="W863" s="604"/>
      <c r="X863" s="604"/>
    </row>
    <row r="864" spans="1:24" ht="15.6">
      <c r="A864" s="604"/>
      <c r="B864" s="604"/>
      <c r="C864" s="609"/>
      <c r="D864" s="604"/>
      <c r="E864" s="604"/>
      <c r="F864" s="604"/>
      <c r="G864" s="604"/>
      <c r="H864" s="604"/>
      <c r="I864" s="604"/>
      <c r="J864" s="604"/>
      <c r="K864" s="604"/>
      <c r="L864" s="604"/>
      <c r="M864" s="604"/>
      <c r="N864" s="604"/>
      <c r="O864" s="604"/>
      <c r="P864" s="604"/>
      <c r="Q864" s="604"/>
      <c r="R864" s="604"/>
      <c r="S864" s="604"/>
      <c r="T864" s="604"/>
      <c r="U864" s="604"/>
      <c r="V864" s="604"/>
      <c r="W864" s="604"/>
      <c r="X864" s="604"/>
    </row>
    <row r="865" spans="1:24" ht="15.6">
      <c r="A865" s="604"/>
      <c r="B865" s="604"/>
      <c r="C865" s="609"/>
      <c r="D865" s="604"/>
      <c r="E865" s="604"/>
      <c r="F865" s="604"/>
      <c r="G865" s="604"/>
      <c r="H865" s="604"/>
      <c r="I865" s="604"/>
      <c r="J865" s="604"/>
      <c r="K865" s="604"/>
      <c r="L865" s="604"/>
      <c r="M865" s="604"/>
      <c r="N865" s="604"/>
      <c r="O865" s="604"/>
      <c r="P865" s="604"/>
      <c r="Q865" s="604"/>
      <c r="R865" s="604"/>
      <c r="S865" s="604"/>
      <c r="T865" s="604"/>
      <c r="U865" s="604"/>
      <c r="V865" s="604"/>
      <c r="W865" s="604"/>
      <c r="X865" s="604"/>
    </row>
    <row r="866" spans="1:24" ht="15.6">
      <c r="A866" s="604"/>
      <c r="B866" s="604"/>
      <c r="C866" s="609"/>
      <c r="D866" s="604"/>
      <c r="E866" s="604"/>
      <c r="F866" s="604"/>
      <c r="G866" s="604"/>
      <c r="H866" s="604"/>
      <c r="I866" s="604"/>
      <c r="J866" s="604"/>
      <c r="K866" s="604"/>
      <c r="L866" s="604"/>
      <c r="M866" s="604"/>
      <c r="N866" s="604"/>
      <c r="O866" s="604"/>
      <c r="P866" s="604"/>
      <c r="Q866" s="604"/>
      <c r="R866" s="604"/>
      <c r="S866" s="604"/>
      <c r="T866" s="604"/>
      <c r="U866" s="604"/>
      <c r="V866" s="604"/>
      <c r="W866" s="604"/>
      <c r="X866" s="604"/>
    </row>
    <row r="867" spans="1:24" ht="15.6">
      <c r="A867" s="604"/>
      <c r="B867" s="604"/>
      <c r="C867" s="609"/>
      <c r="D867" s="604"/>
      <c r="E867" s="604"/>
      <c r="F867" s="604"/>
      <c r="G867" s="604"/>
      <c r="H867" s="604"/>
      <c r="I867" s="604"/>
      <c r="J867" s="604"/>
      <c r="K867" s="604"/>
      <c r="L867" s="604"/>
      <c r="M867" s="604"/>
      <c r="N867" s="604"/>
      <c r="O867" s="604"/>
      <c r="P867" s="604"/>
      <c r="Q867" s="604"/>
      <c r="R867" s="604"/>
      <c r="S867" s="604"/>
      <c r="T867" s="604"/>
      <c r="U867" s="604"/>
      <c r="V867" s="604"/>
      <c r="W867" s="604"/>
      <c r="X867" s="604"/>
    </row>
    <row r="868" spans="1:24" ht="15.6">
      <c r="A868" s="604"/>
      <c r="B868" s="604"/>
      <c r="C868" s="609"/>
      <c r="D868" s="604"/>
      <c r="E868" s="604"/>
      <c r="F868" s="604"/>
      <c r="G868" s="604"/>
      <c r="H868" s="604"/>
      <c r="I868" s="604"/>
      <c r="J868" s="604"/>
      <c r="K868" s="604"/>
      <c r="L868" s="604"/>
      <c r="M868" s="604"/>
      <c r="N868" s="604"/>
      <c r="O868" s="604"/>
      <c r="P868" s="604"/>
      <c r="Q868" s="604"/>
      <c r="R868" s="604"/>
      <c r="S868" s="604"/>
      <c r="T868" s="604"/>
      <c r="U868" s="604"/>
      <c r="V868" s="604"/>
      <c r="W868" s="604"/>
      <c r="X868" s="604"/>
    </row>
    <row r="869" spans="1:24" ht="15.6">
      <c r="A869" s="604"/>
      <c r="B869" s="604"/>
      <c r="C869" s="609"/>
      <c r="D869" s="604"/>
      <c r="E869" s="604"/>
      <c r="F869" s="604"/>
      <c r="G869" s="604"/>
      <c r="H869" s="604"/>
      <c r="I869" s="604"/>
      <c r="J869" s="604"/>
      <c r="K869" s="604"/>
      <c r="L869" s="604"/>
      <c r="M869" s="604"/>
      <c r="N869" s="604"/>
      <c r="O869" s="604"/>
      <c r="P869" s="604"/>
      <c r="Q869" s="604"/>
      <c r="R869" s="604"/>
      <c r="S869" s="604"/>
      <c r="T869" s="604"/>
      <c r="U869" s="604"/>
      <c r="V869" s="604"/>
      <c r="W869" s="604"/>
      <c r="X869" s="604"/>
    </row>
    <row r="870" spans="1:24" ht="15.6">
      <c r="A870" s="604"/>
      <c r="B870" s="604"/>
      <c r="C870" s="609"/>
      <c r="D870" s="604"/>
      <c r="E870" s="604"/>
      <c r="F870" s="604"/>
      <c r="G870" s="604"/>
      <c r="H870" s="604"/>
      <c r="I870" s="604"/>
      <c r="J870" s="604"/>
      <c r="K870" s="604"/>
      <c r="L870" s="604"/>
      <c r="M870" s="604"/>
      <c r="N870" s="604"/>
      <c r="O870" s="604"/>
      <c r="P870" s="604"/>
      <c r="Q870" s="604"/>
      <c r="R870" s="604"/>
      <c r="S870" s="604"/>
      <c r="T870" s="604"/>
      <c r="U870" s="604"/>
      <c r="V870" s="604"/>
      <c r="W870" s="604"/>
      <c r="X870" s="604"/>
    </row>
    <row r="871" spans="1:24" ht="15.6">
      <c r="A871" s="604"/>
      <c r="B871" s="604"/>
      <c r="C871" s="609"/>
      <c r="D871" s="604"/>
      <c r="E871" s="604"/>
      <c r="F871" s="604"/>
      <c r="G871" s="604"/>
      <c r="H871" s="604"/>
      <c r="I871" s="604"/>
      <c r="J871" s="604"/>
      <c r="K871" s="604"/>
      <c r="L871" s="604"/>
      <c r="M871" s="604"/>
      <c r="N871" s="604"/>
      <c r="O871" s="604"/>
      <c r="P871" s="604"/>
      <c r="Q871" s="604"/>
      <c r="R871" s="604"/>
      <c r="S871" s="604"/>
      <c r="T871" s="604"/>
      <c r="U871" s="604"/>
      <c r="V871" s="604"/>
      <c r="W871" s="604"/>
      <c r="X871" s="604"/>
    </row>
    <row r="872" spans="1:24" ht="15.6">
      <c r="A872" s="604"/>
      <c r="B872" s="604"/>
      <c r="C872" s="609"/>
      <c r="D872" s="604"/>
      <c r="E872" s="604"/>
      <c r="F872" s="604"/>
      <c r="G872" s="604"/>
      <c r="H872" s="604"/>
      <c r="I872" s="604"/>
      <c r="J872" s="604"/>
      <c r="K872" s="604"/>
      <c r="L872" s="604"/>
      <c r="M872" s="604"/>
      <c r="N872" s="604"/>
      <c r="O872" s="604"/>
      <c r="P872" s="604"/>
      <c r="Q872" s="604"/>
      <c r="R872" s="604"/>
      <c r="S872" s="604"/>
      <c r="T872" s="604"/>
      <c r="U872" s="604"/>
      <c r="V872" s="604"/>
      <c r="W872" s="604"/>
      <c r="X872" s="604"/>
    </row>
    <row r="873" spans="1:24" ht="15.6">
      <c r="A873" s="604"/>
      <c r="B873" s="604"/>
      <c r="C873" s="609"/>
      <c r="D873" s="604"/>
      <c r="E873" s="604"/>
      <c r="F873" s="604"/>
      <c r="G873" s="604"/>
      <c r="H873" s="604"/>
      <c r="I873" s="604"/>
      <c r="J873" s="604"/>
      <c r="K873" s="604"/>
      <c r="L873" s="604"/>
      <c r="M873" s="604"/>
      <c r="N873" s="604"/>
      <c r="O873" s="604"/>
      <c r="P873" s="604"/>
      <c r="Q873" s="604"/>
      <c r="R873" s="604"/>
      <c r="S873" s="604"/>
      <c r="T873" s="604"/>
      <c r="U873" s="604"/>
      <c r="V873" s="604"/>
      <c r="W873" s="604"/>
      <c r="X873" s="604"/>
    </row>
    <row r="874" spans="1:24" ht="15.6">
      <c r="A874" s="604"/>
      <c r="B874" s="604"/>
      <c r="C874" s="609"/>
      <c r="D874" s="604"/>
      <c r="E874" s="604"/>
      <c r="F874" s="604"/>
      <c r="G874" s="604"/>
      <c r="H874" s="604"/>
      <c r="I874" s="604"/>
      <c r="J874" s="604"/>
      <c r="K874" s="604"/>
      <c r="L874" s="604"/>
      <c r="M874" s="604"/>
      <c r="N874" s="604"/>
      <c r="O874" s="604"/>
      <c r="P874" s="604"/>
      <c r="Q874" s="604"/>
      <c r="R874" s="604"/>
      <c r="S874" s="604"/>
      <c r="T874" s="604"/>
      <c r="U874" s="604"/>
      <c r="V874" s="604"/>
      <c r="W874" s="604"/>
      <c r="X874" s="604"/>
    </row>
    <row r="875" spans="1:24" ht="15.6">
      <c r="A875" s="604"/>
      <c r="B875" s="604"/>
      <c r="C875" s="609"/>
      <c r="D875" s="604"/>
      <c r="E875" s="604"/>
      <c r="F875" s="604"/>
      <c r="G875" s="604"/>
      <c r="H875" s="604"/>
      <c r="I875" s="604"/>
      <c r="J875" s="604"/>
      <c r="K875" s="604"/>
      <c r="L875" s="604"/>
      <c r="M875" s="604"/>
      <c r="N875" s="604"/>
      <c r="O875" s="604"/>
      <c r="P875" s="604"/>
      <c r="Q875" s="604"/>
      <c r="R875" s="604"/>
      <c r="S875" s="604"/>
      <c r="T875" s="604"/>
      <c r="U875" s="604"/>
      <c r="V875" s="604"/>
      <c r="W875" s="604"/>
      <c r="X875" s="604"/>
    </row>
    <row r="876" spans="1:24" ht="15.6">
      <c r="A876" s="604"/>
      <c r="B876" s="604"/>
      <c r="C876" s="609"/>
      <c r="D876" s="604"/>
      <c r="E876" s="604"/>
      <c r="F876" s="604"/>
      <c r="G876" s="604"/>
      <c r="H876" s="604"/>
      <c r="I876" s="604"/>
      <c r="J876" s="604"/>
      <c r="K876" s="604"/>
      <c r="L876" s="604"/>
      <c r="M876" s="604"/>
      <c r="N876" s="604"/>
      <c r="O876" s="604"/>
      <c r="P876" s="604"/>
      <c r="Q876" s="604"/>
      <c r="R876" s="604"/>
      <c r="S876" s="604"/>
      <c r="T876" s="604"/>
      <c r="U876" s="604"/>
      <c r="V876" s="604"/>
      <c r="W876" s="604"/>
      <c r="X876" s="604"/>
    </row>
    <row r="877" spans="1:24" ht="15.6">
      <c r="A877" s="604"/>
      <c r="B877" s="604"/>
      <c r="C877" s="609"/>
      <c r="D877" s="604"/>
      <c r="E877" s="604"/>
      <c r="F877" s="604"/>
      <c r="G877" s="604"/>
      <c r="H877" s="604"/>
      <c r="I877" s="604"/>
      <c r="J877" s="604"/>
      <c r="K877" s="604"/>
      <c r="L877" s="604"/>
      <c r="M877" s="604"/>
      <c r="N877" s="604"/>
      <c r="O877" s="604"/>
      <c r="P877" s="604"/>
      <c r="Q877" s="604"/>
      <c r="R877" s="604"/>
      <c r="S877" s="604"/>
      <c r="T877" s="604"/>
      <c r="U877" s="604"/>
      <c r="V877" s="604"/>
      <c r="W877" s="604"/>
      <c r="X877" s="604"/>
    </row>
    <row r="878" spans="1:24" ht="15.6">
      <c r="A878" s="604"/>
      <c r="B878" s="604"/>
      <c r="C878" s="609"/>
      <c r="D878" s="604"/>
      <c r="E878" s="604"/>
      <c r="F878" s="604"/>
      <c r="G878" s="604"/>
      <c r="H878" s="604"/>
      <c r="I878" s="604"/>
      <c r="J878" s="604"/>
      <c r="K878" s="604"/>
      <c r="L878" s="604"/>
      <c r="M878" s="604"/>
      <c r="N878" s="604"/>
      <c r="O878" s="604"/>
      <c r="P878" s="604"/>
      <c r="Q878" s="604"/>
      <c r="R878" s="604"/>
      <c r="S878" s="604"/>
      <c r="T878" s="604"/>
      <c r="U878" s="604"/>
      <c r="V878" s="604"/>
      <c r="W878" s="604"/>
      <c r="X878" s="604"/>
    </row>
    <row r="879" spans="1:24" ht="15.6">
      <c r="A879" s="604"/>
      <c r="B879" s="604"/>
      <c r="C879" s="609"/>
      <c r="D879" s="604"/>
      <c r="E879" s="604"/>
      <c r="F879" s="604"/>
      <c r="G879" s="604"/>
      <c r="H879" s="604"/>
      <c r="I879" s="604"/>
      <c r="J879" s="604"/>
      <c r="K879" s="604"/>
      <c r="L879" s="604"/>
      <c r="M879" s="604"/>
      <c r="N879" s="604"/>
      <c r="O879" s="604"/>
      <c r="P879" s="604"/>
      <c r="Q879" s="604"/>
      <c r="R879" s="604"/>
      <c r="S879" s="604"/>
      <c r="T879" s="604"/>
      <c r="U879" s="604"/>
      <c r="V879" s="604"/>
      <c r="W879" s="604"/>
      <c r="X879" s="604"/>
    </row>
    <row r="880" spans="1:24" ht="15.6">
      <c r="A880" s="604"/>
      <c r="B880" s="604"/>
      <c r="C880" s="609"/>
      <c r="D880" s="604"/>
      <c r="E880" s="604"/>
      <c r="F880" s="604"/>
      <c r="G880" s="604"/>
      <c r="H880" s="604"/>
      <c r="I880" s="604"/>
      <c r="J880" s="604"/>
      <c r="K880" s="604"/>
      <c r="L880" s="604"/>
      <c r="M880" s="604"/>
      <c r="N880" s="604"/>
      <c r="O880" s="604"/>
      <c r="P880" s="604"/>
      <c r="Q880" s="604"/>
      <c r="R880" s="604"/>
      <c r="S880" s="604"/>
      <c r="T880" s="604"/>
      <c r="U880" s="604"/>
      <c r="V880" s="604"/>
      <c r="W880" s="604"/>
      <c r="X880" s="604"/>
    </row>
    <row r="881" spans="1:24" ht="15.6">
      <c r="A881" s="604"/>
      <c r="B881" s="604"/>
      <c r="C881" s="609"/>
      <c r="D881" s="604"/>
      <c r="E881" s="604"/>
      <c r="F881" s="604"/>
      <c r="G881" s="604"/>
      <c r="H881" s="604"/>
      <c r="I881" s="604"/>
      <c r="J881" s="604"/>
      <c r="K881" s="604"/>
      <c r="L881" s="604"/>
      <c r="M881" s="604"/>
      <c r="N881" s="604"/>
      <c r="O881" s="604"/>
      <c r="P881" s="604"/>
      <c r="Q881" s="604"/>
      <c r="R881" s="604"/>
      <c r="S881" s="604"/>
      <c r="T881" s="604"/>
      <c r="U881" s="604"/>
      <c r="V881" s="604"/>
      <c r="W881" s="604"/>
      <c r="X881" s="604"/>
    </row>
    <row r="882" spans="1:24" ht="15.6">
      <c r="A882" s="604"/>
      <c r="B882" s="604"/>
      <c r="C882" s="609"/>
      <c r="D882" s="604"/>
      <c r="E882" s="604"/>
      <c r="F882" s="604"/>
      <c r="G882" s="604"/>
      <c r="H882" s="604"/>
      <c r="I882" s="604"/>
      <c r="J882" s="604"/>
      <c r="K882" s="604"/>
      <c r="L882" s="604"/>
      <c r="M882" s="604"/>
      <c r="N882" s="604"/>
      <c r="O882" s="604"/>
      <c r="P882" s="604"/>
      <c r="Q882" s="604"/>
      <c r="R882" s="604"/>
      <c r="S882" s="604"/>
      <c r="T882" s="604"/>
      <c r="U882" s="604"/>
      <c r="V882" s="604"/>
      <c r="W882" s="604"/>
      <c r="X882" s="604"/>
    </row>
    <row r="883" spans="1:24" ht="15.6">
      <c r="A883" s="604"/>
      <c r="B883" s="604"/>
      <c r="C883" s="609"/>
      <c r="D883" s="604"/>
      <c r="E883" s="604"/>
      <c r="F883" s="604"/>
      <c r="G883" s="604"/>
      <c r="H883" s="604"/>
      <c r="I883" s="604"/>
      <c r="J883" s="604"/>
      <c r="K883" s="604"/>
      <c r="L883" s="604"/>
      <c r="M883" s="604"/>
      <c r="N883" s="604"/>
      <c r="O883" s="604"/>
      <c r="P883" s="604"/>
      <c r="Q883" s="604"/>
      <c r="R883" s="604"/>
      <c r="S883" s="604"/>
      <c r="T883" s="604"/>
      <c r="U883" s="604"/>
      <c r="V883" s="604"/>
      <c r="W883" s="604"/>
      <c r="X883" s="604"/>
    </row>
    <row r="884" spans="1:24" ht="15.6">
      <c r="A884" s="604"/>
      <c r="B884" s="604"/>
      <c r="C884" s="609"/>
      <c r="D884" s="604"/>
      <c r="E884" s="604"/>
      <c r="F884" s="604"/>
      <c r="G884" s="604"/>
      <c r="H884" s="604"/>
      <c r="I884" s="604"/>
      <c r="J884" s="604"/>
      <c r="K884" s="604"/>
      <c r="L884" s="604"/>
      <c r="M884" s="604"/>
      <c r="N884" s="604"/>
      <c r="O884" s="604"/>
      <c r="P884" s="604"/>
      <c r="Q884" s="604"/>
      <c r="R884" s="604"/>
      <c r="S884" s="604"/>
      <c r="T884" s="604"/>
      <c r="U884" s="604"/>
      <c r="V884" s="604"/>
      <c r="W884" s="604"/>
      <c r="X884" s="604"/>
    </row>
    <row r="885" spans="1:24" ht="15.6">
      <c r="A885" s="604"/>
      <c r="B885" s="604"/>
      <c r="C885" s="609"/>
      <c r="D885" s="604"/>
      <c r="E885" s="604"/>
      <c r="F885" s="604"/>
      <c r="G885" s="604"/>
      <c r="H885" s="604"/>
      <c r="I885" s="604"/>
      <c r="J885" s="604"/>
      <c r="K885" s="604"/>
      <c r="L885" s="604"/>
      <c r="M885" s="604"/>
      <c r="N885" s="604"/>
      <c r="O885" s="604"/>
      <c r="P885" s="604"/>
      <c r="Q885" s="604"/>
      <c r="R885" s="604"/>
      <c r="S885" s="604"/>
      <c r="T885" s="604"/>
      <c r="U885" s="604"/>
      <c r="V885" s="604"/>
      <c r="W885" s="604"/>
      <c r="X885" s="604"/>
    </row>
    <row r="886" spans="1:24" ht="15.6">
      <c r="A886" s="604"/>
      <c r="B886" s="604"/>
      <c r="C886" s="609"/>
      <c r="D886" s="604"/>
      <c r="E886" s="604"/>
      <c r="F886" s="604"/>
      <c r="G886" s="604"/>
      <c r="H886" s="604"/>
      <c r="I886" s="604"/>
      <c r="J886" s="604"/>
      <c r="K886" s="604"/>
      <c r="L886" s="604"/>
      <c r="M886" s="604"/>
      <c r="N886" s="604"/>
      <c r="O886" s="604"/>
      <c r="P886" s="604"/>
      <c r="Q886" s="604"/>
      <c r="R886" s="604"/>
      <c r="S886" s="604"/>
      <c r="T886" s="604"/>
      <c r="U886" s="604"/>
      <c r="V886" s="604"/>
      <c r="W886" s="604"/>
      <c r="X886" s="604"/>
    </row>
    <row r="887" spans="1:24" ht="15.6">
      <c r="A887" s="604"/>
      <c r="B887" s="604"/>
      <c r="C887" s="609"/>
      <c r="D887" s="604"/>
      <c r="E887" s="604"/>
      <c r="F887" s="604"/>
      <c r="G887" s="604"/>
      <c r="H887" s="604"/>
      <c r="I887" s="604"/>
      <c r="J887" s="604"/>
      <c r="K887" s="604"/>
      <c r="L887" s="604"/>
      <c r="M887" s="604"/>
      <c r="N887" s="604"/>
      <c r="O887" s="604"/>
      <c r="P887" s="604"/>
      <c r="Q887" s="604"/>
      <c r="R887" s="604"/>
      <c r="S887" s="604"/>
      <c r="T887" s="604"/>
      <c r="U887" s="604"/>
      <c r="V887" s="604"/>
      <c r="W887" s="604"/>
      <c r="X887" s="604"/>
    </row>
    <row r="888" spans="1:24" ht="15.6">
      <c r="A888" s="604"/>
      <c r="B888" s="604"/>
      <c r="C888" s="609"/>
      <c r="D888" s="604"/>
      <c r="E888" s="604"/>
      <c r="F888" s="604"/>
      <c r="G888" s="604"/>
      <c r="H888" s="604"/>
      <c r="I888" s="604"/>
      <c r="J888" s="604"/>
      <c r="K888" s="604"/>
      <c r="L888" s="604"/>
      <c r="M888" s="604"/>
      <c r="N888" s="604"/>
      <c r="O888" s="604"/>
      <c r="P888" s="604"/>
      <c r="Q888" s="604"/>
      <c r="R888" s="604"/>
      <c r="S888" s="604"/>
      <c r="T888" s="604"/>
      <c r="U888" s="604"/>
      <c r="V888" s="604"/>
      <c r="W888" s="604"/>
      <c r="X888" s="604"/>
    </row>
    <row r="889" spans="1:24" ht="15.6">
      <c r="A889" s="604"/>
      <c r="B889" s="604"/>
      <c r="C889" s="609"/>
      <c r="D889" s="604"/>
      <c r="E889" s="604"/>
      <c r="F889" s="604"/>
      <c r="G889" s="604"/>
      <c r="H889" s="604"/>
      <c r="I889" s="604"/>
      <c r="J889" s="604"/>
      <c r="K889" s="604"/>
      <c r="L889" s="604"/>
      <c r="M889" s="604"/>
      <c r="N889" s="604"/>
      <c r="O889" s="604"/>
      <c r="P889" s="604"/>
      <c r="Q889" s="604"/>
      <c r="R889" s="604"/>
      <c r="S889" s="604"/>
      <c r="T889" s="604"/>
      <c r="U889" s="604"/>
      <c r="V889" s="604"/>
      <c r="W889" s="604"/>
      <c r="X889" s="604"/>
    </row>
    <row r="890" spans="1:24" ht="15.6">
      <c r="A890" s="604"/>
      <c r="B890" s="604"/>
      <c r="C890" s="609"/>
      <c r="D890" s="604"/>
      <c r="E890" s="604"/>
      <c r="F890" s="604"/>
      <c r="G890" s="604"/>
      <c r="H890" s="604"/>
      <c r="I890" s="604"/>
      <c r="J890" s="604"/>
      <c r="K890" s="604"/>
      <c r="L890" s="604"/>
      <c r="M890" s="604"/>
      <c r="N890" s="604"/>
      <c r="O890" s="604"/>
      <c r="P890" s="604"/>
      <c r="Q890" s="604"/>
      <c r="R890" s="604"/>
      <c r="S890" s="604"/>
      <c r="T890" s="604"/>
      <c r="U890" s="604"/>
      <c r="V890" s="604"/>
      <c r="W890" s="604"/>
      <c r="X890" s="604"/>
    </row>
    <row r="891" spans="1:24" ht="15.6">
      <c r="A891" s="604"/>
      <c r="B891" s="604"/>
      <c r="C891" s="609"/>
      <c r="D891" s="604"/>
      <c r="E891" s="604"/>
      <c r="F891" s="604"/>
      <c r="G891" s="604"/>
      <c r="H891" s="604"/>
      <c r="I891" s="604"/>
      <c r="J891" s="604"/>
      <c r="K891" s="604"/>
      <c r="L891" s="604"/>
      <c r="M891" s="604"/>
      <c r="N891" s="604"/>
      <c r="O891" s="604"/>
      <c r="P891" s="604"/>
      <c r="Q891" s="604"/>
      <c r="R891" s="604"/>
      <c r="S891" s="604"/>
      <c r="T891" s="604"/>
      <c r="U891" s="604"/>
      <c r="V891" s="604"/>
      <c r="W891" s="604"/>
      <c r="X891" s="604"/>
    </row>
    <row r="892" spans="1:24" ht="15.6">
      <c r="A892" s="604"/>
      <c r="B892" s="604"/>
      <c r="C892" s="609"/>
      <c r="D892" s="604"/>
      <c r="E892" s="604"/>
      <c r="F892" s="604"/>
      <c r="G892" s="604"/>
      <c r="H892" s="604"/>
      <c r="I892" s="604"/>
      <c r="J892" s="604"/>
      <c r="K892" s="604"/>
      <c r="L892" s="604"/>
      <c r="M892" s="604"/>
      <c r="N892" s="604"/>
      <c r="O892" s="604"/>
      <c r="P892" s="604"/>
      <c r="Q892" s="604"/>
      <c r="R892" s="604"/>
      <c r="S892" s="604"/>
      <c r="T892" s="604"/>
      <c r="U892" s="604"/>
      <c r="V892" s="604"/>
      <c r="W892" s="604"/>
      <c r="X892" s="604"/>
    </row>
    <row r="893" spans="1:24" ht="15.6">
      <c r="A893" s="604"/>
      <c r="B893" s="604"/>
      <c r="C893" s="609"/>
      <c r="D893" s="604"/>
      <c r="E893" s="604"/>
      <c r="F893" s="604"/>
      <c r="G893" s="604"/>
      <c r="H893" s="604"/>
      <c r="I893" s="604"/>
      <c r="J893" s="604"/>
      <c r="K893" s="604"/>
      <c r="L893" s="604"/>
      <c r="M893" s="604"/>
      <c r="N893" s="604"/>
      <c r="O893" s="604"/>
      <c r="P893" s="604"/>
      <c r="Q893" s="604"/>
      <c r="R893" s="604"/>
      <c r="S893" s="604"/>
      <c r="T893" s="604"/>
      <c r="U893" s="604"/>
      <c r="V893" s="604"/>
      <c r="W893" s="604"/>
      <c r="X893" s="604"/>
    </row>
    <row r="894" spans="1:24" ht="15.6">
      <c r="A894" s="604"/>
      <c r="B894" s="604"/>
      <c r="C894" s="609"/>
      <c r="D894" s="604"/>
      <c r="E894" s="604"/>
      <c r="F894" s="604"/>
      <c r="G894" s="604"/>
      <c r="H894" s="604"/>
      <c r="I894" s="604"/>
      <c r="J894" s="604"/>
      <c r="K894" s="604"/>
      <c r="L894" s="604"/>
      <c r="M894" s="604"/>
      <c r="N894" s="604"/>
      <c r="O894" s="604"/>
      <c r="P894" s="604"/>
      <c r="Q894" s="604"/>
      <c r="R894" s="604"/>
      <c r="S894" s="604"/>
      <c r="T894" s="604"/>
      <c r="U894" s="604"/>
      <c r="V894" s="604"/>
      <c r="W894" s="604"/>
      <c r="X894" s="604"/>
    </row>
    <row r="895" spans="1:24" ht="15.6">
      <c r="A895" s="604"/>
      <c r="B895" s="604"/>
      <c r="C895" s="609"/>
      <c r="D895" s="604"/>
      <c r="E895" s="604"/>
      <c r="F895" s="604"/>
      <c r="G895" s="604"/>
      <c r="H895" s="604"/>
      <c r="I895" s="604"/>
      <c r="J895" s="604"/>
      <c r="K895" s="604"/>
      <c r="L895" s="604"/>
      <c r="M895" s="604"/>
      <c r="N895" s="604"/>
      <c r="O895" s="604"/>
      <c r="P895" s="604"/>
      <c r="Q895" s="604"/>
      <c r="R895" s="604"/>
      <c r="S895" s="604"/>
      <c r="T895" s="604"/>
      <c r="U895" s="604"/>
      <c r="V895" s="604"/>
      <c r="W895" s="604"/>
      <c r="X895" s="604"/>
    </row>
    <row r="896" spans="1:24" ht="15.6">
      <c r="A896" s="604"/>
      <c r="B896" s="604"/>
      <c r="C896" s="609"/>
      <c r="D896" s="604"/>
      <c r="E896" s="604"/>
      <c r="F896" s="604"/>
      <c r="G896" s="604"/>
      <c r="H896" s="604"/>
      <c r="I896" s="604"/>
      <c r="J896" s="604"/>
      <c r="K896" s="604"/>
      <c r="L896" s="604"/>
      <c r="M896" s="604"/>
      <c r="N896" s="604"/>
      <c r="O896" s="604"/>
      <c r="P896" s="604"/>
      <c r="Q896" s="604"/>
      <c r="R896" s="604"/>
      <c r="S896" s="604"/>
      <c r="T896" s="604"/>
      <c r="U896" s="604"/>
      <c r="V896" s="604"/>
      <c r="W896" s="604"/>
      <c r="X896" s="604"/>
    </row>
    <row r="897" spans="1:24" ht="15.6">
      <c r="A897" s="604"/>
      <c r="B897" s="604"/>
      <c r="C897" s="609"/>
      <c r="D897" s="604"/>
      <c r="E897" s="604"/>
      <c r="F897" s="604"/>
      <c r="G897" s="604"/>
      <c r="H897" s="604"/>
      <c r="I897" s="604"/>
      <c r="J897" s="604"/>
      <c r="K897" s="604"/>
      <c r="L897" s="604"/>
      <c r="M897" s="604"/>
      <c r="N897" s="604"/>
      <c r="O897" s="604"/>
      <c r="P897" s="604"/>
      <c r="Q897" s="604"/>
      <c r="R897" s="604"/>
      <c r="S897" s="604"/>
      <c r="T897" s="604"/>
      <c r="U897" s="604"/>
      <c r="V897" s="604"/>
      <c r="W897" s="604"/>
      <c r="X897" s="604"/>
    </row>
    <row r="898" spans="1:24" ht="15.6">
      <c r="A898" s="604"/>
      <c r="B898" s="604"/>
      <c r="C898" s="609"/>
      <c r="D898" s="604"/>
      <c r="E898" s="604"/>
      <c r="F898" s="604"/>
      <c r="G898" s="604"/>
      <c r="H898" s="604"/>
      <c r="I898" s="604"/>
      <c r="J898" s="604"/>
      <c r="K898" s="604"/>
      <c r="L898" s="604"/>
      <c r="M898" s="604"/>
      <c r="N898" s="604"/>
      <c r="O898" s="604"/>
      <c r="P898" s="604"/>
      <c r="Q898" s="604"/>
      <c r="R898" s="604"/>
      <c r="S898" s="604"/>
      <c r="T898" s="604"/>
      <c r="U898" s="604"/>
      <c r="V898" s="604"/>
      <c r="W898" s="604"/>
      <c r="X898" s="604"/>
    </row>
    <row r="899" spans="1:24" ht="15.6">
      <c r="A899" s="604"/>
      <c r="B899" s="604"/>
      <c r="C899" s="609"/>
      <c r="D899" s="604"/>
      <c r="E899" s="604"/>
      <c r="F899" s="604"/>
      <c r="G899" s="604"/>
      <c r="H899" s="604"/>
      <c r="I899" s="604"/>
      <c r="J899" s="604"/>
      <c r="K899" s="604"/>
      <c r="L899" s="604"/>
      <c r="M899" s="604"/>
      <c r="N899" s="604"/>
      <c r="O899" s="604"/>
      <c r="P899" s="604"/>
      <c r="Q899" s="604"/>
      <c r="R899" s="604"/>
      <c r="S899" s="604"/>
      <c r="T899" s="604"/>
      <c r="U899" s="604"/>
      <c r="V899" s="604"/>
      <c r="W899" s="604"/>
      <c r="X899" s="604"/>
    </row>
    <row r="900" spans="1:24" ht="15.6">
      <c r="A900" s="604"/>
      <c r="B900" s="604"/>
      <c r="C900" s="609"/>
      <c r="D900" s="604"/>
      <c r="E900" s="604"/>
      <c r="F900" s="604"/>
      <c r="G900" s="604"/>
      <c r="H900" s="604"/>
      <c r="I900" s="604"/>
      <c r="J900" s="604"/>
      <c r="K900" s="604"/>
      <c r="L900" s="604"/>
      <c r="M900" s="604"/>
      <c r="N900" s="604"/>
      <c r="O900" s="604"/>
      <c r="P900" s="604"/>
      <c r="Q900" s="604"/>
      <c r="R900" s="604"/>
      <c r="S900" s="604"/>
      <c r="T900" s="604"/>
      <c r="U900" s="604"/>
      <c r="V900" s="604"/>
      <c r="W900" s="604"/>
      <c r="X900" s="604"/>
    </row>
    <row r="901" spans="1:24" ht="15.6">
      <c r="A901" s="604"/>
      <c r="B901" s="604"/>
      <c r="C901" s="609"/>
      <c r="D901" s="604"/>
      <c r="E901" s="604"/>
      <c r="F901" s="604"/>
      <c r="G901" s="604"/>
      <c r="H901" s="604"/>
      <c r="I901" s="604"/>
      <c r="J901" s="604"/>
      <c r="K901" s="604"/>
      <c r="L901" s="604"/>
      <c r="M901" s="604"/>
      <c r="N901" s="604"/>
      <c r="O901" s="604"/>
      <c r="P901" s="604"/>
      <c r="Q901" s="604"/>
      <c r="R901" s="604"/>
      <c r="S901" s="604"/>
      <c r="T901" s="604"/>
      <c r="U901" s="604"/>
      <c r="V901" s="604"/>
      <c r="W901" s="604"/>
      <c r="X901" s="604"/>
    </row>
    <row r="902" spans="1:24" ht="15.6">
      <c r="A902" s="604"/>
      <c r="B902" s="604"/>
      <c r="C902" s="609"/>
      <c r="D902" s="604"/>
      <c r="E902" s="604"/>
      <c r="F902" s="604"/>
      <c r="G902" s="604"/>
      <c r="H902" s="604"/>
      <c r="I902" s="604"/>
      <c r="J902" s="604"/>
      <c r="K902" s="604"/>
      <c r="L902" s="604"/>
      <c r="M902" s="604"/>
      <c r="N902" s="604"/>
      <c r="O902" s="604"/>
      <c r="P902" s="604"/>
      <c r="Q902" s="604"/>
      <c r="R902" s="604"/>
      <c r="S902" s="604"/>
      <c r="T902" s="604"/>
      <c r="U902" s="604"/>
      <c r="V902" s="604"/>
      <c r="W902" s="604"/>
      <c r="X902" s="604"/>
    </row>
    <row r="903" spans="1:24" ht="15.6">
      <c r="A903" s="604"/>
      <c r="B903" s="604"/>
      <c r="C903" s="609"/>
      <c r="D903" s="604"/>
      <c r="E903" s="604"/>
      <c r="F903" s="604"/>
      <c r="G903" s="604"/>
      <c r="H903" s="604"/>
      <c r="I903" s="604"/>
      <c r="J903" s="604"/>
      <c r="K903" s="604"/>
      <c r="L903" s="604"/>
      <c r="M903" s="604"/>
      <c r="N903" s="604"/>
      <c r="O903" s="604"/>
      <c r="P903" s="604"/>
      <c r="Q903" s="604"/>
      <c r="R903" s="604"/>
      <c r="S903" s="604"/>
      <c r="T903" s="604"/>
      <c r="U903" s="604"/>
      <c r="V903" s="604"/>
      <c r="W903" s="604"/>
      <c r="X903" s="604"/>
    </row>
    <row r="904" spans="1:24" ht="15.6">
      <c r="A904" s="604"/>
      <c r="B904" s="604"/>
      <c r="C904" s="609"/>
      <c r="D904" s="604"/>
      <c r="E904" s="604"/>
      <c r="F904" s="604"/>
      <c r="G904" s="604"/>
      <c r="H904" s="604"/>
      <c r="I904" s="604"/>
      <c r="J904" s="604"/>
      <c r="K904" s="604"/>
      <c r="L904" s="604"/>
      <c r="M904" s="604"/>
      <c r="N904" s="604"/>
      <c r="O904" s="604"/>
      <c r="P904" s="604"/>
      <c r="Q904" s="604"/>
      <c r="R904" s="604"/>
      <c r="S904" s="604"/>
      <c r="T904" s="604"/>
      <c r="U904" s="604"/>
      <c r="V904" s="604"/>
      <c r="W904" s="604"/>
      <c r="X904" s="604"/>
    </row>
    <row r="905" spans="1:24" ht="15.6">
      <c r="A905" s="604"/>
      <c r="B905" s="604"/>
      <c r="C905" s="609"/>
      <c r="D905" s="604"/>
      <c r="E905" s="604"/>
      <c r="F905" s="604"/>
      <c r="G905" s="604"/>
      <c r="H905" s="604"/>
      <c r="I905" s="604"/>
      <c r="J905" s="604"/>
      <c r="K905" s="604"/>
      <c r="L905" s="604"/>
      <c r="M905" s="604"/>
      <c r="N905" s="604"/>
      <c r="O905" s="604"/>
      <c r="P905" s="604"/>
      <c r="Q905" s="604"/>
      <c r="R905" s="604"/>
      <c r="S905" s="604"/>
      <c r="T905" s="604"/>
      <c r="U905" s="604"/>
      <c r="V905" s="604"/>
      <c r="W905" s="604"/>
      <c r="X905" s="604"/>
    </row>
    <row r="906" spans="1:24" ht="15.6">
      <c r="A906" s="604"/>
      <c r="B906" s="604"/>
      <c r="C906" s="609"/>
      <c r="D906" s="604"/>
      <c r="E906" s="604"/>
      <c r="F906" s="604"/>
      <c r="G906" s="604"/>
      <c r="H906" s="604"/>
      <c r="I906" s="604"/>
      <c r="J906" s="604"/>
      <c r="K906" s="604"/>
      <c r="L906" s="604"/>
      <c r="M906" s="604"/>
      <c r="N906" s="604"/>
      <c r="O906" s="604"/>
      <c r="P906" s="604"/>
      <c r="Q906" s="604"/>
      <c r="R906" s="604"/>
      <c r="S906" s="604"/>
      <c r="T906" s="604"/>
      <c r="U906" s="604"/>
      <c r="V906" s="604"/>
      <c r="W906" s="604"/>
      <c r="X906" s="604"/>
    </row>
    <row r="907" spans="1:24" ht="15.6">
      <c r="A907" s="604"/>
      <c r="B907" s="604"/>
      <c r="C907" s="609"/>
      <c r="D907" s="604"/>
      <c r="E907" s="604"/>
      <c r="F907" s="604"/>
      <c r="G907" s="604"/>
      <c r="H907" s="604"/>
      <c r="I907" s="604"/>
      <c r="J907" s="604"/>
      <c r="K907" s="604"/>
      <c r="L907" s="604"/>
      <c r="M907" s="604"/>
      <c r="N907" s="604"/>
      <c r="O907" s="604"/>
      <c r="P907" s="604"/>
      <c r="Q907" s="604"/>
      <c r="R907" s="604"/>
      <c r="S907" s="604"/>
      <c r="T907" s="604"/>
      <c r="U907" s="604"/>
      <c r="V907" s="604"/>
      <c r="W907" s="604"/>
      <c r="X907" s="604"/>
    </row>
    <row r="908" spans="1:24" ht="15.6">
      <c r="A908" s="604"/>
      <c r="B908" s="604"/>
      <c r="C908" s="609"/>
      <c r="D908" s="604"/>
      <c r="E908" s="604"/>
      <c r="F908" s="604"/>
      <c r="G908" s="604"/>
      <c r="H908" s="604"/>
      <c r="I908" s="604"/>
      <c r="J908" s="604"/>
      <c r="K908" s="604"/>
      <c r="L908" s="604"/>
      <c r="M908" s="604"/>
      <c r="N908" s="604"/>
      <c r="O908" s="604"/>
      <c r="P908" s="604"/>
      <c r="Q908" s="604"/>
      <c r="R908" s="604"/>
      <c r="S908" s="604"/>
      <c r="T908" s="604"/>
      <c r="U908" s="604"/>
      <c r="V908" s="604"/>
      <c r="W908" s="604"/>
      <c r="X908" s="604"/>
    </row>
    <row r="909" spans="1:24" ht="15.6">
      <c r="A909" s="604"/>
      <c r="B909" s="604"/>
      <c r="C909" s="609"/>
      <c r="D909" s="604"/>
      <c r="E909" s="604"/>
      <c r="F909" s="604"/>
      <c r="G909" s="604"/>
      <c r="H909" s="604"/>
      <c r="I909" s="604"/>
      <c r="J909" s="604"/>
      <c r="K909" s="604"/>
      <c r="L909" s="604"/>
      <c r="M909" s="604"/>
      <c r="N909" s="604"/>
      <c r="O909" s="604"/>
      <c r="P909" s="604"/>
      <c r="Q909" s="604"/>
      <c r="R909" s="604"/>
      <c r="S909" s="604"/>
      <c r="T909" s="604"/>
      <c r="U909" s="604"/>
      <c r="V909" s="604"/>
      <c r="W909" s="604"/>
      <c r="X909" s="604"/>
    </row>
    <row r="910" spans="1:24" ht="15.6">
      <c r="A910" s="604"/>
      <c r="B910" s="604"/>
      <c r="C910" s="609"/>
      <c r="D910" s="604"/>
      <c r="E910" s="604"/>
      <c r="F910" s="604"/>
      <c r="G910" s="604"/>
      <c r="H910" s="604"/>
      <c r="I910" s="604"/>
      <c r="J910" s="604"/>
      <c r="K910" s="604"/>
      <c r="L910" s="604"/>
      <c r="M910" s="604"/>
      <c r="N910" s="604"/>
      <c r="O910" s="604"/>
      <c r="P910" s="604"/>
      <c r="Q910" s="604"/>
      <c r="R910" s="604"/>
      <c r="S910" s="604"/>
      <c r="T910" s="604"/>
      <c r="U910" s="604"/>
      <c r="V910" s="604"/>
      <c r="W910" s="604"/>
      <c r="X910" s="604"/>
    </row>
    <row r="911" spans="1:24" ht="15.6">
      <c r="A911" s="604"/>
      <c r="B911" s="604"/>
      <c r="C911" s="609"/>
      <c r="D911" s="604"/>
      <c r="E911" s="604"/>
      <c r="F911" s="604"/>
      <c r="G911" s="604"/>
      <c r="H911" s="604"/>
      <c r="I911" s="604"/>
      <c r="J911" s="604"/>
      <c r="K911" s="604"/>
      <c r="L911" s="604"/>
      <c r="M911" s="604"/>
      <c r="N911" s="604"/>
      <c r="O911" s="604"/>
      <c r="P911" s="604"/>
      <c r="Q911" s="604"/>
      <c r="R911" s="604"/>
      <c r="S911" s="604"/>
      <c r="T911" s="604"/>
      <c r="U911" s="604"/>
      <c r="V911" s="604"/>
      <c r="W911" s="604"/>
      <c r="X911" s="604"/>
    </row>
    <row r="912" spans="1:24" ht="15.6">
      <c r="A912" s="604"/>
      <c r="B912" s="604"/>
      <c r="C912" s="609"/>
      <c r="D912" s="604"/>
      <c r="E912" s="604"/>
      <c r="F912" s="604"/>
      <c r="G912" s="604"/>
      <c r="H912" s="604"/>
      <c r="I912" s="604"/>
      <c r="J912" s="604"/>
      <c r="K912" s="604"/>
      <c r="L912" s="604"/>
      <c r="M912" s="604"/>
      <c r="N912" s="604"/>
      <c r="O912" s="604"/>
      <c r="P912" s="604"/>
      <c r="Q912" s="604"/>
      <c r="R912" s="604"/>
      <c r="S912" s="604"/>
      <c r="T912" s="604"/>
      <c r="U912" s="604"/>
      <c r="V912" s="604"/>
      <c r="W912" s="604"/>
      <c r="X912" s="604"/>
    </row>
    <row r="913" spans="1:24" ht="15.6">
      <c r="A913" s="604"/>
      <c r="B913" s="604"/>
      <c r="C913" s="609"/>
      <c r="D913" s="604"/>
      <c r="E913" s="604"/>
      <c r="F913" s="604"/>
      <c r="G913" s="604"/>
      <c r="H913" s="604"/>
      <c r="I913" s="604"/>
      <c r="J913" s="604"/>
      <c r="K913" s="604"/>
      <c r="L913" s="604"/>
      <c r="M913" s="604"/>
      <c r="N913" s="604"/>
      <c r="O913" s="604"/>
      <c r="P913" s="604"/>
      <c r="Q913" s="604"/>
      <c r="R913" s="604"/>
      <c r="S913" s="604"/>
      <c r="T913" s="604"/>
      <c r="U913" s="604"/>
      <c r="V913" s="604"/>
      <c r="W913" s="604"/>
      <c r="X913" s="604"/>
    </row>
    <row r="914" spans="1:24" ht="15.6">
      <c r="A914" s="604"/>
      <c r="B914" s="604"/>
      <c r="C914" s="609"/>
      <c r="D914" s="604"/>
      <c r="E914" s="604"/>
      <c r="F914" s="604"/>
      <c r="G914" s="604"/>
      <c r="H914" s="604"/>
      <c r="I914" s="604"/>
      <c r="J914" s="604"/>
      <c r="K914" s="604"/>
      <c r="L914" s="604"/>
      <c r="M914" s="604"/>
      <c r="N914" s="604"/>
      <c r="O914" s="604"/>
      <c r="P914" s="604"/>
      <c r="Q914" s="604"/>
      <c r="R914" s="604"/>
      <c r="S914" s="604"/>
      <c r="T914" s="604"/>
      <c r="U914" s="604"/>
      <c r="V914" s="604"/>
      <c r="W914" s="604"/>
      <c r="X914" s="604"/>
    </row>
    <row r="915" spans="1:24" ht="15.6">
      <c r="A915" s="604"/>
      <c r="B915" s="604"/>
      <c r="C915" s="609"/>
      <c r="D915" s="604"/>
      <c r="E915" s="604"/>
      <c r="F915" s="604"/>
      <c r="G915" s="604"/>
      <c r="H915" s="604"/>
      <c r="I915" s="604"/>
      <c r="J915" s="604"/>
      <c r="K915" s="604"/>
      <c r="L915" s="604"/>
      <c r="M915" s="604"/>
      <c r="N915" s="604"/>
      <c r="O915" s="604"/>
      <c r="P915" s="604"/>
      <c r="Q915" s="604"/>
      <c r="R915" s="604"/>
      <c r="S915" s="604"/>
      <c r="T915" s="604"/>
      <c r="U915" s="604"/>
      <c r="V915" s="604"/>
      <c r="W915" s="604"/>
      <c r="X915" s="604"/>
    </row>
    <row r="916" spans="1:24" ht="15.6">
      <c r="A916" s="604"/>
      <c r="B916" s="604"/>
      <c r="C916" s="609"/>
      <c r="D916" s="604"/>
      <c r="E916" s="604"/>
      <c r="F916" s="604"/>
      <c r="G916" s="604"/>
      <c r="H916" s="604"/>
      <c r="I916" s="604"/>
      <c r="J916" s="604"/>
      <c r="K916" s="604"/>
      <c r="L916" s="604"/>
      <c r="M916" s="604"/>
      <c r="N916" s="604"/>
      <c r="O916" s="604"/>
      <c r="P916" s="604"/>
      <c r="Q916" s="604"/>
      <c r="R916" s="604"/>
      <c r="S916" s="604"/>
      <c r="T916" s="604"/>
      <c r="U916" s="604"/>
      <c r="V916" s="604"/>
      <c r="W916" s="604"/>
      <c r="X916" s="604"/>
    </row>
    <row r="917" spans="1:24" ht="15.6">
      <c r="A917" s="604"/>
      <c r="B917" s="604"/>
      <c r="C917" s="609"/>
      <c r="D917" s="604"/>
      <c r="E917" s="604"/>
      <c r="F917" s="604"/>
      <c r="G917" s="604"/>
      <c r="H917" s="604"/>
      <c r="I917" s="604"/>
      <c r="J917" s="604"/>
      <c r="K917" s="604"/>
      <c r="L917" s="604"/>
      <c r="M917" s="604"/>
      <c r="N917" s="604"/>
      <c r="O917" s="604"/>
      <c r="P917" s="604"/>
      <c r="Q917" s="604"/>
      <c r="R917" s="604"/>
      <c r="S917" s="604"/>
      <c r="T917" s="604"/>
      <c r="U917" s="604"/>
      <c r="V917" s="604"/>
      <c r="W917" s="604"/>
      <c r="X917" s="604"/>
    </row>
    <row r="918" spans="1:24" ht="15.6">
      <c r="A918" s="604"/>
      <c r="B918" s="604"/>
      <c r="C918" s="609"/>
      <c r="D918" s="604"/>
      <c r="E918" s="604"/>
      <c r="F918" s="604"/>
      <c r="G918" s="604"/>
      <c r="H918" s="604"/>
      <c r="I918" s="604"/>
      <c r="J918" s="604"/>
      <c r="K918" s="604"/>
      <c r="L918" s="604"/>
      <c r="M918" s="604"/>
      <c r="N918" s="604"/>
      <c r="O918" s="604"/>
      <c r="P918" s="604"/>
      <c r="Q918" s="604"/>
      <c r="R918" s="604"/>
      <c r="S918" s="604"/>
      <c r="T918" s="604"/>
      <c r="U918" s="604"/>
      <c r="V918" s="604"/>
      <c r="W918" s="604"/>
      <c r="X918" s="604"/>
    </row>
    <row r="919" spans="1:24" ht="15.6">
      <c r="A919" s="604"/>
      <c r="B919" s="604"/>
      <c r="C919" s="609"/>
      <c r="D919" s="604"/>
      <c r="E919" s="604"/>
      <c r="F919" s="604"/>
      <c r="G919" s="604"/>
      <c r="H919" s="604"/>
      <c r="I919" s="604"/>
      <c r="J919" s="604"/>
      <c r="K919" s="604"/>
      <c r="L919" s="604"/>
      <c r="M919" s="604"/>
      <c r="N919" s="604"/>
      <c r="O919" s="604"/>
      <c r="P919" s="604"/>
      <c r="Q919" s="604"/>
      <c r="R919" s="604"/>
      <c r="S919" s="604"/>
      <c r="T919" s="604"/>
      <c r="U919" s="604"/>
      <c r="V919" s="604"/>
      <c r="W919" s="604"/>
      <c r="X919" s="604"/>
    </row>
    <row r="920" spans="1:24" ht="15.6">
      <c r="A920" s="604"/>
      <c r="B920" s="604"/>
      <c r="C920" s="609"/>
      <c r="D920" s="604"/>
      <c r="E920" s="604"/>
      <c r="F920" s="604"/>
      <c r="G920" s="604"/>
      <c r="H920" s="604"/>
      <c r="I920" s="604"/>
      <c r="J920" s="604"/>
      <c r="K920" s="604"/>
      <c r="L920" s="604"/>
      <c r="M920" s="604"/>
      <c r="N920" s="604"/>
      <c r="O920" s="604"/>
      <c r="P920" s="604"/>
      <c r="Q920" s="604"/>
      <c r="R920" s="604"/>
      <c r="S920" s="604"/>
      <c r="T920" s="604"/>
      <c r="U920" s="604"/>
      <c r="V920" s="604"/>
      <c r="W920" s="604"/>
      <c r="X920" s="604"/>
    </row>
    <row r="921" spans="1:24" ht="15.6">
      <c r="A921" s="604"/>
      <c r="B921" s="604"/>
      <c r="C921" s="609"/>
      <c r="D921" s="604"/>
      <c r="E921" s="604"/>
      <c r="F921" s="604"/>
      <c r="G921" s="604"/>
      <c r="H921" s="604"/>
      <c r="I921" s="604"/>
      <c r="J921" s="604"/>
      <c r="K921" s="604"/>
      <c r="L921" s="604"/>
      <c r="M921" s="604"/>
      <c r="N921" s="604"/>
      <c r="O921" s="604"/>
      <c r="P921" s="604"/>
      <c r="Q921" s="604"/>
      <c r="R921" s="604"/>
      <c r="S921" s="604"/>
      <c r="T921" s="604"/>
      <c r="U921" s="604"/>
      <c r="V921" s="604"/>
      <c r="W921" s="604"/>
      <c r="X921" s="604"/>
    </row>
    <row r="922" spans="1:24" ht="15.6">
      <c r="A922" s="604"/>
      <c r="B922" s="604"/>
      <c r="C922" s="609"/>
      <c r="D922" s="604"/>
      <c r="E922" s="604"/>
      <c r="F922" s="604"/>
      <c r="G922" s="604"/>
      <c r="H922" s="604"/>
      <c r="I922" s="604"/>
      <c r="J922" s="604"/>
      <c r="K922" s="604"/>
      <c r="L922" s="604"/>
      <c r="M922" s="604"/>
      <c r="N922" s="604"/>
      <c r="O922" s="604"/>
      <c r="P922" s="604"/>
      <c r="Q922" s="604"/>
      <c r="R922" s="604"/>
      <c r="S922" s="604"/>
      <c r="T922" s="604"/>
      <c r="U922" s="604"/>
      <c r="V922" s="604"/>
      <c r="W922" s="604"/>
      <c r="X922" s="604"/>
    </row>
    <row r="923" spans="1:24" ht="15.6">
      <c r="A923" s="604"/>
      <c r="B923" s="604"/>
      <c r="C923" s="609"/>
      <c r="D923" s="604"/>
      <c r="E923" s="604"/>
      <c r="F923" s="604"/>
      <c r="G923" s="604"/>
      <c r="H923" s="604"/>
      <c r="I923" s="604"/>
      <c r="J923" s="604"/>
      <c r="K923" s="604"/>
      <c r="L923" s="604"/>
      <c r="M923" s="604"/>
      <c r="N923" s="604"/>
      <c r="O923" s="604"/>
      <c r="P923" s="604"/>
      <c r="Q923" s="604"/>
      <c r="R923" s="604"/>
      <c r="S923" s="604"/>
      <c r="T923" s="604"/>
      <c r="U923" s="604"/>
      <c r="V923" s="604"/>
      <c r="W923" s="604"/>
      <c r="X923" s="604"/>
    </row>
    <row r="924" spans="1:24" ht="15.6">
      <c r="A924" s="604"/>
      <c r="B924" s="604"/>
      <c r="C924" s="609"/>
      <c r="D924" s="604"/>
      <c r="E924" s="604"/>
      <c r="F924" s="604"/>
      <c r="G924" s="604"/>
      <c r="H924" s="604"/>
      <c r="I924" s="604"/>
      <c r="J924" s="604"/>
      <c r="K924" s="604"/>
      <c r="L924" s="604"/>
      <c r="M924" s="604"/>
      <c r="N924" s="604"/>
      <c r="O924" s="604"/>
      <c r="P924" s="604"/>
      <c r="Q924" s="604"/>
      <c r="R924" s="604"/>
      <c r="S924" s="604"/>
      <c r="T924" s="604"/>
      <c r="U924" s="604"/>
      <c r="V924" s="604"/>
      <c r="W924" s="604"/>
      <c r="X924" s="604"/>
    </row>
    <row r="925" spans="1:24" ht="15.6">
      <c r="A925" s="604"/>
      <c r="B925" s="604"/>
      <c r="C925" s="609"/>
      <c r="D925" s="604"/>
      <c r="E925" s="604"/>
      <c r="F925" s="604"/>
      <c r="G925" s="604"/>
      <c r="H925" s="604"/>
      <c r="I925" s="604"/>
      <c r="J925" s="604"/>
      <c r="K925" s="604"/>
      <c r="L925" s="604"/>
      <c r="M925" s="604"/>
      <c r="N925" s="604"/>
      <c r="O925" s="604"/>
      <c r="P925" s="604"/>
      <c r="Q925" s="604"/>
      <c r="R925" s="604"/>
      <c r="S925" s="604"/>
      <c r="T925" s="604"/>
      <c r="U925" s="604"/>
      <c r="V925" s="604"/>
      <c r="W925" s="604"/>
      <c r="X925" s="604"/>
    </row>
    <row r="926" spans="1:24" ht="15.6">
      <c r="A926" s="604"/>
      <c r="B926" s="604"/>
      <c r="C926" s="609"/>
      <c r="D926" s="604"/>
      <c r="E926" s="604"/>
      <c r="F926" s="604"/>
      <c r="G926" s="604"/>
      <c r="H926" s="604"/>
      <c r="I926" s="604"/>
      <c r="J926" s="604"/>
      <c r="K926" s="604"/>
      <c r="L926" s="604"/>
      <c r="M926" s="604"/>
      <c r="N926" s="604"/>
      <c r="O926" s="604"/>
      <c r="P926" s="604"/>
      <c r="Q926" s="604"/>
      <c r="R926" s="604"/>
      <c r="S926" s="604"/>
      <c r="T926" s="604"/>
      <c r="U926" s="604"/>
      <c r="V926" s="604"/>
      <c r="W926" s="604"/>
      <c r="X926" s="604"/>
    </row>
    <row r="927" spans="1:24" ht="15.6">
      <c r="A927" s="604"/>
      <c r="B927" s="604"/>
      <c r="C927" s="609"/>
      <c r="D927" s="604"/>
      <c r="E927" s="604"/>
      <c r="F927" s="604"/>
      <c r="G927" s="604"/>
      <c r="H927" s="604"/>
      <c r="I927" s="604"/>
      <c r="J927" s="604"/>
      <c r="K927" s="604"/>
      <c r="L927" s="604"/>
      <c r="M927" s="604"/>
      <c r="N927" s="604"/>
      <c r="O927" s="604"/>
      <c r="P927" s="604"/>
      <c r="Q927" s="604"/>
      <c r="R927" s="604"/>
      <c r="S927" s="604"/>
      <c r="T927" s="604"/>
      <c r="U927" s="604"/>
      <c r="V927" s="604"/>
      <c r="W927" s="604"/>
      <c r="X927" s="604"/>
    </row>
    <row r="928" spans="1:24" ht="15.6">
      <c r="A928" s="604"/>
      <c r="B928" s="604"/>
      <c r="C928" s="609"/>
      <c r="D928" s="604"/>
      <c r="E928" s="604"/>
      <c r="F928" s="604"/>
      <c r="G928" s="604"/>
      <c r="H928" s="604"/>
      <c r="I928" s="604"/>
      <c r="J928" s="604"/>
      <c r="K928" s="604"/>
      <c r="L928" s="604"/>
      <c r="M928" s="604"/>
      <c r="N928" s="604"/>
      <c r="O928" s="604"/>
      <c r="P928" s="604"/>
      <c r="Q928" s="604"/>
      <c r="R928" s="604"/>
      <c r="S928" s="604"/>
      <c r="T928" s="604"/>
      <c r="U928" s="604"/>
      <c r="V928" s="604"/>
      <c r="W928" s="604"/>
      <c r="X928" s="604"/>
    </row>
    <row r="929" spans="1:24" ht="15.6">
      <c r="A929" s="604"/>
      <c r="B929" s="604"/>
      <c r="C929" s="609"/>
      <c r="D929" s="604"/>
      <c r="E929" s="604"/>
      <c r="F929" s="604"/>
      <c r="G929" s="604"/>
      <c r="H929" s="604"/>
      <c r="I929" s="604"/>
      <c r="J929" s="604"/>
      <c r="K929" s="604"/>
      <c r="L929" s="604"/>
      <c r="M929" s="604"/>
      <c r="N929" s="604"/>
      <c r="O929" s="604"/>
      <c r="P929" s="604"/>
      <c r="Q929" s="604"/>
      <c r="R929" s="604"/>
      <c r="S929" s="604"/>
      <c r="T929" s="604"/>
      <c r="U929" s="604"/>
      <c r="V929" s="604"/>
      <c r="W929" s="604"/>
      <c r="X929" s="604"/>
    </row>
    <row r="930" spans="1:24" ht="15.6">
      <c r="A930" s="604"/>
      <c r="B930" s="604"/>
      <c r="C930" s="609"/>
      <c r="D930" s="604"/>
      <c r="E930" s="604"/>
      <c r="F930" s="604"/>
      <c r="G930" s="604"/>
      <c r="H930" s="604"/>
      <c r="I930" s="604"/>
      <c r="J930" s="604"/>
      <c r="K930" s="604"/>
      <c r="L930" s="604"/>
      <c r="M930" s="604"/>
      <c r="N930" s="604"/>
      <c r="O930" s="604"/>
      <c r="P930" s="604"/>
      <c r="Q930" s="604"/>
      <c r="R930" s="604"/>
      <c r="S930" s="604"/>
      <c r="T930" s="604"/>
      <c r="U930" s="604"/>
      <c r="V930" s="604"/>
      <c r="W930" s="604"/>
      <c r="X930" s="604"/>
    </row>
    <row r="931" spans="1:24" ht="15.6">
      <c r="A931" s="604"/>
      <c r="B931" s="604"/>
      <c r="C931" s="609"/>
      <c r="D931" s="604"/>
      <c r="E931" s="604"/>
      <c r="F931" s="604"/>
      <c r="G931" s="604"/>
      <c r="H931" s="604"/>
      <c r="I931" s="604"/>
      <c r="J931" s="604"/>
      <c r="K931" s="604"/>
      <c r="L931" s="604"/>
      <c r="M931" s="604"/>
      <c r="N931" s="604"/>
      <c r="O931" s="604"/>
      <c r="P931" s="604"/>
      <c r="Q931" s="604"/>
      <c r="R931" s="604"/>
      <c r="S931" s="604"/>
      <c r="T931" s="604"/>
      <c r="U931" s="604"/>
      <c r="V931" s="604"/>
      <c r="W931" s="604"/>
      <c r="X931" s="604"/>
    </row>
    <row r="932" spans="1:24" ht="15.6">
      <c r="A932" s="604"/>
      <c r="B932" s="604"/>
      <c r="C932" s="609"/>
      <c r="D932" s="604"/>
      <c r="E932" s="604"/>
      <c r="F932" s="604"/>
      <c r="G932" s="604"/>
      <c r="H932" s="604"/>
      <c r="I932" s="604"/>
      <c r="J932" s="604"/>
      <c r="K932" s="604"/>
      <c r="L932" s="604"/>
      <c r="M932" s="604"/>
      <c r="N932" s="604"/>
      <c r="O932" s="604"/>
      <c r="P932" s="604"/>
      <c r="Q932" s="604"/>
      <c r="R932" s="604"/>
      <c r="S932" s="604"/>
      <c r="T932" s="604"/>
      <c r="U932" s="604"/>
      <c r="V932" s="604"/>
      <c r="W932" s="604"/>
      <c r="X932" s="604"/>
    </row>
    <row r="933" spans="1:24" ht="15.6">
      <c r="A933" s="604"/>
      <c r="B933" s="604"/>
      <c r="C933" s="609"/>
      <c r="D933" s="604"/>
      <c r="E933" s="604"/>
      <c r="F933" s="604"/>
      <c r="G933" s="604"/>
      <c r="H933" s="604"/>
      <c r="I933" s="604"/>
      <c r="J933" s="604"/>
      <c r="K933" s="604"/>
      <c r="L933" s="604"/>
      <c r="M933" s="604"/>
      <c r="N933" s="604"/>
      <c r="O933" s="604"/>
      <c r="P933" s="604"/>
      <c r="Q933" s="604"/>
      <c r="R933" s="604"/>
      <c r="S933" s="604"/>
      <c r="T933" s="604"/>
      <c r="U933" s="604"/>
      <c r="V933" s="604"/>
      <c r="W933" s="604"/>
      <c r="X933" s="604"/>
    </row>
    <row r="934" spans="1:24" ht="15.6">
      <c r="A934" s="604"/>
      <c r="B934" s="604"/>
      <c r="C934" s="609"/>
      <c r="D934" s="604"/>
      <c r="E934" s="604"/>
      <c r="F934" s="604"/>
      <c r="G934" s="604"/>
      <c r="H934" s="604"/>
      <c r="I934" s="604"/>
      <c r="J934" s="604"/>
      <c r="K934" s="604"/>
      <c r="L934" s="604"/>
      <c r="M934" s="604"/>
      <c r="N934" s="604"/>
      <c r="O934" s="604"/>
      <c r="P934" s="604"/>
      <c r="Q934" s="604"/>
      <c r="R934" s="604"/>
      <c r="S934" s="604"/>
      <c r="T934" s="604"/>
      <c r="U934" s="604"/>
      <c r="V934" s="604"/>
      <c r="W934" s="604"/>
      <c r="X934" s="604"/>
    </row>
    <row r="935" spans="1:24" ht="15.6">
      <c r="A935" s="604"/>
      <c r="B935" s="604"/>
      <c r="C935" s="609"/>
      <c r="D935" s="604"/>
      <c r="E935" s="604"/>
      <c r="F935" s="604"/>
      <c r="G935" s="604"/>
      <c r="H935" s="604"/>
      <c r="I935" s="604"/>
      <c r="J935" s="604"/>
      <c r="K935" s="604"/>
      <c r="L935" s="604"/>
      <c r="M935" s="604"/>
      <c r="N935" s="604"/>
      <c r="O935" s="604"/>
      <c r="P935" s="604"/>
      <c r="Q935" s="604"/>
      <c r="R935" s="604"/>
      <c r="S935" s="604"/>
      <c r="T935" s="604"/>
      <c r="U935" s="604"/>
      <c r="V935" s="604"/>
      <c r="W935" s="604"/>
      <c r="X935" s="604"/>
    </row>
    <row r="936" spans="1:24" ht="15.6">
      <c r="A936" s="604"/>
      <c r="B936" s="604"/>
      <c r="C936" s="609"/>
      <c r="D936" s="604"/>
      <c r="E936" s="604"/>
      <c r="F936" s="604"/>
      <c r="G936" s="604"/>
      <c r="H936" s="604"/>
      <c r="I936" s="604"/>
      <c r="J936" s="604"/>
      <c r="K936" s="604"/>
      <c r="L936" s="604"/>
      <c r="M936" s="604"/>
      <c r="N936" s="604"/>
      <c r="O936" s="604"/>
      <c r="P936" s="604"/>
      <c r="Q936" s="604"/>
      <c r="R936" s="604"/>
      <c r="S936" s="604"/>
      <c r="T936" s="604"/>
      <c r="U936" s="604"/>
      <c r="V936" s="604"/>
      <c r="W936" s="604"/>
      <c r="X936" s="604"/>
    </row>
    <row r="937" spans="1:24" ht="15.6">
      <c r="A937" s="604"/>
      <c r="B937" s="604"/>
      <c r="C937" s="609"/>
      <c r="D937" s="604"/>
      <c r="E937" s="604"/>
      <c r="F937" s="604"/>
      <c r="G937" s="604"/>
      <c r="H937" s="604"/>
      <c r="I937" s="604"/>
      <c r="J937" s="604"/>
      <c r="K937" s="604"/>
      <c r="L937" s="604"/>
      <c r="M937" s="604"/>
      <c r="N937" s="604"/>
      <c r="O937" s="604"/>
      <c r="P937" s="604"/>
      <c r="Q937" s="604"/>
      <c r="R937" s="604"/>
      <c r="S937" s="604"/>
      <c r="T937" s="604"/>
      <c r="U937" s="604"/>
      <c r="V937" s="604"/>
      <c r="W937" s="604"/>
      <c r="X937" s="604"/>
    </row>
    <row r="938" spans="1:24" ht="15.6">
      <c r="A938" s="604"/>
      <c r="B938" s="604"/>
      <c r="C938" s="609"/>
      <c r="D938" s="604"/>
      <c r="E938" s="604"/>
      <c r="F938" s="604"/>
      <c r="G938" s="604"/>
      <c r="H938" s="604"/>
      <c r="I938" s="604"/>
      <c r="J938" s="604"/>
      <c r="K938" s="604"/>
      <c r="L938" s="604"/>
      <c r="M938" s="604"/>
      <c r="N938" s="604"/>
      <c r="O938" s="604"/>
      <c r="P938" s="604"/>
      <c r="Q938" s="604"/>
      <c r="R938" s="604"/>
      <c r="S938" s="604"/>
      <c r="T938" s="604"/>
      <c r="U938" s="604"/>
      <c r="V938" s="604"/>
      <c r="W938" s="604"/>
      <c r="X938" s="604"/>
    </row>
    <row r="939" spans="1:24" ht="15.6">
      <c r="A939" s="604"/>
      <c r="B939" s="604"/>
      <c r="C939" s="609"/>
      <c r="D939" s="604"/>
      <c r="E939" s="604"/>
      <c r="F939" s="604"/>
      <c r="G939" s="604"/>
      <c r="H939" s="604"/>
      <c r="I939" s="604"/>
      <c r="J939" s="604"/>
      <c r="K939" s="604"/>
      <c r="L939" s="604"/>
      <c r="M939" s="604"/>
      <c r="N939" s="604"/>
      <c r="O939" s="604"/>
      <c r="P939" s="604"/>
      <c r="Q939" s="604"/>
      <c r="R939" s="604"/>
      <c r="S939" s="604"/>
      <c r="T939" s="604"/>
      <c r="U939" s="604"/>
      <c r="V939" s="604"/>
      <c r="W939" s="604"/>
      <c r="X939" s="604"/>
    </row>
    <row r="940" spans="1:24" ht="15.6">
      <c r="A940" s="604"/>
      <c r="B940" s="604"/>
      <c r="C940" s="609"/>
      <c r="D940" s="604"/>
      <c r="E940" s="604"/>
      <c r="F940" s="604"/>
      <c r="G940" s="604"/>
      <c r="H940" s="604"/>
      <c r="I940" s="604"/>
      <c r="J940" s="604"/>
      <c r="K940" s="604"/>
      <c r="L940" s="604"/>
      <c r="M940" s="604"/>
      <c r="N940" s="604"/>
      <c r="O940" s="604"/>
      <c r="P940" s="604"/>
      <c r="Q940" s="604"/>
      <c r="R940" s="604"/>
      <c r="S940" s="604"/>
      <c r="T940" s="604"/>
      <c r="U940" s="604"/>
      <c r="V940" s="604"/>
      <c r="W940" s="604"/>
      <c r="X940" s="604"/>
    </row>
    <row r="941" spans="1:24" ht="15.6">
      <c r="A941" s="604"/>
      <c r="B941" s="604"/>
      <c r="C941" s="609"/>
      <c r="D941" s="604"/>
      <c r="E941" s="604"/>
      <c r="F941" s="604"/>
      <c r="G941" s="604"/>
      <c r="H941" s="604"/>
      <c r="I941" s="604"/>
      <c r="J941" s="604"/>
      <c r="K941" s="604"/>
      <c r="L941" s="604"/>
      <c r="M941" s="604"/>
      <c r="N941" s="604"/>
      <c r="O941" s="604"/>
      <c r="P941" s="604"/>
      <c r="Q941" s="604"/>
      <c r="R941" s="604"/>
      <c r="S941" s="604"/>
      <c r="T941" s="604"/>
      <c r="U941" s="604"/>
      <c r="V941" s="604"/>
      <c r="W941" s="604"/>
      <c r="X941" s="604"/>
    </row>
    <row r="942" spans="1:24" ht="15.6">
      <c r="A942" s="604"/>
      <c r="B942" s="604"/>
      <c r="C942" s="609"/>
      <c r="D942" s="604"/>
      <c r="E942" s="604"/>
      <c r="F942" s="604"/>
      <c r="G942" s="604"/>
      <c r="H942" s="604"/>
      <c r="I942" s="604"/>
      <c r="J942" s="604"/>
      <c r="K942" s="604"/>
      <c r="L942" s="604"/>
      <c r="M942" s="604"/>
      <c r="N942" s="604"/>
      <c r="O942" s="604"/>
      <c r="P942" s="604"/>
      <c r="Q942" s="604"/>
      <c r="R942" s="604"/>
      <c r="S942" s="604"/>
      <c r="T942" s="604"/>
      <c r="U942" s="604"/>
      <c r="V942" s="604"/>
      <c r="W942" s="604"/>
      <c r="X942" s="604"/>
    </row>
    <row r="943" spans="1:24" ht="15.6">
      <c r="A943" s="604"/>
      <c r="B943" s="604"/>
      <c r="C943" s="609"/>
      <c r="D943" s="604"/>
      <c r="E943" s="604"/>
      <c r="F943" s="604"/>
      <c r="G943" s="604"/>
      <c r="H943" s="604"/>
      <c r="I943" s="604"/>
      <c r="J943" s="604"/>
      <c r="K943" s="604"/>
      <c r="L943" s="604"/>
      <c r="M943" s="604"/>
      <c r="N943" s="604"/>
      <c r="O943" s="604"/>
      <c r="P943" s="604"/>
      <c r="Q943" s="604"/>
      <c r="R943" s="604"/>
      <c r="S943" s="604"/>
      <c r="T943" s="604"/>
      <c r="U943" s="604"/>
      <c r="V943" s="604"/>
      <c r="W943" s="604"/>
      <c r="X943" s="604"/>
    </row>
    <row r="944" spans="1:24" ht="15.6">
      <c r="A944" s="604"/>
      <c r="B944" s="604"/>
      <c r="C944" s="609"/>
      <c r="D944" s="604"/>
      <c r="E944" s="604"/>
      <c r="F944" s="604"/>
      <c r="G944" s="604"/>
      <c r="H944" s="604"/>
      <c r="I944" s="604"/>
      <c r="J944" s="604"/>
      <c r="K944" s="604"/>
      <c r="L944" s="604"/>
      <c r="M944" s="604"/>
      <c r="N944" s="604"/>
      <c r="O944" s="604"/>
      <c r="P944" s="604"/>
      <c r="Q944" s="604"/>
      <c r="R944" s="604"/>
      <c r="S944" s="604"/>
      <c r="T944" s="604"/>
      <c r="U944" s="604"/>
      <c r="V944" s="604"/>
      <c r="W944" s="604"/>
      <c r="X944" s="604"/>
    </row>
    <row r="945" spans="1:24" ht="15.6">
      <c r="A945" s="604"/>
      <c r="B945" s="604"/>
      <c r="C945" s="609"/>
      <c r="D945" s="604"/>
      <c r="E945" s="604"/>
      <c r="F945" s="604"/>
      <c r="G945" s="604"/>
      <c r="H945" s="604"/>
      <c r="I945" s="604"/>
      <c r="J945" s="604"/>
      <c r="K945" s="604"/>
      <c r="L945" s="604"/>
      <c r="M945" s="604"/>
      <c r="N945" s="604"/>
      <c r="O945" s="604"/>
      <c r="P945" s="604"/>
      <c r="Q945" s="604"/>
      <c r="R945" s="604"/>
      <c r="S945" s="604"/>
      <c r="T945" s="604"/>
      <c r="U945" s="604"/>
      <c r="V945" s="604"/>
      <c r="W945" s="604"/>
      <c r="X945" s="604"/>
    </row>
    <row r="946" spans="1:24" ht="15.6">
      <c r="A946" s="604"/>
      <c r="B946" s="604"/>
      <c r="C946" s="609"/>
      <c r="D946" s="604"/>
      <c r="E946" s="604"/>
      <c r="F946" s="604"/>
      <c r="G946" s="604"/>
      <c r="H946" s="604"/>
      <c r="I946" s="604"/>
      <c r="J946" s="604"/>
      <c r="K946" s="604"/>
      <c r="L946" s="604"/>
      <c r="M946" s="604"/>
      <c r="N946" s="604"/>
      <c r="O946" s="604"/>
      <c r="P946" s="604"/>
      <c r="Q946" s="604"/>
      <c r="R946" s="604"/>
      <c r="S946" s="604"/>
      <c r="T946" s="604"/>
      <c r="U946" s="604"/>
      <c r="V946" s="604"/>
      <c r="W946" s="604"/>
      <c r="X946" s="604"/>
    </row>
    <row r="947" spans="1:24" ht="15.6">
      <c r="A947" s="604"/>
      <c r="B947" s="604"/>
      <c r="C947" s="609"/>
      <c r="D947" s="604"/>
      <c r="E947" s="604"/>
      <c r="F947" s="604"/>
      <c r="G947" s="604"/>
      <c r="H947" s="604"/>
      <c r="I947" s="604"/>
      <c r="J947" s="604"/>
      <c r="K947" s="604"/>
      <c r="L947" s="604"/>
      <c r="M947" s="604"/>
      <c r="N947" s="604"/>
      <c r="O947" s="604"/>
      <c r="P947" s="604"/>
      <c r="Q947" s="604"/>
      <c r="R947" s="604"/>
      <c r="S947" s="604"/>
      <c r="T947" s="604"/>
      <c r="U947" s="604"/>
      <c r="V947" s="604"/>
      <c r="W947" s="604"/>
      <c r="X947" s="604"/>
    </row>
    <row r="948" spans="1:24" ht="15.6">
      <c r="A948" s="604"/>
      <c r="B948" s="604"/>
      <c r="C948" s="609"/>
      <c r="D948" s="604"/>
      <c r="E948" s="604"/>
      <c r="F948" s="604"/>
      <c r="G948" s="604"/>
      <c r="H948" s="604"/>
      <c r="I948" s="604"/>
      <c r="J948" s="604"/>
      <c r="K948" s="604"/>
      <c r="L948" s="604"/>
      <c r="M948" s="604"/>
      <c r="N948" s="604"/>
      <c r="O948" s="604"/>
      <c r="P948" s="604"/>
      <c r="Q948" s="604"/>
      <c r="R948" s="604"/>
      <c r="S948" s="604"/>
      <c r="T948" s="604"/>
      <c r="U948" s="604"/>
      <c r="V948" s="604"/>
      <c r="W948" s="604"/>
      <c r="X948" s="604"/>
    </row>
    <row r="949" spans="1:24" ht="15.6">
      <c r="A949" s="604"/>
      <c r="B949" s="604"/>
      <c r="C949" s="609"/>
      <c r="D949" s="604"/>
      <c r="E949" s="604"/>
      <c r="F949" s="604"/>
      <c r="G949" s="604"/>
      <c r="H949" s="604"/>
      <c r="I949" s="604"/>
      <c r="J949" s="604"/>
      <c r="K949" s="604"/>
      <c r="L949" s="604"/>
      <c r="M949" s="604"/>
      <c r="N949" s="604"/>
      <c r="O949" s="604"/>
      <c r="P949" s="604"/>
      <c r="Q949" s="604"/>
      <c r="R949" s="604"/>
      <c r="S949" s="604"/>
      <c r="T949" s="604"/>
      <c r="U949" s="604"/>
      <c r="V949" s="604"/>
      <c r="W949" s="604"/>
      <c r="X949" s="604"/>
    </row>
    <row r="950" spans="1:24" ht="15.6">
      <c r="A950" s="604"/>
      <c r="B950" s="604"/>
      <c r="C950" s="609"/>
      <c r="D950" s="604"/>
      <c r="E950" s="604"/>
      <c r="F950" s="604"/>
      <c r="G950" s="604"/>
      <c r="H950" s="604"/>
      <c r="I950" s="604"/>
      <c r="J950" s="604"/>
      <c r="K950" s="604"/>
      <c r="L950" s="604"/>
      <c r="M950" s="604"/>
      <c r="N950" s="604"/>
      <c r="O950" s="604"/>
      <c r="P950" s="604"/>
      <c r="Q950" s="604"/>
      <c r="R950" s="604"/>
      <c r="S950" s="604"/>
      <c r="T950" s="604"/>
      <c r="U950" s="604"/>
      <c r="V950" s="604"/>
      <c r="W950" s="604"/>
      <c r="X950" s="604"/>
    </row>
    <row r="951" spans="1:24" ht="15.6">
      <c r="A951" s="604"/>
      <c r="B951" s="604"/>
      <c r="C951" s="609"/>
      <c r="D951" s="604"/>
      <c r="E951" s="604"/>
      <c r="F951" s="604"/>
      <c r="G951" s="604"/>
      <c r="H951" s="604"/>
      <c r="I951" s="604"/>
      <c r="J951" s="604"/>
      <c r="K951" s="604"/>
      <c r="L951" s="604"/>
      <c r="M951" s="604"/>
      <c r="N951" s="604"/>
      <c r="O951" s="604"/>
      <c r="P951" s="604"/>
      <c r="Q951" s="604"/>
      <c r="R951" s="604"/>
      <c r="S951" s="604"/>
      <c r="T951" s="604"/>
      <c r="U951" s="604"/>
      <c r="V951" s="604"/>
      <c r="W951" s="604"/>
      <c r="X951" s="604"/>
    </row>
    <row r="952" spans="1:24" ht="15.6">
      <c r="A952" s="604"/>
      <c r="B952" s="604"/>
      <c r="C952" s="609"/>
      <c r="D952" s="604"/>
      <c r="E952" s="604"/>
      <c r="F952" s="604"/>
      <c r="G952" s="604"/>
      <c r="H952" s="604"/>
      <c r="I952" s="604"/>
      <c r="J952" s="604"/>
      <c r="K952" s="604"/>
      <c r="L952" s="604"/>
      <c r="M952" s="604"/>
      <c r="N952" s="604"/>
      <c r="O952" s="604"/>
      <c r="P952" s="604"/>
      <c r="Q952" s="604"/>
      <c r="R952" s="604"/>
      <c r="S952" s="604"/>
      <c r="T952" s="604"/>
      <c r="U952" s="604"/>
      <c r="V952" s="604"/>
      <c r="W952" s="604"/>
      <c r="X952" s="604"/>
    </row>
    <row r="953" spans="1:24" ht="15.6">
      <c r="A953" s="604"/>
      <c r="B953" s="604"/>
      <c r="C953" s="609"/>
      <c r="D953" s="604"/>
      <c r="E953" s="604"/>
      <c r="F953" s="604"/>
      <c r="G953" s="604"/>
      <c r="H953" s="604"/>
      <c r="I953" s="604"/>
      <c r="J953" s="604"/>
      <c r="K953" s="604"/>
      <c r="L953" s="604"/>
      <c r="M953" s="604"/>
      <c r="N953" s="604"/>
      <c r="O953" s="604"/>
      <c r="P953" s="604"/>
      <c r="Q953" s="604"/>
      <c r="R953" s="604"/>
      <c r="S953" s="604"/>
      <c r="T953" s="604"/>
      <c r="U953" s="604"/>
      <c r="V953" s="604"/>
      <c r="W953" s="604"/>
      <c r="X953" s="604"/>
    </row>
    <row r="954" spans="1:24" ht="15.6">
      <c r="A954" s="604"/>
      <c r="B954" s="604"/>
      <c r="C954" s="609"/>
      <c r="D954" s="604"/>
      <c r="E954" s="604"/>
      <c r="F954" s="604"/>
      <c r="G954" s="604"/>
      <c r="H954" s="604"/>
      <c r="I954" s="604"/>
      <c r="J954" s="604"/>
      <c r="K954" s="604"/>
      <c r="L954" s="604"/>
      <c r="M954" s="604"/>
      <c r="N954" s="604"/>
      <c r="O954" s="604"/>
      <c r="P954" s="604"/>
      <c r="Q954" s="604"/>
      <c r="R954" s="604"/>
      <c r="S954" s="604"/>
      <c r="T954" s="604"/>
      <c r="U954" s="604"/>
      <c r="V954" s="604"/>
      <c r="W954" s="604"/>
      <c r="X954" s="604"/>
    </row>
    <row r="955" spans="1:24" ht="15.6">
      <c r="A955" s="604"/>
      <c r="B955" s="604"/>
      <c r="C955" s="609"/>
      <c r="D955" s="604"/>
      <c r="E955" s="604"/>
      <c r="F955" s="604"/>
      <c r="G955" s="604"/>
      <c r="H955" s="604"/>
      <c r="I955" s="604"/>
      <c r="J955" s="604"/>
      <c r="K955" s="604"/>
      <c r="L955" s="604"/>
      <c r="M955" s="604"/>
      <c r="N955" s="604"/>
      <c r="O955" s="604"/>
      <c r="P955" s="604"/>
      <c r="Q955" s="604"/>
      <c r="R955" s="604"/>
      <c r="S955" s="604"/>
      <c r="T955" s="604"/>
      <c r="U955" s="604"/>
      <c r="V955" s="604"/>
      <c r="W955" s="604"/>
      <c r="X955" s="604"/>
    </row>
    <row r="956" spans="1:24" ht="15.6">
      <c r="A956" s="604"/>
      <c r="B956" s="604"/>
      <c r="C956" s="609"/>
      <c r="D956" s="604"/>
      <c r="E956" s="604"/>
      <c r="F956" s="604"/>
      <c r="G956" s="604"/>
      <c r="H956" s="604"/>
      <c r="I956" s="604"/>
      <c r="J956" s="604"/>
      <c r="K956" s="604"/>
      <c r="L956" s="604"/>
      <c r="M956" s="604"/>
      <c r="N956" s="604"/>
      <c r="O956" s="604"/>
      <c r="P956" s="604"/>
      <c r="Q956" s="604"/>
      <c r="R956" s="604"/>
      <c r="S956" s="604"/>
      <c r="T956" s="604"/>
      <c r="U956" s="604"/>
      <c r="V956" s="604"/>
      <c r="W956" s="604"/>
      <c r="X956" s="604"/>
    </row>
    <row r="957" spans="1:24" ht="15.6">
      <c r="A957" s="604"/>
      <c r="B957" s="604"/>
      <c r="C957" s="609"/>
      <c r="D957" s="604"/>
      <c r="E957" s="604"/>
      <c r="F957" s="604"/>
      <c r="G957" s="604"/>
      <c r="H957" s="604"/>
      <c r="I957" s="604"/>
      <c r="J957" s="604"/>
      <c r="K957" s="604"/>
      <c r="L957" s="604"/>
      <c r="M957" s="604"/>
      <c r="N957" s="604"/>
      <c r="O957" s="604"/>
      <c r="P957" s="604"/>
      <c r="Q957" s="604"/>
      <c r="R957" s="604"/>
      <c r="S957" s="604"/>
      <c r="T957" s="604"/>
      <c r="U957" s="604"/>
      <c r="V957" s="604"/>
      <c r="W957" s="604"/>
      <c r="X957" s="604"/>
    </row>
    <row r="958" spans="1:24" ht="15.6">
      <c r="A958" s="604"/>
      <c r="B958" s="604"/>
      <c r="C958" s="609"/>
      <c r="D958" s="604"/>
      <c r="E958" s="604"/>
      <c r="F958" s="604"/>
      <c r="G958" s="604"/>
      <c r="H958" s="604"/>
      <c r="I958" s="604"/>
      <c r="J958" s="604"/>
      <c r="K958" s="604"/>
      <c r="L958" s="604"/>
      <c r="M958" s="604"/>
      <c r="N958" s="604"/>
      <c r="O958" s="604"/>
      <c r="P958" s="604"/>
      <c r="Q958" s="604"/>
      <c r="R958" s="604"/>
      <c r="S958" s="604"/>
      <c r="T958" s="604"/>
      <c r="U958" s="604"/>
      <c r="V958" s="604"/>
      <c r="W958" s="604"/>
      <c r="X958" s="604"/>
    </row>
    <row r="959" spans="1:24" ht="15.6">
      <c r="A959" s="604"/>
      <c r="B959" s="604"/>
      <c r="C959" s="609"/>
      <c r="D959" s="604"/>
      <c r="E959" s="604"/>
      <c r="F959" s="604"/>
      <c r="G959" s="604"/>
      <c r="H959" s="604"/>
      <c r="I959" s="604"/>
      <c r="J959" s="604"/>
      <c r="K959" s="604"/>
      <c r="L959" s="604"/>
      <c r="M959" s="604"/>
      <c r="N959" s="604"/>
      <c r="O959" s="604"/>
      <c r="P959" s="604"/>
      <c r="Q959" s="604"/>
      <c r="R959" s="604"/>
      <c r="S959" s="604"/>
      <c r="T959" s="604"/>
      <c r="U959" s="604"/>
      <c r="V959" s="604"/>
      <c r="W959" s="604"/>
      <c r="X959" s="604"/>
    </row>
    <row r="960" spans="1:24" ht="15.6">
      <c r="A960" s="604"/>
      <c r="B960" s="604"/>
      <c r="C960" s="609"/>
      <c r="D960" s="604"/>
      <c r="E960" s="604"/>
      <c r="F960" s="604"/>
      <c r="G960" s="604"/>
      <c r="H960" s="604"/>
      <c r="I960" s="604"/>
      <c r="J960" s="604"/>
      <c r="K960" s="604"/>
      <c r="L960" s="604"/>
      <c r="M960" s="604"/>
      <c r="N960" s="604"/>
      <c r="O960" s="604"/>
      <c r="P960" s="604"/>
      <c r="Q960" s="604"/>
      <c r="R960" s="604"/>
      <c r="S960" s="604"/>
      <c r="T960" s="604"/>
      <c r="U960" s="604"/>
      <c r="V960" s="604"/>
      <c r="W960" s="604"/>
      <c r="X960" s="604"/>
    </row>
    <row r="961" spans="1:24" ht="15.6">
      <c r="A961" s="604"/>
      <c r="B961" s="604"/>
      <c r="C961" s="609"/>
      <c r="D961" s="604"/>
      <c r="E961" s="604"/>
      <c r="F961" s="604"/>
      <c r="G961" s="604"/>
      <c r="H961" s="604"/>
      <c r="I961" s="604"/>
      <c r="J961" s="604"/>
      <c r="K961" s="604"/>
      <c r="L961" s="604"/>
      <c r="M961" s="604"/>
      <c r="N961" s="604"/>
      <c r="O961" s="604"/>
      <c r="P961" s="604"/>
      <c r="Q961" s="604"/>
      <c r="R961" s="604"/>
      <c r="S961" s="604"/>
      <c r="T961" s="604"/>
      <c r="U961" s="604"/>
      <c r="V961" s="604"/>
      <c r="W961" s="604"/>
      <c r="X961" s="604"/>
    </row>
    <row r="962" spans="1:24" ht="15.6">
      <c r="A962" s="604"/>
      <c r="B962" s="604"/>
      <c r="C962" s="609"/>
      <c r="D962" s="604"/>
      <c r="E962" s="604"/>
      <c r="F962" s="604"/>
      <c r="G962" s="604"/>
      <c r="H962" s="604"/>
      <c r="I962" s="604"/>
      <c r="J962" s="604"/>
      <c r="K962" s="604"/>
      <c r="L962" s="604"/>
      <c r="M962" s="604"/>
      <c r="N962" s="604"/>
      <c r="O962" s="604"/>
      <c r="P962" s="604"/>
      <c r="Q962" s="604"/>
      <c r="R962" s="604"/>
      <c r="S962" s="604"/>
      <c r="T962" s="604"/>
      <c r="U962" s="604"/>
      <c r="V962" s="604"/>
      <c r="W962" s="604"/>
      <c r="X962" s="604"/>
    </row>
    <row r="963" spans="1:24" ht="15.6">
      <c r="A963" s="604"/>
      <c r="B963" s="604"/>
      <c r="C963" s="609"/>
      <c r="D963" s="604"/>
      <c r="E963" s="604"/>
      <c r="F963" s="604"/>
      <c r="G963" s="604"/>
      <c r="H963" s="604"/>
      <c r="I963" s="604"/>
      <c r="J963" s="604"/>
      <c r="K963" s="604"/>
      <c r="L963" s="604"/>
      <c r="M963" s="604"/>
      <c r="N963" s="604"/>
      <c r="O963" s="604"/>
      <c r="P963" s="604"/>
      <c r="Q963" s="604"/>
      <c r="R963" s="604"/>
      <c r="S963" s="604"/>
      <c r="T963" s="604"/>
      <c r="U963" s="604"/>
      <c r="V963" s="604"/>
      <c r="W963" s="604"/>
      <c r="X963" s="604"/>
    </row>
    <row r="964" spans="1:24" ht="15.6">
      <c r="A964" s="604"/>
      <c r="B964" s="604"/>
      <c r="C964" s="609"/>
      <c r="D964" s="604"/>
      <c r="E964" s="604"/>
      <c r="F964" s="604"/>
      <c r="G964" s="604"/>
      <c r="H964" s="604"/>
      <c r="I964" s="604"/>
      <c r="J964" s="604"/>
      <c r="K964" s="604"/>
      <c r="L964" s="604"/>
      <c r="M964" s="604"/>
      <c r="N964" s="604"/>
      <c r="O964" s="604"/>
      <c r="P964" s="604"/>
      <c r="Q964" s="604"/>
      <c r="R964" s="604"/>
      <c r="S964" s="604"/>
      <c r="T964" s="604"/>
      <c r="U964" s="604"/>
      <c r="V964" s="604"/>
      <c r="W964" s="604"/>
      <c r="X964" s="604"/>
    </row>
    <row r="965" spans="1:24" ht="15.6">
      <c r="A965" s="604"/>
      <c r="B965" s="604"/>
      <c r="C965" s="609"/>
      <c r="D965" s="604"/>
      <c r="E965" s="604"/>
      <c r="F965" s="604"/>
      <c r="G965" s="604"/>
      <c r="H965" s="604"/>
      <c r="I965" s="604"/>
      <c r="J965" s="604"/>
      <c r="K965" s="604"/>
      <c r="L965" s="604"/>
      <c r="M965" s="604"/>
      <c r="N965" s="604"/>
      <c r="O965" s="604"/>
      <c r="P965" s="604"/>
      <c r="Q965" s="604"/>
      <c r="R965" s="604"/>
      <c r="S965" s="604"/>
      <c r="T965" s="604"/>
      <c r="U965" s="604"/>
      <c r="V965" s="604"/>
      <c r="W965" s="604"/>
      <c r="X965" s="604"/>
    </row>
    <row r="966" spans="1:24" ht="15.6">
      <c r="A966" s="604"/>
      <c r="B966" s="604"/>
      <c r="C966" s="609"/>
      <c r="D966" s="604"/>
      <c r="E966" s="604"/>
      <c r="F966" s="604"/>
      <c r="G966" s="604"/>
      <c r="H966" s="604"/>
      <c r="I966" s="604"/>
      <c r="J966" s="604"/>
      <c r="K966" s="604"/>
      <c r="L966" s="604"/>
      <c r="M966" s="604"/>
      <c r="N966" s="604"/>
      <c r="O966" s="604"/>
      <c r="P966" s="604"/>
      <c r="Q966" s="604"/>
      <c r="R966" s="604"/>
      <c r="S966" s="604"/>
      <c r="T966" s="604"/>
      <c r="U966" s="604"/>
      <c r="V966" s="604"/>
      <c r="W966" s="604"/>
      <c r="X966" s="604"/>
    </row>
    <row r="967" spans="1:24" ht="15.6">
      <c r="A967" s="604"/>
      <c r="B967" s="604"/>
      <c r="C967" s="609"/>
      <c r="D967" s="604"/>
      <c r="E967" s="604"/>
      <c r="F967" s="604"/>
      <c r="G967" s="604"/>
      <c r="H967" s="604"/>
      <c r="I967" s="604"/>
      <c r="J967" s="604"/>
      <c r="K967" s="604"/>
      <c r="L967" s="604"/>
      <c r="M967" s="604"/>
      <c r="N967" s="604"/>
      <c r="O967" s="604"/>
      <c r="P967" s="604"/>
      <c r="Q967" s="604"/>
      <c r="R967" s="604"/>
      <c r="S967" s="604"/>
      <c r="T967" s="604"/>
      <c r="U967" s="604"/>
      <c r="V967" s="604"/>
      <c r="W967" s="604"/>
      <c r="X967" s="604"/>
    </row>
    <row r="968" spans="1:24" ht="15.6">
      <c r="A968" s="604"/>
      <c r="B968" s="604"/>
      <c r="C968" s="609"/>
      <c r="D968" s="604"/>
      <c r="E968" s="604"/>
      <c r="F968" s="604"/>
      <c r="G968" s="604"/>
      <c r="H968" s="604"/>
      <c r="I968" s="604"/>
      <c r="J968" s="604"/>
      <c r="K968" s="604"/>
      <c r="L968" s="604"/>
      <c r="M968" s="604"/>
      <c r="N968" s="604"/>
      <c r="O968" s="604"/>
      <c r="P968" s="604"/>
      <c r="Q968" s="604"/>
      <c r="R968" s="604"/>
      <c r="S968" s="604"/>
      <c r="T968" s="604"/>
      <c r="U968" s="604"/>
      <c r="V968" s="604"/>
      <c r="W968" s="604"/>
      <c r="X968" s="604"/>
    </row>
    <row r="969" spans="1:24" ht="15.6">
      <c r="A969" s="604"/>
      <c r="B969" s="604"/>
      <c r="C969" s="609"/>
      <c r="D969" s="604"/>
      <c r="E969" s="604"/>
      <c r="F969" s="604"/>
      <c r="G969" s="604"/>
      <c r="H969" s="604"/>
      <c r="I969" s="604"/>
      <c r="J969" s="604"/>
      <c r="K969" s="604"/>
      <c r="L969" s="604"/>
      <c r="M969" s="604"/>
      <c r="N969" s="604"/>
      <c r="O969" s="604"/>
      <c r="P969" s="604"/>
      <c r="Q969" s="604"/>
      <c r="R969" s="604"/>
      <c r="S969" s="604"/>
      <c r="T969" s="604"/>
      <c r="U969" s="604"/>
      <c r="V969" s="604"/>
      <c r="W969" s="604"/>
      <c r="X969" s="604"/>
    </row>
    <row r="970" spans="1:24" ht="15.6">
      <c r="A970" s="604"/>
      <c r="B970" s="604"/>
      <c r="C970" s="609"/>
      <c r="D970" s="604"/>
      <c r="E970" s="604"/>
      <c r="F970" s="604"/>
      <c r="G970" s="604"/>
      <c r="H970" s="604"/>
      <c r="I970" s="604"/>
      <c r="J970" s="604"/>
      <c r="K970" s="604"/>
      <c r="L970" s="604"/>
      <c r="M970" s="604"/>
      <c r="N970" s="604"/>
      <c r="O970" s="604"/>
      <c r="P970" s="604"/>
      <c r="Q970" s="604"/>
      <c r="R970" s="604"/>
      <c r="S970" s="604"/>
      <c r="T970" s="604"/>
      <c r="U970" s="604"/>
      <c r="V970" s="604"/>
      <c r="W970" s="604"/>
      <c r="X970" s="604"/>
    </row>
    <row r="971" spans="1:24" ht="15.6">
      <c r="A971" s="604"/>
      <c r="B971" s="604"/>
      <c r="C971" s="609"/>
      <c r="D971" s="604"/>
      <c r="E971" s="604"/>
      <c r="F971" s="604"/>
      <c r="G971" s="604"/>
      <c r="H971" s="604"/>
      <c r="I971" s="604"/>
      <c r="J971" s="604"/>
      <c r="K971" s="604"/>
      <c r="L971" s="604"/>
      <c r="M971" s="604"/>
      <c r="N971" s="604"/>
      <c r="O971" s="604"/>
      <c r="P971" s="604"/>
      <c r="Q971" s="604"/>
      <c r="R971" s="604"/>
      <c r="S971" s="604"/>
      <c r="T971" s="604"/>
      <c r="U971" s="604"/>
      <c r="V971" s="604"/>
      <c r="W971" s="604"/>
      <c r="X971" s="604"/>
    </row>
    <row r="972" spans="1:24" ht="15.6">
      <c r="A972" s="604"/>
      <c r="B972" s="604"/>
      <c r="C972" s="609"/>
      <c r="D972" s="604"/>
      <c r="E972" s="604"/>
      <c r="F972" s="604"/>
      <c r="G972" s="604"/>
      <c r="H972" s="604"/>
      <c r="I972" s="604"/>
      <c r="J972" s="604"/>
      <c r="K972" s="604"/>
      <c r="L972" s="604"/>
      <c r="M972" s="604"/>
      <c r="N972" s="604"/>
      <c r="O972" s="604"/>
      <c r="P972" s="604"/>
      <c r="Q972" s="604"/>
      <c r="R972" s="604"/>
      <c r="S972" s="604"/>
      <c r="T972" s="604"/>
      <c r="U972" s="604"/>
      <c r="V972" s="604"/>
      <c r="W972" s="604"/>
      <c r="X972" s="604"/>
    </row>
    <row r="973" spans="1:24" ht="15.6">
      <c r="A973" s="604"/>
      <c r="B973" s="604"/>
      <c r="C973" s="609"/>
      <c r="D973" s="604"/>
      <c r="E973" s="604"/>
      <c r="F973" s="604"/>
      <c r="G973" s="604"/>
      <c r="H973" s="604"/>
      <c r="I973" s="604"/>
      <c r="J973" s="604"/>
      <c r="K973" s="604"/>
      <c r="L973" s="604"/>
      <c r="M973" s="604"/>
      <c r="N973" s="604"/>
      <c r="O973" s="604"/>
      <c r="P973" s="604"/>
      <c r="Q973" s="604"/>
      <c r="R973" s="604"/>
      <c r="S973" s="604"/>
      <c r="T973" s="604"/>
      <c r="U973" s="604"/>
      <c r="V973" s="604"/>
      <c r="W973" s="604"/>
      <c r="X973" s="604"/>
    </row>
    <row r="974" spans="1:24" ht="15.6">
      <c r="A974" s="604"/>
      <c r="B974" s="604"/>
      <c r="C974" s="609"/>
      <c r="D974" s="604"/>
      <c r="E974" s="604"/>
      <c r="F974" s="604"/>
      <c r="G974" s="604"/>
      <c r="H974" s="604"/>
      <c r="I974" s="604"/>
      <c r="J974" s="604"/>
      <c r="K974" s="604"/>
      <c r="L974" s="604"/>
      <c r="M974" s="604"/>
      <c r="N974" s="604"/>
      <c r="O974" s="604"/>
      <c r="P974" s="604"/>
      <c r="Q974" s="604"/>
      <c r="R974" s="604"/>
      <c r="S974" s="604"/>
      <c r="T974" s="604"/>
      <c r="U974" s="604"/>
      <c r="V974" s="604"/>
      <c r="W974" s="604"/>
      <c r="X974" s="604"/>
    </row>
    <row r="975" spans="1:24" ht="15.6">
      <c r="A975" s="604"/>
      <c r="B975" s="604"/>
      <c r="C975" s="609"/>
      <c r="D975" s="604"/>
      <c r="E975" s="604"/>
      <c r="F975" s="604"/>
      <c r="G975" s="604"/>
      <c r="H975" s="604"/>
      <c r="I975" s="604"/>
      <c r="J975" s="604"/>
      <c r="K975" s="604"/>
      <c r="L975" s="604"/>
      <c r="M975" s="604"/>
      <c r="N975" s="604"/>
      <c r="O975" s="604"/>
      <c r="P975" s="604"/>
      <c r="Q975" s="604"/>
      <c r="R975" s="604"/>
      <c r="S975" s="604"/>
      <c r="T975" s="604"/>
      <c r="U975" s="604"/>
      <c r="V975" s="604"/>
      <c r="W975" s="604"/>
      <c r="X975" s="604"/>
    </row>
    <row r="976" spans="1:24" ht="15.6">
      <c r="A976" s="604"/>
      <c r="B976" s="604"/>
      <c r="C976" s="609"/>
      <c r="D976" s="604"/>
      <c r="E976" s="604"/>
      <c r="F976" s="604"/>
      <c r="G976" s="604"/>
      <c r="H976" s="604"/>
      <c r="I976" s="604"/>
      <c r="J976" s="604"/>
      <c r="K976" s="604"/>
      <c r="L976" s="604"/>
      <c r="M976" s="604"/>
      <c r="N976" s="604"/>
      <c r="O976" s="604"/>
      <c r="P976" s="604"/>
      <c r="Q976" s="604"/>
      <c r="R976" s="604"/>
      <c r="S976" s="604"/>
      <c r="T976" s="604"/>
      <c r="U976" s="604"/>
      <c r="V976" s="604"/>
      <c r="W976" s="604"/>
      <c r="X976" s="604"/>
    </row>
    <row r="977" spans="1:24" ht="15.6">
      <c r="A977" s="604"/>
      <c r="B977" s="604"/>
      <c r="C977" s="609"/>
      <c r="D977" s="604"/>
      <c r="E977" s="604"/>
      <c r="F977" s="604"/>
      <c r="G977" s="604"/>
      <c r="H977" s="604"/>
      <c r="I977" s="604"/>
      <c r="J977" s="604"/>
      <c r="K977" s="604"/>
      <c r="L977" s="604"/>
      <c r="M977" s="604"/>
      <c r="N977" s="604"/>
      <c r="O977" s="604"/>
      <c r="P977" s="604"/>
      <c r="Q977" s="604"/>
      <c r="R977" s="604"/>
      <c r="S977" s="604"/>
      <c r="T977" s="604"/>
      <c r="U977" s="604"/>
      <c r="V977" s="604"/>
      <c r="W977" s="604"/>
      <c r="X977" s="604"/>
    </row>
    <row r="978" spans="1:24" ht="15.6">
      <c r="A978" s="604"/>
      <c r="B978" s="604"/>
      <c r="C978" s="609"/>
      <c r="D978" s="604"/>
      <c r="E978" s="604"/>
      <c r="F978" s="604"/>
      <c r="G978" s="604"/>
      <c r="H978" s="604"/>
      <c r="I978" s="604"/>
      <c r="J978" s="604"/>
      <c r="K978" s="604"/>
      <c r="L978" s="604"/>
      <c r="M978" s="604"/>
      <c r="N978" s="604"/>
      <c r="O978" s="604"/>
      <c r="P978" s="604"/>
      <c r="Q978" s="604"/>
      <c r="R978" s="604"/>
      <c r="S978" s="604"/>
      <c r="T978" s="604"/>
      <c r="U978" s="604"/>
      <c r="V978" s="604"/>
      <c r="W978" s="604"/>
      <c r="X978" s="604"/>
    </row>
    <row r="979" spans="1:24" ht="15.6">
      <c r="A979" s="604"/>
      <c r="B979" s="604"/>
      <c r="C979" s="609"/>
      <c r="D979" s="604"/>
      <c r="E979" s="604"/>
      <c r="F979" s="604"/>
      <c r="G979" s="604"/>
      <c r="H979" s="604"/>
      <c r="I979" s="604"/>
      <c r="J979" s="604"/>
      <c r="K979" s="604"/>
      <c r="L979" s="604"/>
      <c r="M979" s="604"/>
      <c r="N979" s="604"/>
      <c r="O979" s="604"/>
      <c r="P979" s="604"/>
      <c r="Q979" s="604"/>
      <c r="R979" s="604"/>
      <c r="S979" s="604"/>
      <c r="T979" s="604"/>
      <c r="U979" s="604"/>
      <c r="V979" s="604"/>
      <c r="W979" s="604"/>
      <c r="X979" s="604"/>
    </row>
    <row r="980" spans="1:24" ht="15.6">
      <c r="A980" s="604"/>
      <c r="B980" s="604"/>
      <c r="C980" s="609"/>
      <c r="D980" s="604"/>
      <c r="E980" s="604"/>
      <c r="F980" s="604"/>
      <c r="G980" s="604"/>
      <c r="H980" s="604"/>
      <c r="I980" s="604"/>
      <c r="J980" s="604"/>
      <c r="K980" s="604"/>
      <c r="L980" s="604"/>
      <c r="M980" s="604"/>
      <c r="N980" s="604"/>
      <c r="O980" s="604"/>
      <c r="P980" s="604"/>
      <c r="Q980" s="604"/>
      <c r="R980" s="604"/>
      <c r="S980" s="604"/>
      <c r="T980" s="604"/>
      <c r="U980" s="604"/>
      <c r="V980" s="604"/>
      <c r="W980" s="604"/>
      <c r="X980" s="604"/>
    </row>
    <row r="981" spans="1:24" ht="15.6">
      <c r="A981" s="604"/>
      <c r="B981" s="604"/>
      <c r="C981" s="609"/>
      <c r="D981" s="604"/>
      <c r="E981" s="604"/>
      <c r="F981" s="604"/>
      <c r="G981" s="604"/>
      <c r="H981" s="604"/>
      <c r="I981" s="604"/>
      <c r="J981" s="604"/>
      <c r="K981" s="604"/>
      <c r="L981" s="604"/>
      <c r="M981" s="604"/>
      <c r="N981" s="604"/>
      <c r="O981" s="604"/>
      <c r="P981" s="604"/>
      <c r="Q981" s="604"/>
      <c r="R981" s="604"/>
      <c r="S981" s="604"/>
      <c r="T981" s="604"/>
      <c r="U981" s="604"/>
      <c r="V981" s="604"/>
      <c r="W981" s="604"/>
      <c r="X981" s="604"/>
    </row>
    <row r="982" spans="1:24" ht="15.6">
      <c r="A982" s="604"/>
      <c r="B982" s="604"/>
      <c r="C982" s="609"/>
      <c r="D982" s="604"/>
      <c r="E982" s="604"/>
      <c r="F982" s="604"/>
      <c r="G982" s="604"/>
      <c r="H982" s="604"/>
      <c r="I982" s="604"/>
      <c r="J982" s="604"/>
      <c r="K982" s="604"/>
      <c r="L982" s="604"/>
      <c r="M982" s="604"/>
      <c r="N982" s="604"/>
      <c r="O982" s="604"/>
      <c r="P982" s="604"/>
      <c r="Q982" s="604"/>
      <c r="R982" s="604"/>
      <c r="S982" s="604"/>
      <c r="T982" s="604"/>
      <c r="U982" s="604"/>
      <c r="V982" s="604"/>
      <c r="W982" s="604"/>
      <c r="X982" s="604"/>
    </row>
    <row r="983" spans="1:24" ht="15.6">
      <c r="A983" s="604"/>
      <c r="B983" s="604"/>
      <c r="C983" s="609"/>
      <c r="D983" s="604"/>
      <c r="E983" s="604"/>
      <c r="F983" s="604"/>
      <c r="G983" s="604"/>
      <c r="H983" s="604"/>
      <c r="I983" s="604"/>
      <c r="J983" s="604"/>
      <c r="K983" s="604"/>
      <c r="L983" s="604"/>
      <c r="M983" s="604"/>
      <c r="N983" s="604"/>
      <c r="O983" s="604"/>
      <c r="P983" s="604"/>
      <c r="Q983" s="604"/>
      <c r="R983" s="604"/>
      <c r="S983" s="604"/>
      <c r="T983" s="604"/>
      <c r="U983" s="604"/>
      <c r="V983" s="604"/>
      <c r="W983" s="604"/>
      <c r="X983" s="604"/>
    </row>
    <row r="984" spans="1:24" ht="15.6">
      <c r="A984" s="604"/>
      <c r="B984" s="604"/>
      <c r="C984" s="609"/>
      <c r="D984" s="604"/>
      <c r="E984" s="604"/>
      <c r="F984" s="604"/>
      <c r="G984" s="604"/>
      <c r="H984" s="604"/>
      <c r="I984" s="604"/>
      <c r="J984" s="604"/>
      <c r="K984" s="604"/>
      <c r="L984" s="604"/>
      <c r="M984" s="604"/>
      <c r="N984" s="604"/>
      <c r="O984" s="604"/>
      <c r="P984" s="604"/>
      <c r="Q984" s="604"/>
      <c r="R984" s="604"/>
      <c r="S984" s="604"/>
      <c r="T984" s="604"/>
      <c r="U984" s="604"/>
      <c r="V984" s="604"/>
      <c r="W984" s="604"/>
      <c r="X984" s="604"/>
    </row>
    <row r="985" spans="1:24" ht="15.6">
      <c r="A985" s="604"/>
      <c r="B985" s="604"/>
      <c r="C985" s="609"/>
      <c r="D985" s="604"/>
      <c r="E985" s="604"/>
      <c r="F985" s="604"/>
      <c r="G985" s="604"/>
      <c r="H985" s="604"/>
      <c r="I985" s="604"/>
      <c r="J985" s="604"/>
      <c r="K985" s="604"/>
      <c r="L985" s="604"/>
      <c r="M985" s="604"/>
      <c r="N985" s="604"/>
      <c r="O985" s="604"/>
      <c r="P985" s="604"/>
      <c r="Q985" s="604"/>
      <c r="R985" s="604"/>
      <c r="S985" s="604"/>
      <c r="T985" s="604"/>
      <c r="U985" s="604"/>
      <c r="V985" s="604"/>
      <c r="W985" s="604"/>
      <c r="X985" s="604"/>
    </row>
    <row r="986" spans="1:24" ht="15.6">
      <c r="A986" s="604"/>
      <c r="B986" s="604"/>
      <c r="C986" s="609"/>
      <c r="D986" s="604"/>
      <c r="E986" s="604"/>
      <c r="F986" s="604"/>
      <c r="G986" s="604"/>
      <c r="H986" s="604"/>
      <c r="I986" s="604"/>
      <c r="J986" s="604"/>
      <c r="K986" s="604"/>
      <c r="L986" s="604"/>
      <c r="M986" s="604"/>
      <c r="N986" s="604"/>
      <c r="O986" s="604"/>
      <c r="P986" s="604"/>
      <c r="Q986" s="604"/>
      <c r="R986" s="604"/>
      <c r="S986" s="604"/>
      <c r="T986" s="604"/>
      <c r="U986" s="604"/>
      <c r="V986" s="604"/>
      <c r="W986" s="604"/>
      <c r="X986" s="604"/>
    </row>
    <row r="987" spans="1:24" ht="15.6">
      <c r="A987" s="604"/>
      <c r="B987" s="604"/>
      <c r="C987" s="609"/>
      <c r="D987" s="604"/>
      <c r="E987" s="604"/>
      <c r="F987" s="604"/>
      <c r="G987" s="604"/>
      <c r="H987" s="604"/>
      <c r="I987" s="604"/>
      <c r="J987" s="604"/>
      <c r="K987" s="604"/>
      <c r="L987" s="604"/>
      <c r="M987" s="604"/>
      <c r="N987" s="604"/>
      <c r="O987" s="604"/>
      <c r="P987" s="604"/>
      <c r="Q987" s="604"/>
      <c r="R987" s="604"/>
      <c r="S987" s="604"/>
      <c r="T987" s="604"/>
      <c r="U987" s="604"/>
      <c r="V987" s="604"/>
      <c r="W987" s="604"/>
      <c r="X987" s="604"/>
    </row>
    <row r="988" spans="1:24" ht="15.6">
      <c r="A988" s="604"/>
      <c r="B988" s="604"/>
      <c r="C988" s="609"/>
      <c r="D988" s="604"/>
      <c r="E988" s="604"/>
      <c r="F988" s="604"/>
      <c r="G988" s="604"/>
      <c r="H988" s="604"/>
      <c r="I988" s="604"/>
      <c r="J988" s="604"/>
      <c r="K988" s="604"/>
      <c r="L988" s="604"/>
      <c r="M988" s="604"/>
      <c r="N988" s="604"/>
      <c r="O988" s="604"/>
      <c r="P988" s="604"/>
      <c r="Q988" s="604"/>
      <c r="R988" s="604"/>
      <c r="S988" s="604"/>
      <c r="T988" s="604"/>
      <c r="U988" s="604"/>
      <c r="V988" s="604"/>
      <c r="W988" s="604"/>
      <c r="X988" s="604"/>
    </row>
    <row r="989" spans="1:24" ht="15.6">
      <c r="A989" s="604"/>
      <c r="B989" s="604"/>
      <c r="C989" s="609"/>
      <c r="D989" s="604"/>
      <c r="E989" s="604"/>
      <c r="F989" s="604"/>
      <c r="G989" s="604"/>
      <c r="H989" s="604"/>
      <c r="I989" s="604"/>
      <c r="J989" s="604"/>
      <c r="K989" s="604"/>
      <c r="L989" s="604"/>
      <c r="M989" s="604"/>
      <c r="N989" s="604"/>
      <c r="O989" s="604"/>
      <c r="P989" s="604"/>
      <c r="Q989" s="604"/>
      <c r="R989" s="604"/>
      <c r="S989" s="604"/>
      <c r="T989" s="604"/>
      <c r="U989" s="604"/>
      <c r="V989" s="604"/>
      <c r="W989" s="604"/>
      <c r="X989" s="604"/>
    </row>
    <row r="990" spans="1:24" ht="15.6">
      <c r="A990" s="604"/>
      <c r="B990" s="604"/>
      <c r="C990" s="609"/>
      <c r="D990" s="604"/>
      <c r="E990" s="604"/>
      <c r="F990" s="604"/>
      <c r="G990" s="604"/>
      <c r="H990" s="604"/>
      <c r="I990" s="604"/>
      <c r="J990" s="604"/>
      <c r="K990" s="604"/>
      <c r="L990" s="604"/>
      <c r="M990" s="604"/>
      <c r="N990" s="604"/>
      <c r="O990" s="604"/>
      <c r="P990" s="604"/>
      <c r="Q990" s="604"/>
      <c r="R990" s="604"/>
      <c r="S990" s="604"/>
      <c r="T990" s="604"/>
      <c r="U990" s="604"/>
      <c r="V990" s="604"/>
      <c r="W990" s="604"/>
      <c r="X990" s="604"/>
    </row>
    <row r="991" spans="1:24" ht="15.6">
      <c r="A991" s="604"/>
      <c r="B991" s="604"/>
      <c r="C991" s="609"/>
      <c r="D991" s="604"/>
      <c r="E991" s="604"/>
      <c r="F991" s="604"/>
      <c r="G991" s="604"/>
      <c r="H991" s="604"/>
      <c r="I991" s="604"/>
      <c r="J991" s="604"/>
      <c r="K991" s="604"/>
      <c r="L991" s="604"/>
      <c r="M991" s="604"/>
      <c r="N991" s="604"/>
      <c r="O991" s="604"/>
      <c r="P991" s="604"/>
      <c r="Q991" s="604"/>
      <c r="R991" s="604"/>
      <c r="S991" s="604"/>
      <c r="T991" s="604"/>
      <c r="U991" s="604"/>
      <c r="V991" s="604"/>
      <c r="W991" s="604"/>
      <c r="X991" s="604"/>
    </row>
    <row r="992" spans="1:24" ht="15.6">
      <c r="A992" s="604"/>
      <c r="B992" s="604"/>
      <c r="C992" s="609"/>
      <c r="D992" s="604"/>
      <c r="E992" s="604"/>
      <c r="F992" s="604"/>
      <c r="G992" s="604"/>
      <c r="H992" s="604"/>
      <c r="I992" s="604"/>
      <c r="J992" s="604"/>
      <c r="K992" s="604"/>
      <c r="L992" s="604"/>
      <c r="M992" s="604"/>
      <c r="N992" s="604"/>
      <c r="O992" s="604"/>
      <c r="P992" s="604"/>
      <c r="Q992" s="604"/>
      <c r="R992" s="604"/>
      <c r="S992" s="604"/>
      <c r="T992" s="604"/>
      <c r="U992" s="604"/>
      <c r="V992" s="604"/>
      <c r="W992" s="604"/>
      <c r="X992" s="604"/>
    </row>
    <row r="993" spans="1:24" ht="15.6">
      <c r="A993" s="604"/>
      <c r="B993" s="604"/>
      <c r="C993" s="609"/>
      <c r="D993" s="604"/>
      <c r="E993" s="604"/>
      <c r="F993" s="604"/>
      <c r="G993" s="604"/>
      <c r="H993" s="604"/>
      <c r="I993" s="604"/>
      <c r="J993" s="604"/>
      <c r="K993" s="604"/>
      <c r="L993" s="604"/>
      <c r="M993" s="604"/>
      <c r="N993" s="604"/>
      <c r="O993" s="604"/>
      <c r="P993" s="604"/>
      <c r="Q993" s="604"/>
      <c r="R993" s="604"/>
      <c r="S993" s="604"/>
      <c r="T993" s="604"/>
      <c r="U993" s="604"/>
      <c r="V993" s="604"/>
      <c r="W993" s="604"/>
      <c r="X993" s="604"/>
    </row>
    <row r="994" spans="1:24" ht="15.6">
      <c r="A994" s="604"/>
      <c r="B994" s="604"/>
      <c r="C994" s="609"/>
      <c r="D994" s="604"/>
      <c r="E994" s="604"/>
      <c r="F994" s="604"/>
      <c r="G994" s="604"/>
      <c r="H994" s="604"/>
      <c r="I994" s="604"/>
      <c r="J994" s="604"/>
      <c r="K994" s="604"/>
      <c r="L994" s="604"/>
      <c r="M994" s="604"/>
      <c r="N994" s="604"/>
      <c r="O994" s="604"/>
      <c r="P994" s="604"/>
      <c r="Q994" s="604"/>
      <c r="R994" s="604"/>
      <c r="S994" s="604"/>
      <c r="T994" s="604"/>
      <c r="U994" s="604"/>
      <c r="V994" s="604"/>
      <c r="W994" s="604"/>
      <c r="X994" s="604"/>
    </row>
    <row r="995" spans="1:24" ht="15.6">
      <c r="A995" s="604"/>
      <c r="B995" s="604"/>
      <c r="C995" s="609"/>
      <c r="D995" s="604"/>
      <c r="E995" s="604"/>
      <c r="F995" s="604"/>
      <c r="G995" s="604"/>
      <c r="H995" s="604"/>
      <c r="I995" s="604"/>
      <c r="J995" s="604"/>
      <c r="K995" s="604"/>
      <c r="L995" s="604"/>
      <c r="M995" s="604"/>
      <c r="N995" s="604"/>
      <c r="O995" s="604"/>
      <c r="P995" s="604"/>
      <c r="Q995" s="604"/>
      <c r="R995" s="604"/>
      <c r="S995" s="604"/>
      <c r="T995" s="604"/>
      <c r="U995" s="604"/>
      <c r="V995" s="604"/>
      <c r="W995" s="604"/>
      <c r="X995" s="604"/>
    </row>
    <row r="996" spans="1:24" ht="15.6">
      <c r="A996" s="604"/>
      <c r="B996" s="604"/>
      <c r="C996" s="609"/>
      <c r="D996" s="604"/>
      <c r="E996" s="604"/>
      <c r="F996" s="604"/>
      <c r="G996" s="604"/>
      <c r="H996" s="604"/>
      <c r="I996" s="604"/>
      <c r="J996" s="604"/>
      <c r="K996" s="604"/>
      <c r="L996" s="604"/>
      <c r="M996" s="604"/>
      <c r="N996" s="604"/>
      <c r="O996" s="604"/>
      <c r="P996" s="604"/>
      <c r="Q996" s="604"/>
      <c r="R996" s="604"/>
      <c r="S996" s="604"/>
      <c r="T996" s="604"/>
      <c r="U996" s="604"/>
      <c r="V996" s="604"/>
      <c r="W996" s="604"/>
      <c r="X996" s="604"/>
    </row>
    <row r="997" spans="1:24" ht="15.6">
      <c r="A997" s="604"/>
      <c r="B997" s="604"/>
      <c r="C997" s="609"/>
      <c r="D997" s="604"/>
      <c r="E997" s="604"/>
      <c r="F997" s="604"/>
      <c r="G997" s="604"/>
      <c r="H997" s="604"/>
      <c r="I997" s="604"/>
      <c r="J997" s="604"/>
      <c r="K997" s="604"/>
      <c r="L997" s="604"/>
      <c r="M997" s="604"/>
      <c r="N997" s="604"/>
      <c r="O997" s="604"/>
      <c r="P997" s="604"/>
      <c r="Q997" s="604"/>
      <c r="R997" s="604"/>
      <c r="S997" s="604"/>
      <c r="T997" s="604"/>
      <c r="U997" s="604"/>
      <c r="V997" s="604"/>
      <c r="W997" s="604"/>
      <c r="X997" s="604"/>
    </row>
    <row r="998" spans="1:24" ht="15.6">
      <c r="A998" s="604"/>
      <c r="B998" s="604"/>
      <c r="C998" s="609"/>
      <c r="D998" s="604"/>
      <c r="E998" s="604"/>
      <c r="F998" s="604"/>
      <c r="G998" s="604"/>
      <c r="H998" s="604"/>
      <c r="I998" s="604"/>
      <c r="J998" s="604"/>
      <c r="K998" s="604"/>
      <c r="L998" s="604"/>
      <c r="M998" s="604"/>
      <c r="N998" s="604"/>
      <c r="O998" s="604"/>
      <c r="P998" s="604"/>
      <c r="Q998" s="604"/>
      <c r="R998" s="604"/>
      <c r="S998" s="604"/>
      <c r="T998" s="604"/>
      <c r="U998" s="604"/>
      <c r="V998" s="604"/>
      <c r="W998" s="604"/>
      <c r="X998" s="604"/>
    </row>
    <row r="999" spans="1:24" ht="15.6">
      <c r="A999" s="604"/>
      <c r="B999" s="604"/>
      <c r="C999" s="609"/>
      <c r="D999" s="604"/>
      <c r="E999" s="604"/>
      <c r="F999" s="604"/>
      <c r="G999" s="604"/>
      <c r="H999" s="604"/>
      <c r="I999" s="604"/>
      <c r="J999" s="604"/>
      <c r="K999" s="604"/>
      <c r="L999" s="604"/>
      <c r="M999" s="604"/>
      <c r="N999" s="604"/>
      <c r="O999" s="604"/>
      <c r="P999" s="604"/>
      <c r="Q999" s="604"/>
      <c r="R999" s="604"/>
      <c r="S999" s="604"/>
      <c r="T999" s="604"/>
      <c r="U999" s="604"/>
      <c r="V999" s="604"/>
      <c r="W999" s="604"/>
      <c r="X999" s="604"/>
    </row>
    <row r="1000" spans="1:24" ht="15.6">
      <c r="A1000" s="604"/>
      <c r="B1000" s="604"/>
      <c r="C1000" s="609"/>
      <c r="D1000" s="604"/>
      <c r="E1000" s="604"/>
      <c r="F1000" s="604"/>
      <c r="G1000" s="604"/>
      <c r="H1000" s="604"/>
      <c r="I1000" s="604"/>
      <c r="J1000" s="604"/>
      <c r="K1000" s="604"/>
      <c r="L1000" s="604"/>
      <c r="M1000" s="604"/>
      <c r="N1000" s="604"/>
      <c r="O1000" s="604"/>
      <c r="P1000" s="604"/>
      <c r="Q1000" s="604"/>
      <c r="R1000" s="604"/>
      <c r="S1000" s="604"/>
      <c r="T1000" s="604"/>
      <c r="U1000" s="604"/>
      <c r="V1000" s="604"/>
      <c r="W1000" s="604"/>
      <c r="X1000" s="604"/>
    </row>
    <row r="1001" spans="1:24" ht="15.6">
      <c r="A1001" s="604"/>
      <c r="B1001" s="604"/>
      <c r="C1001" s="609"/>
      <c r="D1001" s="604"/>
      <c r="E1001" s="604"/>
      <c r="F1001" s="604"/>
      <c r="G1001" s="604"/>
      <c r="H1001" s="604"/>
      <c r="I1001" s="604"/>
      <c r="J1001" s="604"/>
      <c r="K1001" s="604"/>
      <c r="L1001" s="604"/>
      <c r="M1001" s="604"/>
      <c r="N1001" s="604"/>
      <c r="O1001" s="604"/>
      <c r="P1001" s="604"/>
      <c r="Q1001" s="604"/>
      <c r="R1001" s="604"/>
      <c r="S1001" s="604"/>
      <c r="T1001" s="604"/>
      <c r="U1001" s="604"/>
      <c r="V1001" s="604"/>
      <c r="W1001" s="604"/>
      <c r="X1001" s="604"/>
    </row>
  </sheetData>
  <mergeCells count="2">
    <mergeCell ref="D1:H1"/>
    <mergeCell ref="I1:P1"/>
  </mergeCells>
  <conditionalFormatting sqref="D3:P3">
    <cfRule type="containsText" dxfId="1" priority="1" operator="containsText" text="OK">
      <formula>NOT(ISERROR(SEARCH(("OK"),(D3))))</formula>
    </cfRule>
    <cfRule type="containsText" dxfId="0" priority="2" operator="containsText" text="ERROR">
      <formula>NOT(ISERROR(SEARCH(("ERROR"),(D3))))</formula>
    </cfRule>
  </conditionalFormatting>
  <pageMargins left="0.70866141732283472" right="0.70866141732283472" top="0.74803149606299213" bottom="0.74803149606299213" header="0" footer="0"/>
  <pageSetup scale="78" orientation="landscape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01AE-49C1-D246-B36F-42CEBF73B302}">
  <sheetPr codeName="Sheet14"/>
  <dimension ref="A1:G95"/>
  <sheetViews>
    <sheetView workbookViewId="0">
      <selection activeCell="B67" sqref="B67"/>
    </sheetView>
  </sheetViews>
  <sheetFormatPr defaultColWidth="10.77734375" defaultRowHeight="13.2"/>
  <cols>
    <col min="1" max="1" width="79" style="647" bestFit="1" customWidth="1"/>
    <col min="2" max="2" width="17.33203125" style="647" bestFit="1" customWidth="1"/>
    <col min="3" max="5" width="18.33203125" style="647" bestFit="1" customWidth="1"/>
    <col min="6" max="6" width="17.33203125" style="647" bestFit="1" customWidth="1"/>
    <col min="7" max="7" width="13.109375" style="647" bestFit="1" customWidth="1"/>
    <col min="8" max="256" width="8.77734375" style="647" customWidth="1"/>
    <col min="257" max="16384" width="10.77734375" style="647"/>
  </cols>
  <sheetData>
    <row r="1" spans="1:7">
      <c r="A1" s="646" t="s">
        <v>485</v>
      </c>
      <c r="B1" s="646" t="s">
        <v>486</v>
      </c>
      <c r="C1" s="646" t="s">
        <v>487</v>
      </c>
      <c r="D1" s="646" t="s">
        <v>488</v>
      </c>
      <c r="E1" s="646" t="s">
        <v>489</v>
      </c>
      <c r="F1" s="646" t="s">
        <v>490</v>
      </c>
      <c r="G1" s="646"/>
    </row>
    <row r="2" spans="1:7">
      <c r="A2" s="647" t="s">
        <v>211</v>
      </c>
      <c r="B2" s="626">
        <v>24488000000</v>
      </c>
      <c r="C2" s="626">
        <v>40802000000</v>
      </c>
      <c r="D2" s="626">
        <v>64988000000</v>
      </c>
      <c r="E2" s="626">
        <v>53974000000</v>
      </c>
      <c r="F2" s="626">
        <v>45972000000</v>
      </c>
      <c r="G2" s="626"/>
    </row>
    <row r="3" spans="1:7">
      <c r="A3" s="648" t="s">
        <v>491</v>
      </c>
      <c r="B3" s="649">
        <v>53683000000</v>
      </c>
      <c r="C3" s="649">
        <v>83966000000</v>
      </c>
      <c r="D3" s="649">
        <v>124474000000</v>
      </c>
      <c r="E3" s="649">
        <v>102409000000</v>
      </c>
      <c r="F3" s="649">
        <v>91416000000</v>
      </c>
      <c r="G3" s="626"/>
    </row>
    <row r="4" spans="1:7">
      <c r="A4" s="647" t="s">
        <v>492</v>
      </c>
      <c r="B4" s="626">
        <v>53683000000</v>
      </c>
      <c r="C4" s="626">
        <v>83966000000</v>
      </c>
      <c r="D4" s="626">
        <v>124474000000</v>
      </c>
      <c r="E4" s="626">
        <v>102409000000</v>
      </c>
      <c r="F4" s="626">
        <v>91416000000</v>
      </c>
      <c r="G4" s="626"/>
    </row>
    <row r="5" spans="1:7">
      <c r="A5" s="647" t="s">
        <v>493</v>
      </c>
      <c r="B5" s="647" t="s">
        <v>494</v>
      </c>
      <c r="C5" s="647" t="s">
        <v>494</v>
      </c>
      <c r="D5" s="647" t="s">
        <v>494</v>
      </c>
      <c r="E5" s="647" t="s">
        <v>494</v>
      </c>
      <c r="F5" s="647" t="s">
        <v>494</v>
      </c>
    </row>
    <row r="6" spans="1:7">
      <c r="A6" s="647" t="s">
        <v>495</v>
      </c>
      <c r="B6" s="626">
        <v>-29195000000</v>
      </c>
      <c r="C6" s="626">
        <v>-43164000000</v>
      </c>
      <c r="D6" s="626">
        <v>-59486000000</v>
      </c>
      <c r="E6" s="626">
        <v>-48435000000</v>
      </c>
      <c r="F6" s="626">
        <v>-45444000000</v>
      </c>
      <c r="G6" s="626"/>
    </row>
    <row r="7" spans="1:7">
      <c r="A7" s="648" t="s">
        <v>496</v>
      </c>
      <c r="B7" s="649">
        <v>-12699000000</v>
      </c>
      <c r="C7" s="649">
        <v>-20869000000</v>
      </c>
      <c r="D7" s="649">
        <v>-32354000000</v>
      </c>
      <c r="E7" s="649">
        <v>-23858000000</v>
      </c>
      <c r="F7" s="649">
        <v>-22387000000</v>
      </c>
      <c r="G7" s="626"/>
    </row>
    <row r="8" spans="1:7">
      <c r="A8" s="647" t="s">
        <v>497</v>
      </c>
      <c r="B8" s="626">
        <v>-5920000000</v>
      </c>
      <c r="C8" s="626">
        <v>-11136000000</v>
      </c>
      <c r="D8" s="626">
        <v>-14953000000</v>
      </c>
      <c r="E8" s="626">
        <v>-12108000000</v>
      </c>
      <c r="F8" s="626">
        <v>-11392000000</v>
      </c>
      <c r="G8" s="626"/>
    </row>
    <row r="9" spans="1:7">
      <c r="A9" s="647" t="s">
        <v>498</v>
      </c>
      <c r="B9" s="626">
        <v>-1729000000</v>
      </c>
      <c r="C9" s="626">
        <v>-1882000000</v>
      </c>
      <c r="D9" s="626">
        <v>-1665000000</v>
      </c>
      <c r="E9" s="626">
        <v>-1690000000</v>
      </c>
      <c r="F9" s="626">
        <v>-1888000000</v>
      </c>
      <c r="G9" s="626"/>
    </row>
    <row r="10" spans="1:7">
      <c r="A10" s="647" t="s">
        <v>499</v>
      </c>
      <c r="B10" s="626">
        <v>-8847000000</v>
      </c>
      <c r="C10" s="626">
        <v>-9277000000</v>
      </c>
      <c r="D10" s="626">
        <v>-10514000000</v>
      </c>
      <c r="E10" s="626">
        <v>-10779000000</v>
      </c>
      <c r="F10" s="626">
        <v>-9777000000</v>
      </c>
      <c r="G10" s="626"/>
    </row>
    <row r="11" spans="1:7">
      <c r="A11" s="647" t="s">
        <v>500</v>
      </c>
      <c r="B11" s="626">
        <v>-7976000000</v>
      </c>
      <c r="C11" s="626">
        <v>-7475000000</v>
      </c>
      <c r="D11" s="626">
        <v>-9357000000</v>
      </c>
      <c r="E11" s="626">
        <v>-14483000000</v>
      </c>
      <c r="F11" s="626">
        <v>-20281000000</v>
      </c>
      <c r="G11" s="626"/>
    </row>
    <row r="12" spans="1:7">
      <c r="A12" s="647" t="s">
        <v>501</v>
      </c>
      <c r="B12" s="626">
        <v>-4873000000</v>
      </c>
      <c r="C12" s="626">
        <v>-6313000000</v>
      </c>
      <c r="D12" s="626">
        <v>-6537000000</v>
      </c>
      <c r="E12" s="626">
        <v>-8061000000</v>
      </c>
      <c r="F12" s="626">
        <v>-9033000000</v>
      </c>
      <c r="G12" s="626"/>
    </row>
    <row r="13" spans="1:7">
      <c r="A13" s="647" t="s">
        <v>502</v>
      </c>
      <c r="B13" s="626">
        <v>-458000000</v>
      </c>
      <c r="C13" s="626">
        <v>-2515000000</v>
      </c>
      <c r="D13" s="626">
        <v>-2188000000</v>
      </c>
      <c r="E13" s="626">
        <v>-3330000000</v>
      </c>
      <c r="F13" s="626">
        <v>-4458000000</v>
      </c>
      <c r="G13" s="626"/>
    </row>
    <row r="14" spans="1:7">
      <c r="A14" s="647" t="s">
        <v>503</v>
      </c>
      <c r="B14" s="626">
        <v>889000000</v>
      </c>
      <c r="C14" s="626">
        <v>-1467000000</v>
      </c>
      <c r="D14" s="626">
        <v>-1095000000</v>
      </c>
      <c r="E14" s="626">
        <v>-1172000000</v>
      </c>
      <c r="F14" s="626">
        <v>-2196000000</v>
      </c>
      <c r="G14" s="626"/>
    </row>
    <row r="15" spans="1:7">
      <c r="A15" s="647" t="s">
        <v>504</v>
      </c>
      <c r="B15" s="626">
        <v>-1347000000</v>
      </c>
      <c r="C15" s="626">
        <v>-1048000000</v>
      </c>
      <c r="D15" s="626">
        <v>-1093000000</v>
      </c>
      <c r="E15" s="626">
        <v>-2158000000</v>
      </c>
      <c r="F15" s="626">
        <v>-2262000000</v>
      </c>
      <c r="G15" s="626"/>
    </row>
    <row r="16" spans="1:7">
      <c r="A16" s="647" t="s">
        <v>505</v>
      </c>
      <c r="B16" s="626">
        <v>-4415000000</v>
      </c>
      <c r="C16" s="626">
        <v>-3798000000</v>
      </c>
      <c r="D16" s="626">
        <v>-4349000000</v>
      </c>
      <c r="E16" s="626">
        <v>-4731000000</v>
      </c>
      <c r="F16" s="626">
        <v>-4575000000</v>
      </c>
      <c r="G16" s="626"/>
    </row>
    <row r="17" spans="1:7">
      <c r="A17" s="647" t="s">
        <v>506</v>
      </c>
      <c r="B17" s="647" t="s">
        <v>494</v>
      </c>
      <c r="C17" s="647" t="s">
        <v>494</v>
      </c>
      <c r="D17" s="647" t="s">
        <v>494</v>
      </c>
      <c r="E17" s="647" t="s">
        <v>494</v>
      </c>
      <c r="F17" s="647" t="s">
        <v>494</v>
      </c>
    </row>
    <row r="18" spans="1:7">
      <c r="A18" s="647" t="s">
        <v>507</v>
      </c>
      <c r="B18" s="647" t="s">
        <v>494</v>
      </c>
      <c r="C18" s="647" t="s">
        <v>494</v>
      </c>
      <c r="D18" s="647" t="s">
        <v>494</v>
      </c>
      <c r="E18" s="647" t="s">
        <v>494</v>
      </c>
      <c r="F18" s="647" t="s">
        <v>494</v>
      </c>
    </row>
    <row r="19" spans="1:7">
      <c r="A19" s="647" t="s">
        <v>508</v>
      </c>
      <c r="B19" s="647" t="s">
        <v>494</v>
      </c>
      <c r="C19" s="647" t="s">
        <v>494</v>
      </c>
      <c r="D19" s="647" t="s">
        <v>494</v>
      </c>
      <c r="E19" s="647" t="s">
        <v>494</v>
      </c>
      <c r="F19" s="647" t="s">
        <v>494</v>
      </c>
    </row>
    <row r="20" spans="1:7">
      <c r="A20" s="647" t="s">
        <v>509</v>
      </c>
      <c r="B20" s="647" t="s">
        <v>494</v>
      </c>
      <c r="C20" s="647" t="s">
        <v>494</v>
      </c>
      <c r="D20" s="647" t="s">
        <v>494</v>
      </c>
      <c r="E20" s="647" t="s">
        <v>494</v>
      </c>
      <c r="F20" s="647" t="s">
        <v>494</v>
      </c>
    </row>
    <row r="21" spans="1:7">
      <c r="A21" s="647" t="s">
        <v>510</v>
      </c>
      <c r="B21" s="647" t="s">
        <v>494</v>
      </c>
      <c r="C21" s="647" t="s">
        <v>494</v>
      </c>
      <c r="D21" s="647" t="s">
        <v>494</v>
      </c>
      <c r="E21" s="626">
        <v>-2205000000</v>
      </c>
      <c r="F21" s="626">
        <v>-2617000000</v>
      </c>
      <c r="G21" s="626"/>
    </row>
    <row r="22" spans="1:7">
      <c r="A22" s="647" t="s">
        <v>511</v>
      </c>
      <c r="B22" s="626">
        <v>-803000000</v>
      </c>
      <c r="C22" s="626">
        <v>-687000000</v>
      </c>
      <c r="D22" s="626">
        <v>-887000000</v>
      </c>
      <c r="E22" s="626">
        <v>-982000000</v>
      </c>
      <c r="F22" s="626">
        <v>-913000000</v>
      </c>
      <c r="G22" s="626"/>
    </row>
    <row r="23" spans="1:7">
      <c r="A23" s="647" t="s">
        <v>512</v>
      </c>
      <c r="B23" s="626">
        <v>-355000000</v>
      </c>
      <c r="C23" s="626">
        <v>-563000000</v>
      </c>
      <c r="D23" s="626">
        <v>-792000000</v>
      </c>
      <c r="E23" s="626">
        <v>-726000000</v>
      </c>
      <c r="F23" s="626">
        <v>-789000000</v>
      </c>
      <c r="G23" s="626"/>
    </row>
    <row r="24" spans="1:7">
      <c r="A24" s="648" t="s">
        <v>513</v>
      </c>
      <c r="B24" s="649">
        <v>-653000000</v>
      </c>
      <c r="C24" s="649">
        <v>-696000000</v>
      </c>
      <c r="D24" s="649">
        <v>-894000000</v>
      </c>
      <c r="E24" s="649">
        <v>-732000000</v>
      </c>
      <c r="F24" s="649">
        <v>-816000000</v>
      </c>
      <c r="G24" s="626"/>
    </row>
    <row r="25" spans="1:7">
      <c r="A25" s="647" t="s">
        <v>514</v>
      </c>
      <c r="B25" s="626">
        <v>-342000000</v>
      </c>
      <c r="C25" s="626">
        <v>99000000</v>
      </c>
      <c r="D25" s="626">
        <v>-225000000</v>
      </c>
      <c r="E25" s="626">
        <v>-1195000000</v>
      </c>
      <c r="F25" s="626">
        <v>-2584000000</v>
      </c>
    </row>
    <row r="26" spans="1:7">
      <c r="A26" s="647" t="s">
        <v>515</v>
      </c>
      <c r="B26" s="626">
        <v>-952000000</v>
      </c>
      <c r="C26" s="626">
        <v>673000000</v>
      </c>
      <c r="D26" s="626">
        <v>-285000000</v>
      </c>
      <c r="E26" s="626">
        <v>-686000000</v>
      </c>
      <c r="F26" s="626">
        <v>-3211000000</v>
      </c>
      <c r="G26" s="626"/>
    </row>
    <row r="27" spans="1:7">
      <c r="A27" s="647" t="s">
        <v>516</v>
      </c>
      <c r="B27" s="626">
        <v>2000000</v>
      </c>
      <c r="C27" s="626">
        <v>12000000</v>
      </c>
      <c r="D27" s="626">
        <v>-58000000</v>
      </c>
      <c r="E27" s="626">
        <v>-22000000</v>
      </c>
      <c r="F27" s="626">
        <v>-258000000</v>
      </c>
      <c r="G27" s="626"/>
    </row>
    <row r="28" spans="1:7">
      <c r="A28" s="647" t="s">
        <v>517</v>
      </c>
      <c r="B28" s="626">
        <v>2000000</v>
      </c>
      <c r="C28" s="626">
        <v>12000000</v>
      </c>
      <c r="D28" s="626">
        <v>-58000000</v>
      </c>
      <c r="E28" s="626">
        <v>-22000000</v>
      </c>
      <c r="F28" s="626">
        <v>-258000000</v>
      </c>
      <c r="G28" s="626"/>
    </row>
    <row r="29" spans="1:7">
      <c r="A29" s="647" t="s">
        <v>518</v>
      </c>
      <c r="B29" s="647" t="s">
        <v>494</v>
      </c>
      <c r="C29" s="647" t="s">
        <v>494</v>
      </c>
      <c r="D29" s="647" t="s">
        <v>494</v>
      </c>
      <c r="E29" s="647" t="s">
        <v>494</v>
      </c>
      <c r="F29" s="647" t="s">
        <v>494</v>
      </c>
    </row>
    <row r="30" spans="1:7">
      <c r="A30" s="647" t="s">
        <v>519</v>
      </c>
      <c r="B30" s="647" t="s">
        <v>494</v>
      </c>
      <c r="C30" s="647" t="s">
        <v>494</v>
      </c>
      <c r="D30" s="626">
        <v>321000000</v>
      </c>
      <c r="E30" s="626">
        <v>126000000</v>
      </c>
      <c r="F30" s="626">
        <v>-60000000</v>
      </c>
      <c r="G30" s="626"/>
    </row>
    <row r="31" spans="1:7">
      <c r="A31" s="647" t="s">
        <v>520</v>
      </c>
      <c r="B31" s="647" t="s">
        <v>494</v>
      </c>
      <c r="C31" s="647" t="s">
        <v>494</v>
      </c>
      <c r="D31" s="626">
        <v>471000000</v>
      </c>
      <c r="E31" s="626">
        <v>315000000</v>
      </c>
      <c r="F31" s="626">
        <v>161000000</v>
      </c>
    </row>
    <row r="32" spans="1:7">
      <c r="A32" s="647" t="s">
        <v>521</v>
      </c>
      <c r="B32" s="647" t="s">
        <v>494</v>
      </c>
      <c r="C32" s="647" t="s">
        <v>494</v>
      </c>
      <c r="D32" s="626">
        <v>-150000000</v>
      </c>
      <c r="E32" s="626">
        <v>-189000000</v>
      </c>
      <c r="F32" s="626">
        <v>-221000000</v>
      </c>
      <c r="G32" s="626"/>
    </row>
    <row r="33" spans="1:7">
      <c r="A33" s="647" t="s">
        <v>522</v>
      </c>
      <c r="B33" s="626">
        <v>16512000000</v>
      </c>
      <c r="C33" s="626">
        <v>33327000000</v>
      </c>
      <c r="D33" s="626">
        <v>55631000000</v>
      </c>
      <c r="E33" s="626">
        <v>39491000000</v>
      </c>
      <c r="F33" s="626">
        <v>25691000000</v>
      </c>
      <c r="G33" s="626"/>
    </row>
    <row r="34" spans="1:7">
      <c r="A34" s="647" t="s">
        <v>523</v>
      </c>
      <c r="B34" s="626">
        <v>-16738000000</v>
      </c>
      <c r="C34" s="626">
        <v>-5102000000</v>
      </c>
      <c r="D34" s="626">
        <v>-2106000000</v>
      </c>
      <c r="E34" s="626">
        <v>-4095000000</v>
      </c>
      <c r="F34" s="626">
        <v>-14549000000</v>
      </c>
      <c r="G34" s="626"/>
    </row>
    <row r="35" spans="1:7">
      <c r="A35" s="647" t="s">
        <v>524</v>
      </c>
      <c r="B35" s="626">
        <v>-5655000000</v>
      </c>
      <c r="C35" s="626">
        <v>-4644000000</v>
      </c>
      <c r="D35" s="626">
        <v>-2827000000</v>
      </c>
      <c r="E35" s="626">
        <v>-3410000000</v>
      </c>
      <c r="F35" s="626">
        <v>-3725000000</v>
      </c>
      <c r="G35" s="626"/>
    </row>
    <row r="36" spans="1:7">
      <c r="A36" s="648" t="s">
        <v>525</v>
      </c>
      <c r="B36" s="649">
        <v>-5692000000</v>
      </c>
      <c r="C36" s="649">
        <v>-4977000000</v>
      </c>
      <c r="D36" s="649">
        <v>-2638000000</v>
      </c>
      <c r="E36" s="649">
        <v>-3620000000</v>
      </c>
      <c r="F36" s="649">
        <v>-3841000000</v>
      </c>
      <c r="G36" s="626"/>
    </row>
    <row r="37" spans="1:7">
      <c r="A37" s="647" t="s">
        <v>526</v>
      </c>
      <c r="B37" s="626">
        <v>-5771000000</v>
      </c>
      <c r="C37" s="626">
        <v>-4977000000</v>
      </c>
      <c r="D37" s="626">
        <v>-3311000000</v>
      </c>
      <c r="E37" s="626">
        <v>-3620000000</v>
      </c>
      <c r="F37" s="626">
        <v>-3841000000</v>
      </c>
      <c r="G37" s="626"/>
    </row>
    <row r="38" spans="1:7">
      <c r="A38" s="647" t="s">
        <v>527</v>
      </c>
      <c r="B38" s="626">
        <v>-6712000000</v>
      </c>
      <c r="C38" s="626">
        <v>-5953000000</v>
      </c>
      <c r="D38" s="626">
        <v>-4343000000</v>
      </c>
      <c r="E38" s="626">
        <v>-4910000000</v>
      </c>
      <c r="F38" s="626">
        <v>-5411000000</v>
      </c>
      <c r="G38" s="626"/>
    </row>
    <row r="39" spans="1:7">
      <c r="A39" s="647" t="s">
        <v>528</v>
      </c>
      <c r="B39" s="626">
        <v>941000000</v>
      </c>
      <c r="C39" s="626">
        <v>976000000</v>
      </c>
      <c r="D39" s="626">
        <v>1032000000</v>
      </c>
      <c r="E39" s="626">
        <v>1290000000</v>
      </c>
      <c r="F39" s="626">
        <v>1570000000</v>
      </c>
      <c r="G39" s="626"/>
    </row>
    <row r="40" spans="1:7">
      <c r="A40" s="647" t="s">
        <v>529</v>
      </c>
      <c r="B40" s="626">
        <v>79000000</v>
      </c>
      <c r="C40" s="647" t="s">
        <v>494</v>
      </c>
      <c r="D40" s="626">
        <v>673000000</v>
      </c>
      <c r="E40" s="647" t="s">
        <v>494</v>
      </c>
      <c r="F40" s="647" t="s">
        <v>494</v>
      </c>
    </row>
    <row r="41" spans="1:7">
      <c r="A41" s="647" t="s">
        <v>530</v>
      </c>
      <c r="B41" s="626">
        <v>37000000</v>
      </c>
      <c r="C41" s="626">
        <v>333000000</v>
      </c>
      <c r="D41" s="626">
        <v>-189000000</v>
      </c>
      <c r="E41" s="626">
        <v>210000000</v>
      </c>
      <c r="F41" s="626">
        <v>116000000</v>
      </c>
      <c r="G41" s="626"/>
    </row>
    <row r="42" spans="1:7">
      <c r="A42" s="647" t="s">
        <v>531</v>
      </c>
      <c r="B42" s="626">
        <v>270000000</v>
      </c>
      <c r="C42" s="626">
        <v>506000000</v>
      </c>
      <c r="D42" s="647" t="s">
        <v>494</v>
      </c>
      <c r="E42" s="626">
        <v>512000000</v>
      </c>
      <c r="F42" s="626">
        <v>447000000</v>
      </c>
    </row>
    <row r="43" spans="1:7">
      <c r="A43" s="647" t="s">
        <v>532</v>
      </c>
      <c r="B43" s="626">
        <v>-233000000</v>
      </c>
      <c r="C43" s="626">
        <v>-173000000</v>
      </c>
      <c r="D43" s="626">
        <v>-189000000</v>
      </c>
      <c r="E43" s="626">
        <v>-302000000</v>
      </c>
      <c r="F43" s="626">
        <v>-331000000</v>
      </c>
    </row>
    <row r="44" spans="1:7">
      <c r="A44" s="647" t="s">
        <v>533</v>
      </c>
      <c r="B44" s="626">
        <v>-4942000000</v>
      </c>
      <c r="C44" s="626">
        <v>-5312000000</v>
      </c>
      <c r="D44" s="626">
        <v>-1104000000</v>
      </c>
      <c r="E44" s="626">
        <v>344000000</v>
      </c>
      <c r="F44" s="626">
        <v>-10007000000</v>
      </c>
      <c r="G44" s="626"/>
    </row>
    <row r="45" spans="1:7">
      <c r="A45" s="647" t="s">
        <v>534</v>
      </c>
      <c r="B45" s="626">
        <v>-659000000</v>
      </c>
      <c r="C45" s="626">
        <v>1607000000</v>
      </c>
      <c r="D45" s="626">
        <v>251000000</v>
      </c>
      <c r="E45" s="626">
        <v>-304000000</v>
      </c>
      <c r="F45" s="626">
        <v>-627000000</v>
      </c>
      <c r="G45" s="626"/>
    </row>
    <row r="46" spans="1:7">
      <c r="A46" s="647" t="s">
        <v>535</v>
      </c>
      <c r="B46" s="626">
        <v>-4177000000</v>
      </c>
      <c r="C46" s="626">
        <v>-2570000000</v>
      </c>
      <c r="D46" s="626">
        <v>1619000000</v>
      </c>
      <c r="E46" s="626">
        <v>2743000000</v>
      </c>
      <c r="F46" s="626">
        <v>-7937000000</v>
      </c>
      <c r="G46" s="626"/>
    </row>
    <row r="47" spans="1:7">
      <c r="A47" s="647" t="s">
        <v>536</v>
      </c>
      <c r="B47" s="626">
        <v>-308000000</v>
      </c>
      <c r="C47" s="626">
        <v>-4664000000</v>
      </c>
      <c r="D47" s="626">
        <v>-5127000000</v>
      </c>
      <c r="E47" s="626">
        <v>-3752000000</v>
      </c>
      <c r="F47" s="626">
        <v>-2950000000</v>
      </c>
      <c r="G47" s="626"/>
    </row>
    <row r="48" spans="1:7">
      <c r="A48" s="647" t="s">
        <v>537</v>
      </c>
      <c r="B48" s="626">
        <v>202000000</v>
      </c>
      <c r="C48" s="626">
        <v>315000000</v>
      </c>
      <c r="D48" s="626">
        <v>1159000000</v>
      </c>
      <c r="E48" s="626">
        <v>1657000000</v>
      </c>
      <c r="F48" s="626">
        <v>1507000000</v>
      </c>
    </row>
    <row r="49" spans="1:7">
      <c r="A49" s="647" t="s">
        <v>538</v>
      </c>
      <c r="B49" s="647" t="s">
        <v>494</v>
      </c>
      <c r="C49" s="647" t="s">
        <v>494</v>
      </c>
      <c r="D49" s="626">
        <v>994000000</v>
      </c>
      <c r="E49" s="647" t="s">
        <v>494</v>
      </c>
      <c r="F49" s="647" t="s">
        <v>494</v>
      </c>
    </row>
    <row r="50" spans="1:7">
      <c r="A50" s="647" t="s">
        <v>539</v>
      </c>
      <c r="B50" s="647" t="s">
        <v>494</v>
      </c>
      <c r="C50" s="647" t="s">
        <v>494</v>
      </c>
      <c r="D50" s="647" t="s">
        <v>494</v>
      </c>
      <c r="E50" s="647" t="s">
        <v>494</v>
      </c>
      <c r="F50" s="647" t="s">
        <v>494</v>
      </c>
    </row>
    <row r="51" spans="1:7">
      <c r="A51" s="647" t="s">
        <v>540</v>
      </c>
      <c r="B51" s="626">
        <v>-9558000000</v>
      </c>
      <c r="C51" s="626">
        <v>3544000000</v>
      </c>
      <c r="D51" s="626">
        <v>-2738000000</v>
      </c>
      <c r="E51" s="626">
        <v>-1862000000</v>
      </c>
      <c r="F51" s="626">
        <v>-1969000000</v>
      </c>
      <c r="G51" s="626"/>
    </row>
    <row r="52" spans="1:7">
      <c r="A52" s="647" t="s">
        <v>541</v>
      </c>
      <c r="B52" s="626">
        <v>499000000</v>
      </c>
      <c r="C52" s="626">
        <v>1941000000</v>
      </c>
      <c r="D52" s="626">
        <v>1144000000</v>
      </c>
      <c r="E52" s="626">
        <v>1295000000</v>
      </c>
      <c r="F52" s="626">
        <v>228000000</v>
      </c>
      <c r="G52" s="626"/>
    </row>
    <row r="53" spans="1:7">
      <c r="A53" s="647" t="s">
        <v>542</v>
      </c>
      <c r="B53" s="647" t="s">
        <v>494</v>
      </c>
      <c r="C53" s="647" t="s">
        <v>494</v>
      </c>
      <c r="D53" s="626">
        <v>-151000000</v>
      </c>
      <c r="E53" s="626">
        <v>-2680000000</v>
      </c>
      <c r="F53" s="626">
        <v>-1531000000</v>
      </c>
      <c r="G53" s="626"/>
    </row>
    <row r="54" spans="1:7">
      <c r="A54" s="647" t="s">
        <v>543</v>
      </c>
      <c r="B54" s="626">
        <v>-493000000</v>
      </c>
      <c r="C54" s="626">
        <v>-740000000</v>
      </c>
      <c r="D54" s="626">
        <v>-1362000000</v>
      </c>
      <c r="E54" s="626">
        <v>-561000000</v>
      </c>
      <c r="F54" s="626">
        <v>-996000000</v>
      </c>
      <c r="G54" s="626"/>
    </row>
    <row r="55" spans="1:7">
      <c r="A55" s="647" t="s">
        <v>544</v>
      </c>
      <c r="B55" s="626">
        <v>-1165000000</v>
      </c>
      <c r="C55" s="626">
        <v>-817000000</v>
      </c>
      <c r="D55" s="626">
        <v>-1205000000</v>
      </c>
      <c r="E55" s="626">
        <v>84000000</v>
      </c>
      <c r="F55" s="626">
        <v>330000000</v>
      </c>
      <c r="G55" s="626"/>
    </row>
    <row r="56" spans="1:7">
      <c r="A56" s="647" t="s">
        <v>545</v>
      </c>
      <c r="B56" s="626">
        <v>-7339000000</v>
      </c>
      <c r="C56" s="626">
        <v>3190000000</v>
      </c>
      <c r="D56" s="626">
        <v>-1164000000</v>
      </c>
      <c r="E56" s="647" t="s">
        <v>494</v>
      </c>
      <c r="F56" s="647" t="s">
        <v>494</v>
      </c>
      <c r="G56" s="626"/>
    </row>
    <row r="57" spans="1:7">
      <c r="A57" s="647" t="s">
        <v>546</v>
      </c>
      <c r="B57" s="626">
        <v>-43000000</v>
      </c>
      <c r="C57" s="626">
        <v>-41000000</v>
      </c>
      <c r="D57" s="647" t="s">
        <v>494</v>
      </c>
      <c r="E57" s="647" t="s">
        <v>494</v>
      </c>
      <c r="F57" s="647" t="s">
        <v>494</v>
      </c>
    </row>
    <row r="58" spans="1:7">
      <c r="A58" s="647" t="s">
        <v>547</v>
      </c>
      <c r="B58" s="626">
        <v>-1017000000</v>
      </c>
      <c r="C58" s="626">
        <v>11000000</v>
      </c>
      <c r="D58" s="647" t="s">
        <v>494</v>
      </c>
      <c r="E58" s="647" t="s">
        <v>494</v>
      </c>
      <c r="F58" s="647" t="s">
        <v>494</v>
      </c>
    </row>
    <row r="59" spans="1:7">
      <c r="A59" s="647" t="s">
        <v>548</v>
      </c>
      <c r="B59" s="626">
        <v>3417000000</v>
      </c>
      <c r="C59" s="626">
        <v>1310000000</v>
      </c>
      <c r="D59" s="626">
        <v>4563000000</v>
      </c>
      <c r="E59" s="626">
        <v>833000000</v>
      </c>
      <c r="F59" s="626">
        <v>1152000000</v>
      </c>
      <c r="G59" s="626"/>
    </row>
    <row r="60" spans="1:7">
      <c r="A60" s="648" t="s">
        <v>549</v>
      </c>
      <c r="B60" s="649">
        <v>-226000000</v>
      </c>
      <c r="C60" s="649">
        <v>28225000000</v>
      </c>
      <c r="D60" s="649">
        <v>53525000000</v>
      </c>
      <c r="E60" s="649">
        <v>35396000000</v>
      </c>
      <c r="F60" s="649">
        <v>11142000000</v>
      </c>
      <c r="G60" s="626"/>
    </row>
    <row r="61" spans="1:7">
      <c r="A61" s="647" t="s">
        <v>550</v>
      </c>
      <c r="B61" s="626">
        <v>1174000000</v>
      </c>
      <c r="C61" s="626">
        <v>-8239000000</v>
      </c>
      <c r="D61" s="626">
        <v>-16770000000</v>
      </c>
      <c r="E61" s="626">
        <v>-10401000000</v>
      </c>
      <c r="F61" s="626">
        <v>-3537000000</v>
      </c>
      <c r="G61" s="626"/>
    </row>
    <row r="62" spans="1:7">
      <c r="A62" s="647" t="s">
        <v>551</v>
      </c>
      <c r="B62" s="626">
        <v>948000000</v>
      </c>
      <c r="C62" s="626">
        <v>19986000000</v>
      </c>
      <c r="D62" s="626">
        <v>36755000000</v>
      </c>
      <c r="E62" s="626">
        <v>24995000000</v>
      </c>
      <c r="F62" s="626">
        <v>7605000000</v>
      </c>
      <c r="G62" s="626"/>
    </row>
    <row r="63" spans="1:7">
      <c r="A63" s="647" t="s">
        <v>552</v>
      </c>
      <c r="B63" s="626">
        <v>948000000</v>
      </c>
      <c r="C63" s="626">
        <v>19986000000</v>
      </c>
      <c r="D63" s="626">
        <v>36755000000</v>
      </c>
      <c r="E63" s="626">
        <v>24995000000</v>
      </c>
      <c r="F63" s="626">
        <v>7605000000</v>
      </c>
      <c r="G63" s="626"/>
    </row>
    <row r="64" spans="1:7">
      <c r="A64" s="647" t="s">
        <v>553</v>
      </c>
      <c r="B64" s="626">
        <v>193000000</v>
      </c>
      <c r="C64" s="626">
        <v>-111000000</v>
      </c>
      <c r="D64" s="626">
        <v>-132000000</v>
      </c>
      <c r="E64" s="626">
        <v>-111000000</v>
      </c>
      <c r="F64" s="626">
        <v>-77000000</v>
      </c>
      <c r="G64" s="626"/>
    </row>
    <row r="65" spans="1:7">
      <c r="A65" s="647" t="s">
        <v>554</v>
      </c>
      <c r="B65" s="626">
        <v>1141000000</v>
      </c>
      <c r="C65" s="626">
        <v>19875000000</v>
      </c>
      <c r="D65" s="626">
        <v>36623000000</v>
      </c>
      <c r="E65" s="626">
        <v>24884000000</v>
      </c>
      <c r="F65" s="626">
        <v>7528000000</v>
      </c>
      <c r="G65" s="626"/>
    </row>
    <row r="66" spans="1:7">
      <c r="A66" s="647" t="s">
        <v>555</v>
      </c>
      <c r="B66" s="626">
        <v>1141000000</v>
      </c>
      <c r="C66" s="626">
        <v>19875000000</v>
      </c>
      <c r="D66" s="626">
        <v>36623000000</v>
      </c>
      <c r="E66" s="626">
        <v>24884000000</v>
      </c>
      <c r="F66" s="626">
        <v>7528000000</v>
      </c>
      <c r="G66" s="626"/>
    </row>
    <row r="67" spans="1:7">
      <c r="A67" s="647" t="s">
        <v>556</v>
      </c>
      <c r="B67" s="650">
        <v>1141000000</v>
      </c>
      <c r="C67" s="650">
        <v>19875000000</v>
      </c>
      <c r="D67" s="650">
        <v>36623000000</v>
      </c>
      <c r="E67" s="650">
        <v>24884000000</v>
      </c>
      <c r="F67" s="650">
        <v>7528000000</v>
      </c>
      <c r="G67" s="626"/>
    </row>
    <row r="68" spans="1:7">
      <c r="A68" s="647" t="s">
        <v>557</v>
      </c>
      <c r="B68" s="647" t="s">
        <v>494</v>
      </c>
      <c r="C68" s="647" t="s">
        <v>494</v>
      </c>
      <c r="D68" s="647" t="s">
        <v>494</v>
      </c>
      <c r="E68" s="647" t="s">
        <v>494</v>
      </c>
      <c r="F68" s="647" t="s">
        <v>494</v>
      </c>
    </row>
    <row r="69" spans="1:7">
      <c r="A69" s="647" t="s">
        <v>558</v>
      </c>
      <c r="B69" s="647" t="s">
        <v>494</v>
      </c>
      <c r="C69" s="647" t="s">
        <v>494</v>
      </c>
      <c r="D69" s="647" t="s">
        <v>494</v>
      </c>
      <c r="E69" s="647" t="s">
        <v>494</v>
      </c>
      <c r="F69" s="647" t="s">
        <v>494</v>
      </c>
    </row>
    <row r="70" spans="1:7">
      <c r="A70" s="647" t="s">
        <v>559</v>
      </c>
      <c r="B70" s="626">
        <v>53683000000</v>
      </c>
      <c r="C70" s="626">
        <v>83966000000</v>
      </c>
      <c r="D70" s="626">
        <v>124474000000</v>
      </c>
      <c r="E70" s="626">
        <v>102409000000</v>
      </c>
      <c r="F70" s="626">
        <v>91416000000</v>
      </c>
      <c r="G70" s="626"/>
    </row>
    <row r="71" spans="1:7">
      <c r="A71" s="647" t="s">
        <v>560</v>
      </c>
      <c r="B71" s="626">
        <v>5.1950000000000003</v>
      </c>
      <c r="C71" s="626">
        <v>0.28999999999999998</v>
      </c>
      <c r="D71" s="626">
        <v>0.313</v>
      </c>
      <c r="E71" s="626">
        <v>0.29399999999999998</v>
      </c>
      <c r="F71" s="626">
        <v>0.317</v>
      </c>
    </row>
    <row r="72" spans="1:7">
      <c r="A72" s="647" t="s">
        <v>561</v>
      </c>
      <c r="B72" s="626">
        <v>28391000000</v>
      </c>
      <c r="C72" s="626">
        <v>43558000000</v>
      </c>
      <c r="D72" s="626">
        <v>66217000000</v>
      </c>
      <c r="E72" s="626">
        <v>52414000000</v>
      </c>
      <c r="F72" s="626">
        <v>40399000000</v>
      </c>
      <c r="G72" s="626"/>
    </row>
    <row r="73" spans="1:7">
      <c r="A73" s="647" t="s">
        <v>562</v>
      </c>
      <c r="B73" s="647" t="s">
        <v>494</v>
      </c>
      <c r="C73" s="647" t="s">
        <v>494</v>
      </c>
      <c r="D73" s="647" t="s">
        <v>494</v>
      </c>
      <c r="E73" s="647" t="s">
        <v>494</v>
      </c>
      <c r="F73" s="647" t="s">
        <v>494</v>
      </c>
    </row>
    <row r="74" spans="1:7">
      <c r="A74" s="647" t="s">
        <v>563</v>
      </c>
      <c r="B74" s="626">
        <v>-12392000000</v>
      </c>
      <c r="C74" s="626">
        <v>-13015000000</v>
      </c>
      <c r="D74" s="626">
        <v>-14695000000</v>
      </c>
      <c r="E74" s="647" t="s">
        <v>494</v>
      </c>
      <c r="F74" s="647" t="s">
        <v>494</v>
      </c>
    </row>
    <row r="75" spans="1:7">
      <c r="A75" s="647" t="s">
        <v>564</v>
      </c>
      <c r="B75" s="626">
        <v>-12392000000</v>
      </c>
      <c r="C75" s="626">
        <v>-13015000000</v>
      </c>
      <c r="D75" s="626">
        <v>-14695000000</v>
      </c>
      <c r="E75" s="647" t="s">
        <v>494</v>
      </c>
      <c r="F75" s="647" t="s">
        <v>494</v>
      </c>
    </row>
    <row r="76" spans="1:7">
      <c r="A76" s="647" t="s">
        <v>565</v>
      </c>
      <c r="B76" s="626">
        <v>-12326000000</v>
      </c>
      <c r="C76" s="626">
        <v>-12955000000</v>
      </c>
      <c r="D76" s="626">
        <v>-14618000000</v>
      </c>
      <c r="E76" s="647" t="s">
        <v>494</v>
      </c>
      <c r="F76" s="647" t="s">
        <v>494</v>
      </c>
    </row>
    <row r="77" spans="1:7">
      <c r="A77" s="647" t="s">
        <v>566</v>
      </c>
      <c r="B77" s="626">
        <v>-66000000</v>
      </c>
      <c r="C77" s="626">
        <v>-60000000</v>
      </c>
      <c r="D77" s="626">
        <v>-77000000</v>
      </c>
      <c r="E77" s="647" t="s">
        <v>494</v>
      </c>
      <c r="F77" s="647" t="s">
        <v>494</v>
      </c>
    </row>
    <row r="78" spans="1:7">
      <c r="A78" s="647" t="s">
        <v>567</v>
      </c>
      <c r="B78" s="647" t="s">
        <v>494</v>
      </c>
      <c r="C78" s="626">
        <v>0</v>
      </c>
      <c r="D78" s="647" t="s">
        <v>494</v>
      </c>
      <c r="E78" s="647" t="s">
        <v>494</v>
      </c>
      <c r="F78" s="647" t="s">
        <v>494</v>
      </c>
    </row>
    <row r="79" spans="1:7">
      <c r="A79" s="647" t="s">
        <v>568</v>
      </c>
      <c r="B79" s="626">
        <v>0.09</v>
      </c>
      <c r="C79" s="626">
        <v>1.52</v>
      </c>
      <c r="D79" s="626">
        <v>2.81</v>
      </c>
      <c r="E79" s="626">
        <v>1.91</v>
      </c>
      <c r="F79" s="626">
        <v>0.57999999999999996</v>
      </c>
      <c r="G79" s="626"/>
    </row>
    <row r="80" spans="1:7">
      <c r="A80" s="647" t="s">
        <v>569</v>
      </c>
      <c r="B80" s="626">
        <v>0.09</v>
      </c>
      <c r="C80" s="626">
        <v>1.52</v>
      </c>
      <c r="D80" s="626">
        <v>2.81</v>
      </c>
      <c r="E80" s="626">
        <v>1.91</v>
      </c>
      <c r="F80" s="626">
        <v>0.57999999999999996</v>
      </c>
      <c r="G80" s="626"/>
    </row>
    <row r="81" spans="1:7">
      <c r="A81" s="647" t="s">
        <v>570</v>
      </c>
      <c r="B81" s="647" t="s">
        <v>494</v>
      </c>
      <c r="C81" s="626">
        <v>0</v>
      </c>
      <c r="D81" s="647" t="s">
        <v>494</v>
      </c>
      <c r="E81" s="647" t="s">
        <v>494</v>
      </c>
      <c r="F81" s="647" t="s">
        <v>494</v>
      </c>
    </row>
    <row r="82" spans="1:7">
      <c r="A82" s="647" t="s">
        <v>571</v>
      </c>
      <c r="B82" s="626">
        <v>0.09</v>
      </c>
      <c r="C82" s="626">
        <v>1.52</v>
      </c>
      <c r="D82" s="626">
        <v>2.81</v>
      </c>
      <c r="E82" s="626">
        <v>1.91</v>
      </c>
      <c r="F82" s="626">
        <v>0.57999999999999996</v>
      </c>
      <c r="G82" s="626"/>
    </row>
    <row r="83" spans="1:7">
      <c r="A83" s="647" t="s">
        <v>572</v>
      </c>
      <c r="B83" s="626">
        <v>0.09</v>
      </c>
      <c r="C83" s="626">
        <v>1.52</v>
      </c>
      <c r="D83" s="626">
        <v>2.81</v>
      </c>
      <c r="E83" s="626">
        <v>1.91</v>
      </c>
      <c r="F83" s="626">
        <v>0.57999999999999996</v>
      </c>
      <c r="G83" s="626"/>
    </row>
    <row r="84" spans="1:7">
      <c r="A84" s="647" t="s">
        <v>573</v>
      </c>
      <c r="B84" s="647" t="s">
        <v>494</v>
      </c>
      <c r="C84" s="626">
        <v>0</v>
      </c>
      <c r="D84" s="647" t="s">
        <v>494</v>
      </c>
      <c r="E84" s="647" t="s">
        <v>494</v>
      </c>
      <c r="F84" s="647" t="s">
        <v>494</v>
      </c>
    </row>
    <row r="85" spans="1:7">
      <c r="A85" s="647" t="s">
        <v>574</v>
      </c>
      <c r="B85" s="626">
        <v>13044201262</v>
      </c>
      <c r="C85" s="626">
        <v>13044201262</v>
      </c>
      <c r="D85" s="626">
        <v>13044201262</v>
      </c>
      <c r="E85" s="626">
        <v>13022289244</v>
      </c>
      <c r="F85" s="626">
        <v>12898762128</v>
      </c>
      <c r="G85" s="626"/>
    </row>
    <row r="86" spans="1:7">
      <c r="A86" s="647" t="s">
        <v>575</v>
      </c>
      <c r="B86" s="626">
        <v>13044201262</v>
      </c>
      <c r="C86" s="626">
        <v>13044201262</v>
      </c>
      <c r="D86" s="626">
        <v>13044201262</v>
      </c>
      <c r="E86" s="626">
        <v>13022289244</v>
      </c>
      <c r="F86" s="626">
        <v>12898762128</v>
      </c>
      <c r="G86" s="626"/>
    </row>
    <row r="87" spans="1:7">
      <c r="A87" s="647" t="s">
        <v>576</v>
      </c>
      <c r="B87" s="626">
        <v>0.04</v>
      </c>
      <c r="C87" s="626">
        <v>1.05</v>
      </c>
      <c r="D87" s="626">
        <v>3.31</v>
      </c>
      <c r="E87" s="626">
        <v>1.46</v>
      </c>
      <c r="F87" s="626">
        <v>1.48</v>
      </c>
      <c r="G87" s="626"/>
    </row>
    <row r="88" spans="1:7">
      <c r="A88" s="647" t="s">
        <v>577</v>
      </c>
      <c r="B88" s="626">
        <v>0.04</v>
      </c>
      <c r="C88" s="626">
        <v>1.05</v>
      </c>
      <c r="D88" s="626">
        <v>3.31</v>
      </c>
      <c r="E88" s="626">
        <v>1.46</v>
      </c>
      <c r="F88" s="626">
        <v>1.21</v>
      </c>
      <c r="G88" s="626"/>
    </row>
    <row r="89" spans="1:7">
      <c r="A89" s="647" t="s">
        <v>578</v>
      </c>
      <c r="B89" s="647" t="s">
        <v>494</v>
      </c>
      <c r="C89" s="647" t="s">
        <v>494</v>
      </c>
      <c r="D89" s="647" t="s">
        <v>494</v>
      </c>
      <c r="E89" s="647" t="s">
        <v>494</v>
      </c>
      <c r="F89" s="626">
        <v>0.27</v>
      </c>
      <c r="G89" s="626"/>
    </row>
    <row r="90" spans="1:7">
      <c r="A90" s="647" t="s">
        <v>579</v>
      </c>
      <c r="B90" s="647" t="s">
        <v>494</v>
      </c>
      <c r="C90" s="647" t="s">
        <v>494</v>
      </c>
      <c r="D90" s="647" t="s">
        <v>494</v>
      </c>
      <c r="E90" s="647" t="s">
        <v>494</v>
      </c>
      <c r="F90" s="647" t="s">
        <v>494</v>
      </c>
    </row>
    <row r="91" spans="1:7">
      <c r="A91" s="647" t="s">
        <v>568</v>
      </c>
      <c r="B91" s="626">
        <v>0.18</v>
      </c>
      <c r="C91" s="626">
        <v>3.04</v>
      </c>
      <c r="D91" s="626">
        <v>5.62</v>
      </c>
      <c r="E91" s="626">
        <v>3.82</v>
      </c>
      <c r="F91" s="626">
        <v>1.1599999999999999</v>
      </c>
      <c r="G91" s="626"/>
    </row>
    <row r="92" spans="1:7">
      <c r="A92" s="647" t="s">
        <v>571</v>
      </c>
      <c r="B92" s="626">
        <v>0.18</v>
      </c>
      <c r="C92" s="626">
        <v>3.04</v>
      </c>
      <c r="D92" s="626">
        <v>5.62</v>
      </c>
      <c r="E92" s="626">
        <v>3.82</v>
      </c>
      <c r="F92" s="626">
        <v>1.1599999999999999</v>
      </c>
      <c r="G92" s="626"/>
    </row>
    <row r="93" spans="1:7">
      <c r="A93" s="647" t="s">
        <v>580</v>
      </c>
      <c r="B93" s="626">
        <v>6522100630</v>
      </c>
      <c r="C93" s="626">
        <v>6522100630</v>
      </c>
      <c r="D93" s="626">
        <v>6522100630</v>
      </c>
      <c r="E93" s="626">
        <v>6511144622</v>
      </c>
      <c r="F93" s="626">
        <v>6449381064</v>
      </c>
      <c r="G93" s="626"/>
    </row>
    <row r="94" spans="1:7">
      <c r="A94" s="647" t="s">
        <v>581</v>
      </c>
      <c r="B94" s="626">
        <v>6522100630</v>
      </c>
      <c r="C94" s="626">
        <v>6522100630</v>
      </c>
      <c r="D94" s="626">
        <v>6522100630</v>
      </c>
      <c r="E94" s="626">
        <v>6511144622</v>
      </c>
      <c r="F94" s="626">
        <v>6449381064</v>
      </c>
      <c r="G94" s="626"/>
    </row>
    <row r="95" spans="1:7">
      <c r="A95" s="647" t="s">
        <v>582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9F5C1-6202-B442-85EA-1A5C967CF463}">
  <sheetPr codeName="Sheet15"/>
  <dimension ref="A1:F168"/>
  <sheetViews>
    <sheetView topLeftCell="A53" workbookViewId="0">
      <selection activeCell="B148" sqref="B148"/>
    </sheetView>
  </sheetViews>
  <sheetFormatPr defaultColWidth="10.77734375" defaultRowHeight="13.2"/>
  <cols>
    <col min="1" max="1" width="102" style="647" bestFit="1" customWidth="1"/>
    <col min="2" max="6" width="14.109375" style="647" bestFit="1" customWidth="1"/>
    <col min="7" max="256" width="8.77734375" style="647" customWidth="1"/>
    <col min="257" max="16384" width="10.77734375" style="647"/>
  </cols>
  <sheetData>
    <row r="1" spans="1:6">
      <c r="A1" s="646" t="s">
        <v>583</v>
      </c>
      <c r="B1" s="646" t="s">
        <v>486</v>
      </c>
      <c r="C1" s="646" t="s">
        <v>487</v>
      </c>
      <c r="D1" s="646" t="s">
        <v>488</v>
      </c>
      <c r="E1" s="646" t="s">
        <v>489</v>
      </c>
      <c r="F1" s="646" t="s">
        <v>490</v>
      </c>
    </row>
    <row r="2" spans="1:6">
      <c r="A2" s="647" t="s">
        <v>387</v>
      </c>
      <c r="B2" s="626">
        <v>190010000000</v>
      </c>
      <c r="C2" s="626">
        <v>174348000000</v>
      </c>
      <c r="D2" s="626">
        <v>187191000000</v>
      </c>
      <c r="E2" s="626">
        <v>217067000000</v>
      </c>
      <c r="F2" s="626">
        <v>181645000000</v>
      </c>
    </row>
    <row r="3" spans="1:6">
      <c r="A3" s="647" t="s">
        <v>584</v>
      </c>
      <c r="B3" s="626">
        <v>27388000000</v>
      </c>
      <c r="C3" s="626">
        <v>30149000000</v>
      </c>
      <c r="D3" s="626">
        <v>31250000000</v>
      </c>
      <c r="E3" s="626">
        <v>32445000000</v>
      </c>
      <c r="F3" s="626">
        <v>21836000000</v>
      </c>
    </row>
    <row r="4" spans="1:6">
      <c r="A4" s="647" t="s">
        <v>585</v>
      </c>
      <c r="B4" s="626">
        <v>12370000000</v>
      </c>
      <c r="C4" s="626">
        <v>11117000000</v>
      </c>
      <c r="D4" s="626">
        <v>10769000000</v>
      </c>
      <c r="E4" s="626">
        <v>15546000000</v>
      </c>
      <c r="F4" s="626">
        <v>7534000000</v>
      </c>
    </row>
    <row r="5" spans="1:6" s="648" customFormat="1">
      <c r="A5" s="648" t="s">
        <v>586</v>
      </c>
      <c r="B5" s="649">
        <v>11711000000</v>
      </c>
      <c r="C5" s="649">
        <v>10467000000</v>
      </c>
      <c r="D5" s="649">
        <v>7996000000</v>
      </c>
      <c r="E5" s="649">
        <v>12727000000</v>
      </c>
      <c r="F5" s="649">
        <v>3271000000</v>
      </c>
    </row>
    <row r="6" spans="1:6">
      <c r="A6" s="647" t="s">
        <v>587</v>
      </c>
      <c r="B6" s="626">
        <v>552000000</v>
      </c>
      <c r="C6" s="626">
        <v>299000000</v>
      </c>
      <c r="D6" s="626">
        <v>216000000</v>
      </c>
      <c r="E6" s="626">
        <v>103000000</v>
      </c>
      <c r="F6" s="626">
        <v>136000000</v>
      </c>
    </row>
    <row r="7" spans="1:6">
      <c r="A7" s="647" t="s">
        <v>588</v>
      </c>
      <c r="B7" s="626">
        <v>11159000000</v>
      </c>
      <c r="C7" s="626">
        <v>10168000000</v>
      </c>
      <c r="D7" s="626">
        <v>7780000000</v>
      </c>
      <c r="E7" s="626">
        <v>12624000000</v>
      </c>
      <c r="F7" s="626">
        <v>3135000000</v>
      </c>
    </row>
    <row r="8" spans="1:6">
      <c r="A8" s="647" t="s">
        <v>589</v>
      </c>
      <c r="B8" s="626">
        <v>659000000</v>
      </c>
      <c r="C8" s="626">
        <v>650000000</v>
      </c>
      <c r="D8" s="626">
        <v>2773000000</v>
      </c>
      <c r="E8" s="626">
        <v>2819000000</v>
      </c>
      <c r="F8" s="626">
        <v>4263000000</v>
      </c>
    </row>
    <row r="9" spans="1:6">
      <c r="A9" s="647" t="s">
        <v>590</v>
      </c>
      <c r="B9" s="626">
        <v>659000000</v>
      </c>
      <c r="C9" s="626">
        <v>650000000</v>
      </c>
      <c r="D9" s="626">
        <v>2773000000</v>
      </c>
      <c r="E9" s="626">
        <v>2819000000</v>
      </c>
      <c r="F9" s="626">
        <v>4263000000</v>
      </c>
    </row>
    <row r="10" spans="1:6">
      <c r="A10" s="647" t="s">
        <v>591</v>
      </c>
      <c r="B10" s="626">
        <v>5677000000</v>
      </c>
      <c r="C10" s="626">
        <v>7255000000</v>
      </c>
      <c r="D10" s="626">
        <v>8779000000</v>
      </c>
      <c r="E10" s="626">
        <v>7681000000</v>
      </c>
      <c r="F10" s="626">
        <v>6710000000</v>
      </c>
    </row>
    <row r="11" spans="1:6">
      <c r="A11" s="647" t="s">
        <v>592</v>
      </c>
      <c r="B11" s="626">
        <v>954000000</v>
      </c>
      <c r="C11" s="626">
        <v>804000000</v>
      </c>
      <c r="D11" s="626">
        <v>1023000000</v>
      </c>
      <c r="E11" s="626">
        <v>1383000000</v>
      </c>
      <c r="F11" s="626">
        <v>1356000000</v>
      </c>
    </row>
    <row r="12" spans="1:6">
      <c r="A12" s="647" t="s">
        <v>593</v>
      </c>
      <c r="B12" s="626">
        <v>4723000000</v>
      </c>
      <c r="C12" s="626">
        <v>6451000000</v>
      </c>
      <c r="D12" s="626">
        <v>7756000000</v>
      </c>
      <c r="E12" s="626">
        <v>6298000000</v>
      </c>
      <c r="F12" s="626">
        <v>5354000000</v>
      </c>
    </row>
    <row r="13" spans="1:6">
      <c r="A13" s="647" t="s">
        <v>594</v>
      </c>
      <c r="B13" s="626">
        <v>7326000000</v>
      </c>
      <c r="C13" s="626">
        <v>7714000000</v>
      </c>
      <c r="D13" s="626">
        <v>6317000000</v>
      </c>
      <c r="E13" s="626">
        <v>7313000000</v>
      </c>
      <c r="F13" s="626">
        <v>5532000000</v>
      </c>
    </row>
    <row r="14" spans="1:6" s="648" customFormat="1">
      <c r="A14" s="648" t="s">
        <v>595</v>
      </c>
      <c r="B14" s="649">
        <v>4731000000</v>
      </c>
      <c r="C14" s="649">
        <v>6368000000</v>
      </c>
      <c r="D14" s="649">
        <v>5010000000</v>
      </c>
      <c r="E14" s="649">
        <v>6135000000</v>
      </c>
      <c r="F14" s="649">
        <v>3566000000</v>
      </c>
    </row>
    <row r="15" spans="1:6">
      <c r="A15" s="647" t="s">
        <v>596</v>
      </c>
      <c r="B15" s="626">
        <v>2595000000</v>
      </c>
      <c r="C15" s="626">
        <v>1346000000</v>
      </c>
      <c r="D15" s="626">
        <v>1307000000</v>
      </c>
      <c r="E15" s="626">
        <v>1178000000</v>
      </c>
      <c r="F15" s="626">
        <v>1966000000</v>
      </c>
    </row>
    <row r="16" spans="1:6">
      <c r="A16" s="647" t="s">
        <v>597</v>
      </c>
      <c r="B16" s="626">
        <v>785000000</v>
      </c>
      <c r="C16" s="626">
        <v>2490000000</v>
      </c>
      <c r="D16" s="626">
        <v>3608000000</v>
      </c>
      <c r="E16" s="626">
        <v>335000000</v>
      </c>
      <c r="F16" s="626">
        <v>510000000</v>
      </c>
    </row>
    <row r="17" spans="1:6">
      <c r="A17" s="647" t="s">
        <v>598</v>
      </c>
      <c r="B17" s="626">
        <v>1230000000</v>
      </c>
      <c r="C17" s="626">
        <v>1573000000</v>
      </c>
      <c r="D17" s="626">
        <v>1777000000</v>
      </c>
      <c r="E17" s="626">
        <v>1570000000</v>
      </c>
      <c r="F17" s="626">
        <v>1550000000</v>
      </c>
    </row>
    <row r="18" spans="1:6">
      <c r="A18" s="647" t="s">
        <v>599</v>
      </c>
      <c r="B18" s="647" t="s">
        <v>494</v>
      </c>
      <c r="C18" s="647" t="s">
        <v>494</v>
      </c>
      <c r="D18" s="647" t="s">
        <v>494</v>
      </c>
      <c r="E18" s="647" t="s">
        <v>494</v>
      </c>
      <c r="F18" s="647" t="s">
        <v>494</v>
      </c>
    </row>
    <row r="19" spans="1:6">
      <c r="A19" s="647" t="s">
        <v>600</v>
      </c>
      <c r="B19" s="647" t="s">
        <v>494</v>
      </c>
      <c r="C19" s="647" t="s">
        <v>494</v>
      </c>
      <c r="D19" s="647" t="s">
        <v>494</v>
      </c>
      <c r="E19" s="647" t="s">
        <v>494</v>
      </c>
      <c r="F19" s="647" t="s">
        <v>494</v>
      </c>
    </row>
    <row r="20" spans="1:6">
      <c r="A20" s="647" t="s">
        <v>601</v>
      </c>
      <c r="B20" s="626">
        <v>162622000000</v>
      </c>
      <c r="C20" s="626">
        <v>144199000000</v>
      </c>
      <c r="D20" s="626">
        <v>155941000000</v>
      </c>
      <c r="E20" s="626">
        <v>184622000000</v>
      </c>
      <c r="F20" s="626">
        <v>159809000000</v>
      </c>
    </row>
    <row r="21" spans="1:6">
      <c r="A21" s="647" t="s">
        <v>602</v>
      </c>
      <c r="B21" s="626">
        <v>93035000000</v>
      </c>
      <c r="C21" s="626">
        <v>89483000000</v>
      </c>
      <c r="D21" s="626">
        <v>91735000000</v>
      </c>
      <c r="E21" s="626">
        <v>112992000000</v>
      </c>
      <c r="F21" s="626">
        <v>100364000000</v>
      </c>
    </row>
    <row r="22" spans="1:6">
      <c r="A22" s="647" t="s">
        <v>603</v>
      </c>
      <c r="B22" s="626">
        <v>163973000000</v>
      </c>
      <c r="C22" s="626">
        <v>154501000000</v>
      </c>
      <c r="D22" s="626">
        <v>163380000000</v>
      </c>
      <c r="E22" s="626">
        <v>199103000000</v>
      </c>
      <c r="F22" s="626">
        <v>173545000000</v>
      </c>
    </row>
    <row r="23" spans="1:6">
      <c r="A23" s="647" t="s">
        <v>604</v>
      </c>
      <c r="B23" s="626">
        <v>6829000000</v>
      </c>
      <c r="C23" s="626">
        <v>5833000000</v>
      </c>
      <c r="D23" s="626">
        <v>6621000000</v>
      </c>
      <c r="E23" s="626">
        <v>7604000000</v>
      </c>
      <c r="F23" s="626">
        <v>6235000000</v>
      </c>
    </row>
    <row r="24" spans="1:6">
      <c r="A24" s="647" t="s">
        <v>605</v>
      </c>
      <c r="B24" s="626">
        <v>5450000000</v>
      </c>
      <c r="C24" s="626">
        <v>4080000000</v>
      </c>
      <c r="D24" s="626">
        <v>4343000000</v>
      </c>
      <c r="E24" s="626">
        <v>4634000000</v>
      </c>
      <c r="F24" s="626">
        <v>3895000000</v>
      </c>
    </row>
    <row r="25" spans="1:6">
      <c r="A25" s="647" t="s">
        <v>606</v>
      </c>
      <c r="B25" s="626">
        <v>1379000000</v>
      </c>
      <c r="C25" s="626">
        <v>1753000000</v>
      </c>
      <c r="D25" s="626">
        <v>2278000000</v>
      </c>
      <c r="E25" s="626">
        <v>2970000000</v>
      </c>
      <c r="F25" s="626">
        <v>2340000000</v>
      </c>
    </row>
    <row r="26" spans="1:6">
      <c r="A26" s="647" t="s">
        <v>607</v>
      </c>
      <c r="B26" s="626">
        <v>11257000000</v>
      </c>
      <c r="C26" s="626">
        <v>11267000000</v>
      </c>
      <c r="D26" s="626">
        <v>14788000000</v>
      </c>
      <c r="E26" s="626">
        <v>18000000000</v>
      </c>
      <c r="F26" s="626">
        <v>17542000000</v>
      </c>
    </row>
    <row r="27" spans="1:6">
      <c r="A27" s="647" t="s">
        <v>608</v>
      </c>
      <c r="B27" s="626">
        <v>11257000000</v>
      </c>
      <c r="C27" s="626">
        <v>11267000000</v>
      </c>
      <c r="D27" s="626">
        <v>14788000000</v>
      </c>
      <c r="E27" s="626">
        <v>18000000000</v>
      </c>
      <c r="F27" s="626">
        <v>17542000000</v>
      </c>
    </row>
    <row r="28" spans="1:6">
      <c r="A28" s="647" t="s">
        <v>609</v>
      </c>
      <c r="B28" s="626">
        <v>27544000000</v>
      </c>
      <c r="C28" s="626">
        <v>25954000000</v>
      </c>
      <c r="D28" s="626">
        <v>23938000000</v>
      </c>
      <c r="E28" s="626">
        <v>31467000000</v>
      </c>
      <c r="F28" s="626">
        <v>30321000000</v>
      </c>
    </row>
    <row r="29" spans="1:6">
      <c r="A29" s="647" t="s">
        <v>610</v>
      </c>
      <c r="B29" s="626">
        <v>11144000000</v>
      </c>
      <c r="C29" s="626">
        <v>13362000000</v>
      </c>
      <c r="D29" s="626">
        <v>12604000000</v>
      </c>
      <c r="E29" s="626">
        <v>23859000000</v>
      </c>
      <c r="F29" s="626">
        <v>22484000000</v>
      </c>
    </row>
    <row r="30" spans="1:6">
      <c r="A30" s="647" t="s">
        <v>611</v>
      </c>
      <c r="B30" s="626">
        <v>107199000000</v>
      </c>
      <c r="C30" s="626">
        <v>98085000000</v>
      </c>
      <c r="D30" s="626">
        <v>105429000000</v>
      </c>
      <c r="E30" s="626">
        <v>118173000000</v>
      </c>
      <c r="F30" s="626">
        <v>96963000000</v>
      </c>
    </row>
    <row r="31" spans="1:6">
      <c r="A31" s="647" t="s">
        <v>612</v>
      </c>
      <c r="B31" s="626">
        <v>-70938000000</v>
      </c>
      <c r="C31" s="626">
        <v>-65018000000</v>
      </c>
      <c r="D31" s="626">
        <v>-71645000000</v>
      </c>
      <c r="E31" s="626">
        <v>-86111000000</v>
      </c>
      <c r="F31" s="626">
        <v>-73181000000</v>
      </c>
    </row>
    <row r="32" spans="1:6">
      <c r="A32" s="647" t="s">
        <v>613</v>
      </c>
      <c r="B32" s="626">
        <v>-70938000000</v>
      </c>
      <c r="C32" s="626">
        <v>-65018000000</v>
      </c>
      <c r="D32" s="626">
        <v>-71645000000</v>
      </c>
      <c r="E32" s="626">
        <v>-86111000000</v>
      </c>
      <c r="F32" s="626">
        <v>-73181000000</v>
      </c>
    </row>
    <row r="33" spans="1:6">
      <c r="A33" s="647" t="s">
        <v>614</v>
      </c>
      <c r="B33" s="626">
        <v>-3063000000</v>
      </c>
      <c r="C33" s="626">
        <v>-2235000000</v>
      </c>
      <c r="D33" s="626">
        <v>-2336000000</v>
      </c>
      <c r="E33" s="626">
        <v>-2797000000</v>
      </c>
      <c r="F33" s="626">
        <v>-2160000000</v>
      </c>
    </row>
    <row r="34" spans="1:6">
      <c r="A34" s="647" t="s">
        <v>615</v>
      </c>
      <c r="B34" s="626">
        <v>-2407000000</v>
      </c>
      <c r="C34" s="626">
        <v>-1697000000</v>
      </c>
      <c r="D34" s="626">
        <v>-1805000000</v>
      </c>
      <c r="E34" s="626">
        <v>-1947000000</v>
      </c>
      <c r="F34" s="626">
        <v>-1410000000</v>
      </c>
    </row>
    <row r="35" spans="1:6">
      <c r="A35" s="647" t="s">
        <v>616</v>
      </c>
      <c r="B35" s="626">
        <v>-656000000</v>
      </c>
      <c r="C35" s="626">
        <v>-538000000</v>
      </c>
      <c r="D35" s="626">
        <v>-531000000</v>
      </c>
      <c r="E35" s="626">
        <v>-850000000</v>
      </c>
      <c r="F35" s="626">
        <v>-750000000</v>
      </c>
    </row>
    <row r="36" spans="1:6">
      <c r="A36" s="647" t="s">
        <v>617</v>
      </c>
      <c r="B36" s="626">
        <v>-4090000000</v>
      </c>
      <c r="C36" s="626">
        <v>-5270000000</v>
      </c>
      <c r="D36" s="626">
        <v>-6534000000</v>
      </c>
      <c r="E36" s="626">
        <v>-8796000000</v>
      </c>
      <c r="F36" s="626">
        <v>-9216000000</v>
      </c>
    </row>
    <row r="37" spans="1:6">
      <c r="A37" s="647" t="s">
        <v>618</v>
      </c>
      <c r="B37" s="626">
        <v>-4090000000</v>
      </c>
      <c r="C37" s="626">
        <v>-5270000000</v>
      </c>
      <c r="D37" s="626">
        <v>-6534000000</v>
      </c>
      <c r="E37" s="626">
        <v>-8796000000</v>
      </c>
      <c r="F37" s="626">
        <v>-9216000000</v>
      </c>
    </row>
    <row r="38" spans="1:6">
      <c r="A38" s="647" t="s">
        <v>619</v>
      </c>
      <c r="B38" s="626">
        <v>-3165000000</v>
      </c>
      <c r="C38" s="626">
        <v>-3522000000</v>
      </c>
      <c r="D38" s="626">
        <v>-3393000000</v>
      </c>
      <c r="E38" s="626">
        <v>-4803000000</v>
      </c>
      <c r="F38" s="626">
        <v>-4712000000</v>
      </c>
    </row>
    <row r="39" spans="1:6">
      <c r="A39" s="647" t="s">
        <v>620</v>
      </c>
      <c r="B39" s="626">
        <v>-12101000000</v>
      </c>
      <c r="C39" s="626">
        <v>-9032000000</v>
      </c>
      <c r="D39" s="626">
        <v>-9100000000</v>
      </c>
      <c r="E39" s="626">
        <v>-9951000000</v>
      </c>
      <c r="F39" s="626">
        <v>-5937000000</v>
      </c>
    </row>
    <row r="40" spans="1:6">
      <c r="A40" s="647" t="s">
        <v>621</v>
      </c>
      <c r="B40" s="626">
        <v>-48519000000</v>
      </c>
      <c r="C40" s="626">
        <v>-44959000000</v>
      </c>
      <c r="D40" s="626">
        <v>-50282000000</v>
      </c>
      <c r="E40" s="626">
        <v>-59764000000</v>
      </c>
      <c r="F40" s="626">
        <v>-51156000000</v>
      </c>
    </row>
    <row r="41" spans="1:6">
      <c r="A41" s="647" t="s">
        <v>622</v>
      </c>
      <c r="B41" s="626">
        <v>31166000000</v>
      </c>
      <c r="C41" s="626">
        <v>35847000000</v>
      </c>
      <c r="D41" s="626">
        <v>38434000000</v>
      </c>
      <c r="E41" s="626">
        <v>40432000000</v>
      </c>
      <c r="F41" s="626">
        <v>35921000000</v>
      </c>
    </row>
    <row r="42" spans="1:6">
      <c r="A42" s="647" t="s">
        <v>623</v>
      </c>
      <c r="B42" s="626">
        <v>60902000000</v>
      </c>
      <c r="C42" s="626">
        <v>61906000000</v>
      </c>
      <c r="D42" s="626">
        <v>67581000000</v>
      </c>
      <c r="E42" s="626">
        <v>74809000000</v>
      </c>
      <c r="F42" s="626">
        <v>67357000000</v>
      </c>
    </row>
    <row r="43" spans="1:6">
      <c r="A43" s="647" t="s">
        <v>624</v>
      </c>
      <c r="B43" s="626">
        <v>-29736000000</v>
      </c>
      <c r="C43" s="626">
        <v>-26059000000</v>
      </c>
      <c r="D43" s="626">
        <v>-29147000000</v>
      </c>
      <c r="E43" s="626">
        <v>-34377000000</v>
      </c>
      <c r="F43" s="626">
        <v>-31436000000</v>
      </c>
    </row>
    <row r="44" spans="1:6">
      <c r="A44" s="647" t="s">
        <v>625</v>
      </c>
      <c r="B44" s="626">
        <v>14948000000</v>
      </c>
      <c r="C44" s="626">
        <v>3025000000</v>
      </c>
      <c r="D44" s="626">
        <v>2986000000</v>
      </c>
      <c r="E44" s="626">
        <v>3042000000</v>
      </c>
      <c r="F44" s="626">
        <v>2255000000</v>
      </c>
    </row>
    <row r="45" spans="1:6">
      <c r="A45" s="647" t="s">
        <v>626</v>
      </c>
      <c r="B45" s="626">
        <v>16072000000</v>
      </c>
      <c r="C45" s="626">
        <v>4087000000</v>
      </c>
      <c r="D45" s="626">
        <v>4162000000</v>
      </c>
      <c r="E45" s="626">
        <v>4405000000</v>
      </c>
      <c r="F45" s="626">
        <v>3433000000</v>
      </c>
    </row>
    <row r="46" spans="1:6">
      <c r="A46" s="647" t="s">
        <v>627</v>
      </c>
      <c r="B46" s="626">
        <v>24000000</v>
      </c>
      <c r="C46" s="626">
        <v>22000000</v>
      </c>
      <c r="D46" s="626">
        <v>24000000</v>
      </c>
      <c r="E46" s="626">
        <v>25000000</v>
      </c>
      <c r="F46" s="626">
        <v>20000000</v>
      </c>
    </row>
    <row r="47" spans="1:6">
      <c r="A47" s="647" t="s">
        <v>628</v>
      </c>
      <c r="B47" s="626">
        <v>16048000000</v>
      </c>
      <c r="C47" s="626">
        <v>4065000000</v>
      </c>
      <c r="D47" s="626">
        <v>4138000000</v>
      </c>
      <c r="E47" s="626">
        <v>4380000000</v>
      </c>
      <c r="F47" s="626">
        <v>3413000000</v>
      </c>
    </row>
    <row r="48" spans="1:6">
      <c r="A48" s="647" t="s">
        <v>629</v>
      </c>
      <c r="B48" s="626">
        <v>1245000000</v>
      </c>
      <c r="C48" s="626">
        <v>1321000000</v>
      </c>
      <c r="D48" s="626">
        <v>1560000000</v>
      </c>
      <c r="E48" s="626">
        <v>1891000000</v>
      </c>
      <c r="F48" s="626">
        <v>1663000000</v>
      </c>
    </row>
    <row r="49" spans="1:6">
      <c r="A49" s="647" t="s">
        <v>630</v>
      </c>
      <c r="B49" s="626">
        <v>14803000000</v>
      </c>
      <c r="C49" s="626">
        <v>2744000000</v>
      </c>
      <c r="D49" s="626">
        <v>2578000000</v>
      </c>
      <c r="E49" s="626">
        <v>2489000000</v>
      </c>
      <c r="F49" s="626">
        <v>1750000000</v>
      </c>
    </row>
    <row r="50" spans="1:6">
      <c r="A50" s="647" t="s">
        <v>631</v>
      </c>
      <c r="B50" s="626">
        <v>-1124000000</v>
      </c>
      <c r="C50" s="626">
        <v>-1062000000</v>
      </c>
      <c r="D50" s="626">
        <v>-1176000000</v>
      </c>
      <c r="E50" s="626">
        <v>-1363000000</v>
      </c>
      <c r="F50" s="626">
        <v>-1178000000</v>
      </c>
    </row>
    <row r="51" spans="1:6">
      <c r="A51" s="647" t="s">
        <v>632</v>
      </c>
      <c r="B51" s="626">
        <v>-1124000000</v>
      </c>
      <c r="C51" s="626">
        <v>-1062000000</v>
      </c>
      <c r="D51" s="626">
        <v>-1176000000</v>
      </c>
      <c r="E51" s="626">
        <v>-1363000000</v>
      </c>
      <c r="F51" s="626">
        <v>-1178000000</v>
      </c>
    </row>
    <row r="52" spans="1:6">
      <c r="A52" s="647" t="s">
        <v>633</v>
      </c>
      <c r="B52" s="626">
        <v>0</v>
      </c>
      <c r="C52" s="626">
        <v>0</v>
      </c>
      <c r="D52" s="626">
        <v>0</v>
      </c>
      <c r="E52" s="626">
        <v>0</v>
      </c>
      <c r="F52" s="626">
        <v>0</v>
      </c>
    </row>
    <row r="53" spans="1:6">
      <c r="A53" s="647" t="s">
        <v>634</v>
      </c>
      <c r="B53" s="626">
        <v>-1124000000</v>
      </c>
      <c r="C53" s="626">
        <v>-1062000000</v>
      </c>
      <c r="D53" s="626">
        <v>-1176000000</v>
      </c>
      <c r="E53" s="626">
        <v>-1363000000</v>
      </c>
      <c r="F53" s="626">
        <v>-1178000000</v>
      </c>
    </row>
    <row r="54" spans="1:6">
      <c r="A54" s="647" t="s">
        <v>635</v>
      </c>
      <c r="B54" s="626">
        <v>-1035000000</v>
      </c>
      <c r="C54" s="626">
        <v>-1013000000</v>
      </c>
      <c r="D54" s="626">
        <v>-1121000000</v>
      </c>
      <c r="E54" s="626">
        <v>-1299000000</v>
      </c>
      <c r="F54" s="626">
        <v>-1125000000</v>
      </c>
    </row>
    <row r="55" spans="1:6">
      <c r="A55" s="647" t="s">
        <v>636</v>
      </c>
      <c r="B55" s="626">
        <v>-89000000</v>
      </c>
      <c r="C55" s="626">
        <v>-49000000</v>
      </c>
      <c r="D55" s="626">
        <v>-55000000</v>
      </c>
      <c r="E55" s="626">
        <v>-64000000</v>
      </c>
      <c r="F55" s="626">
        <v>-53000000</v>
      </c>
    </row>
    <row r="56" spans="1:6">
      <c r="A56" s="647" t="s">
        <v>637</v>
      </c>
      <c r="B56" s="626">
        <v>3317000000</v>
      </c>
      <c r="C56" s="626">
        <v>1554000000</v>
      </c>
      <c r="D56" s="626">
        <v>3130000000</v>
      </c>
      <c r="E56" s="626">
        <v>3767000000</v>
      </c>
      <c r="F56" s="626">
        <v>1241000000</v>
      </c>
    </row>
    <row r="57" spans="1:6">
      <c r="A57" s="647" t="s">
        <v>638</v>
      </c>
      <c r="B57" s="626">
        <v>3268000000</v>
      </c>
      <c r="C57" s="626">
        <v>1507000000</v>
      </c>
      <c r="D57" s="626">
        <v>1562000000</v>
      </c>
      <c r="E57" s="626">
        <v>1354000000</v>
      </c>
      <c r="F57" s="626">
        <v>656000000</v>
      </c>
    </row>
    <row r="58" spans="1:6">
      <c r="A58" s="647" t="s">
        <v>639</v>
      </c>
      <c r="B58" s="626">
        <v>2455000000</v>
      </c>
      <c r="C58" s="626">
        <v>998000000</v>
      </c>
      <c r="D58" s="626">
        <v>1016000000</v>
      </c>
      <c r="E58" s="626">
        <v>873000000</v>
      </c>
      <c r="F58" s="626">
        <v>175000000</v>
      </c>
    </row>
    <row r="59" spans="1:6">
      <c r="A59" s="647" t="s">
        <v>640</v>
      </c>
      <c r="B59" s="626">
        <v>813000000</v>
      </c>
      <c r="C59" s="626">
        <v>509000000</v>
      </c>
      <c r="D59" s="626">
        <v>546000000</v>
      </c>
      <c r="E59" s="626">
        <v>481000000</v>
      </c>
      <c r="F59" s="626">
        <v>481000000</v>
      </c>
    </row>
    <row r="60" spans="1:6">
      <c r="A60" s="647" t="s">
        <v>641</v>
      </c>
      <c r="B60" s="626">
        <v>44000000</v>
      </c>
      <c r="C60" s="626">
        <v>44000000</v>
      </c>
      <c r="D60" s="626">
        <v>1564000000</v>
      </c>
      <c r="E60" s="626">
        <v>2409000000</v>
      </c>
      <c r="F60" s="626">
        <v>582000000</v>
      </c>
    </row>
    <row r="61" spans="1:6">
      <c r="A61" s="647" t="s">
        <v>642</v>
      </c>
      <c r="B61" s="647" t="s">
        <v>494</v>
      </c>
      <c r="C61" s="647" t="s">
        <v>494</v>
      </c>
      <c r="D61" s="647" t="s">
        <v>494</v>
      </c>
      <c r="E61" s="647" t="s">
        <v>494</v>
      </c>
      <c r="F61" s="626">
        <v>582000000</v>
      </c>
    </row>
    <row r="62" spans="1:6">
      <c r="A62" s="647" t="s">
        <v>643</v>
      </c>
      <c r="B62" s="626">
        <v>44000000</v>
      </c>
      <c r="C62" s="626">
        <v>44000000</v>
      </c>
      <c r="D62" s="626">
        <v>1564000000</v>
      </c>
      <c r="E62" s="626">
        <v>2409000000</v>
      </c>
      <c r="F62" s="647" t="s">
        <v>494</v>
      </c>
    </row>
    <row r="63" spans="1:6">
      <c r="A63" s="647" t="s">
        <v>644</v>
      </c>
      <c r="B63" s="626">
        <v>5000000</v>
      </c>
      <c r="C63" s="626">
        <v>3000000</v>
      </c>
      <c r="D63" s="626">
        <v>4000000</v>
      </c>
      <c r="E63" s="626">
        <v>4000000</v>
      </c>
      <c r="F63" s="626">
        <v>3000000</v>
      </c>
    </row>
    <row r="64" spans="1:6">
      <c r="A64" s="647" t="s">
        <v>645</v>
      </c>
      <c r="B64" s="626">
        <v>5789000000</v>
      </c>
      <c r="C64" s="626">
        <v>5161000000</v>
      </c>
      <c r="D64" s="626">
        <v>6218000000</v>
      </c>
      <c r="E64" s="626">
        <v>6363000000</v>
      </c>
      <c r="F64" s="626">
        <v>4857000000</v>
      </c>
    </row>
    <row r="65" spans="1:6">
      <c r="A65" s="647" t="s">
        <v>646</v>
      </c>
      <c r="B65" s="626">
        <v>2631000000</v>
      </c>
      <c r="C65" s="626">
        <v>1900000000</v>
      </c>
      <c r="D65" s="626">
        <v>2440000000</v>
      </c>
      <c r="E65" s="626">
        <v>1847000000</v>
      </c>
      <c r="F65" s="626">
        <v>1256000000</v>
      </c>
    </row>
    <row r="66" spans="1:6">
      <c r="A66" s="647" t="s">
        <v>647</v>
      </c>
      <c r="B66" s="626">
        <v>3158000000</v>
      </c>
      <c r="C66" s="626">
        <v>3261000000</v>
      </c>
      <c r="D66" s="626">
        <v>3778000000</v>
      </c>
      <c r="E66" s="626">
        <v>4516000000</v>
      </c>
      <c r="F66" s="626">
        <v>3601000000</v>
      </c>
    </row>
    <row r="67" spans="1:6">
      <c r="A67" s="647" t="s">
        <v>648</v>
      </c>
      <c r="B67" s="626">
        <v>7281000000</v>
      </c>
      <c r="C67" s="626">
        <v>8038000000</v>
      </c>
      <c r="D67" s="626">
        <v>11053000000</v>
      </c>
      <c r="E67" s="626">
        <v>14746000000</v>
      </c>
      <c r="F67" s="626">
        <v>11748000000</v>
      </c>
    </row>
    <row r="68" spans="1:6">
      <c r="A68" s="647" t="s">
        <v>649</v>
      </c>
      <c r="B68" s="626">
        <v>6451000000</v>
      </c>
      <c r="C68" s="626">
        <v>604000000</v>
      </c>
      <c r="D68" s="626">
        <v>832000000</v>
      </c>
      <c r="E68" s="626">
        <v>965000000</v>
      </c>
      <c r="F68" s="626">
        <v>922000000</v>
      </c>
    </row>
    <row r="69" spans="1:6">
      <c r="A69" s="647" t="s">
        <v>650</v>
      </c>
      <c r="B69" s="626">
        <v>635000000</v>
      </c>
      <c r="C69" s="626">
        <v>487000000</v>
      </c>
      <c r="D69" s="626">
        <v>1553000000</v>
      </c>
      <c r="E69" s="626">
        <v>2315000000</v>
      </c>
      <c r="F69" s="626">
        <v>2501000000</v>
      </c>
    </row>
    <row r="70" spans="1:6">
      <c r="A70" s="647" t="s">
        <v>651</v>
      </c>
      <c r="B70" s="647" t="s">
        <v>494</v>
      </c>
      <c r="C70" s="647" t="s">
        <v>494</v>
      </c>
      <c r="D70" s="647" t="s">
        <v>494</v>
      </c>
      <c r="E70" s="647" t="s">
        <v>494</v>
      </c>
      <c r="F70" s="647" t="s">
        <v>494</v>
      </c>
    </row>
    <row r="71" spans="1:6">
      <c r="A71" s="647" t="s">
        <v>652</v>
      </c>
      <c r="B71" s="647" t="s">
        <v>494</v>
      </c>
      <c r="C71" s="647" t="s">
        <v>494</v>
      </c>
      <c r="D71" s="647" t="s">
        <v>494</v>
      </c>
      <c r="E71" s="647" t="s">
        <v>494</v>
      </c>
      <c r="F71" s="647" t="s">
        <v>494</v>
      </c>
    </row>
    <row r="72" spans="1:6">
      <c r="A72" s="647" t="s">
        <v>452</v>
      </c>
      <c r="B72" s="626">
        <v>130134000000</v>
      </c>
      <c r="C72" s="626">
        <v>104536000000</v>
      </c>
      <c r="D72" s="626">
        <v>117355000000</v>
      </c>
      <c r="E72" s="626">
        <v>138092000000</v>
      </c>
      <c r="F72" s="626">
        <v>122295000000</v>
      </c>
    </row>
    <row r="73" spans="1:6">
      <c r="A73" s="647" t="s">
        <v>653</v>
      </c>
      <c r="B73" s="626">
        <v>26225000000</v>
      </c>
      <c r="C73" s="626">
        <v>24176000000</v>
      </c>
      <c r="D73" s="626">
        <v>31380000000</v>
      </c>
      <c r="E73" s="626">
        <v>33860000000</v>
      </c>
      <c r="F73" s="626">
        <v>31460000000</v>
      </c>
    </row>
    <row r="74" spans="1:6">
      <c r="A74" s="647" t="s">
        <v>654</v>
      </c>
      <c r="B74" s="626">
        <v>10551000000</v>
      </c>
      <c r="C74" s="626">
        <v>10217000000</v>
      </c>
      <c r="D74" s="626">
        <v>15566000000</v>
      </c>
      <c r="E74" s="626">
        <v>13818000000</v>
      </c>
      <c r="F74" s="626">
        <v>13423000000</v>
      </c>
    </row>
    <row r="75" spans="1:6">
      <c r="A75" s="647" t="s">
        <v>655</v>
      </c>
      <c r="B75" s="626">
        <v>10551000000</v>
      </c>
      <c r="C75" s="626">
        <v>10217000000</v>
      </c>
      <c r="D75" s="626">
        <v>15566000000</v>
      </c>
      <c r="E75" s="626">
        <v>13818000000</v>
      </c>
      <c r="F75" s="626">
        <v>13423000000</v>
      </c>
    </row>
    <row r="76" spans="1:6">
      <c r="A76" s="647" t="s">
        <v>656</v>
      </c>
      <c r="B76" s="626">
        <v>6859000000</v>
      </c>
      <c r="C76" s="626">
        <v>5483000000</v>
      </c>
      <c r="D76" s="626">
        <v>5464000000</v>
      </c>
      <c r="E76" s="626">
        <v>4813000000</v>
      </c>
      <c r="F76" s="626">
        <v>6082000000</v>
      </c>
    </row>
    <row r="77" spans="1:6">
      <c r="A77" s="647" t="s">
        <v>657</v>
      </c>
      <c r="B77" s="626">
        <v>858000000</v>
      </c>
      <c r="C77" s="626">
        <v>0</v>
      </c>
      <c r="D77" s="626">
        <v>4171000000</v>
      </c>
      <c r="E77" s="626">
        <v>3539000000</v>
      </c>
      <c r="F77" s="626">
        <v>2657000000</v>
      </c>
    </row>
    <row r="78" spans="1:6">
      <c r="A78" s="647" t="s">
        <v>658</v>
      </c>
      <c r="B78" s="626">
        <v>2834000000</v>
      </c>
      <c r="C78" s="626">
        <v>4734000000</v>
      </c>
      <c r="D78" s="626">
        <v>5931000000</v>
      </c>
      <c r="E78" s="626">
        <v>5466000000</v>
      </c>
      <c r="F78" s="626">
        <v>4684000000</v>
      </c>
    </row>
    <row r="79" spans="1:6">
      <c r="A79" s="647" t="s">
        <v>659</v>
      </c>
      <c r="B79" s="647" t="s">
        <v>494</v>
      </c>
      <c r="C79" s="647" t="s">
        <v>494</v>
      </c>
      <c r="D79" s="647" t="s">
        <v>494</v>
      </c>
      <c r="E79" s="647" t="s">
        <v>494</v>
      </c>
      <c r="F79" s="647" t="s">
        <v>494</v>
      </c>
    </row>
    <row r="80" spans="1:6">
      <c r="A80" s="647" t="s">
        <v>660</v>
      </c>
      <c r="B80" s="626">
        <v>9884000000</v>
      </c>
      <c r="C80" s="626">
        <v>9073000000</v>
      </c>
      <c r="D80" s="626">
        <v>9133000000</v>
      </c>
      <c r="E80" s="626">
        <v>11522000000</v>
      </c>
      <c r="F80" s="626">
        <v>11108000000</v>
      </c>
    </row>
    <row r="81" spans="1:6">
      <c r="A81" s="647" t="s">
        <v>661</v>
      </c>
      <c r="B81" s="626">
        <v>9884000000</v>
      </c>
      <c r="C81" s="626">
        <v>9073000000</v>
      </c>
      <c r="D81" s="626">
        <v>9133000000</v>
      </c>
      <c r="E81" s="626">
        <v>11522000000</v>
      </c>
      <c r="F81" s="626">
        <v>11108000000</v>
      </c>
    </row>
    <row r="82" spans="1:6">
      <c r="A82" s="647" t="s">
        <v>662</v>
      </c>
      <c r="B82" s="626">
        <v>1803000000</v>
      </c>
      <c r="C82" s="626">
        <v>578000000</v>
      </c>
      <c r="D82" s="626">
        <v>465000000</v>
      </c>
      <c r="E82" s="626">
        <v>546000000</v>
      </c>
      <c r="F82" s="626">
        <v>434000000</v>
      </c>
    </row>
    <row r="83" spans="1:6">
      <c r="A83" s="647" t="s">
        <v>663</v>
      </c>
      <c r="B83" s="626">
        <v>1803000000</v>
      </c>
      <c r="C83" s="626">
        <v>578000000</v>
      </c>
      <c r="D83" s="626">
        <v>465000000</v>
      </c>
      <c r="E83" s="626">
        <v>546000000</v>
      </c>
      <c r="F83" s="626">
        <v>434000000</v>
      </c>
    </row>
    <row r="84" spans="1:6">
      <c r="A84" s="647" t="s">
        <v>664</v>
      </c>
      <c r="B84" s="626">
        <v>8081000000</v>
      </c>
      <c r="C84" s="626">
        <v>8495000000</v>
      </c>
      <c r="D84" s="626">
        <v>8668000000</v>
      </c>
      <c r="E84" s="626">
        <v>10976000000</v>
      </c>
      <c r="F84" s="626">
        <v>10674000000</v>
      </c>
    </row>
    <row r="85" spans="1:6">
      <c r="A85" s="647" t="s">
        <v>665</v>
      </c>
      <c r="B85" s="626">
        <v>2383000000</v>
      </c>
      <c r="C85" s="626">
        <v>3063000000</v>
      </c>
      <c r="D85" s="626">
        <v>3111000000</v>
      </c>
      <c r="E85" s="626">
        <v>3776000000</v>
      </c>
      <c r="F85" s="626">
        <v>2132000000</v>
      </c>
    </row>
    <row r="86" spans="1:6">
      <c r="A86" s="647" t="s">
        <v>666</v>
      </c>
      <c r="B86" s="626">
        <v>5698000000</v>
      </c>
      <c r="C86" s="626">
        <v>5432000000</v>
      </c>
      <c r="D86" s="626">
        <v>5557000000</v>
      </c>
      <c r="E86" s="626">
        <v>7200000000</v>
      </c>
      <c r="F86" s="626">
        <v>8542000000</v>
      </c>
    </row>
    <row r="87" spans="1:6">
      <c r="A87" s="647" t="s">
        <v>667</v>
      </c>
      <c r="B87" s="626">
        <v>3502000000</v>
      </c>
      <c r="C87" s="626">
        <v>2144000000</v>
      </c>
      <c r="D87" s="626">
        <v>2215000000</v>
      </c>
      <c r="E87" s="626">
        <v>4964000000</v>
      </c>
      <c r="F87" s="626">
        <v>4011000000</v>
      </c>
    </row>
    <row r="88" spans="1:6">
      <c r="A88" s="647" t="s">
        <v>668</v>
      </c>
      <c r="B88" s="626">
        <v>3502000000</v>
      </c>
      <c r="C88" s="626">
        <v>2144000000</v>
      </c>
      <c r="D88" s="626">
        <v>2215000000</v>
      </c>
      <c r="E88" s="626">
        <v>2932000000</v>
      </c>
      <c r="F88" s="626">
        <v>2315000000</v>
      </c>
    </row>
    <row r="89" spans="1:6">
      <c r="A89" s="647" t="s">
        <v>669</v>
      </c>
      <c r="B89" s="626">
        <v>1549000000</v>
      </c>
      <c r="C89" s="626">
        <v>2144000000</v>
      </c>
      <c r="D89" s="647" t="s">
        <v>494</v>
      </c>
      <c r="E89" s="647" t="s">
        <v>494</v>
      </c>
      <c r="F89" s="647" t="s">
        <v>494</v>
      </c>
    </row>
    <row r="90" spans="1:6">
      <c r="A90" s="647" t="s">
        <v>670</v>
      </c>
      <c r="B90" s="626">
        <v>1953000000</v>
      </c>
      <c r="C90" s="647" t="s">
        <v>494</v>
      </c>
      <c r="D90" s="647" t="s">
        <v>494</v>
      </c>
      <c r="E90" s="647" t="s">
        <v>494</v>
      </c>
      <c r="F90" s="647" t="s">
        <v>494</v>
      </c>
    </row>
    <row r="91" spans="1:6">
      <c r="A91" s="647" t="s">
        <v>671</v>
      </c>
      <c r="B91" s="647" t="s">
        <v>494</v>
      </c>
      <c r="C91" s="647" t="s">
        <v>494</v>
      </c>
      <c r="D91" s="647" t="s">
        <v>494</v>
      </c>
      <c r="E91" s="626">
        <v>2032000000</v>
      </c>
      <c r="F91" s="626">
        <v>1696000000</v>
      </c>
    </row>
    <row r="92" spans="1:6">
      <c r="A92" s="647" t="s">
        <v>672</v>
      </c>
      <c r="B92" s="647" t="s">
        <v>494</v>
      </c>
      <c r="C92" s="647" t="s">
        <v>494</v>
      </c>
      <c r="D92" s="647" t="s">
        <v>494</v>
      </c>
      <c r="E92" s="647" t="s">
        <v>494</v>
      </c>
      <c r="F92" s="647" t="s">
        <v>494</v>
      </c>
    </row>
    <row r="93" spans="1:6">
      <c r="A93" s="647" t="s">
        <v>673</v>
      </c>
      <c r="B93" s="626">
        <v>685000000</v>
      </c>
      <c r="C93" s="626">
        <v>867000000</v>
      </c>
      <c r="D93" s="626">
        <v>1465000000</v>
      </c>
      <c r="E93" s="626">
        <v>541000000</v>
      </c>
      <c r="F93" s="626">
        <v>713000000</v>
      </c>
    </row>
    <row r="94" spans="1:6">
      <c r="A94" s="647" t="s">
        <v>674</v>
      </c>
      <c r="B94" s="626">
        <v>1603000000</v>
      </c>
      <c r="C94" s="626">
        <v>1875000000</v>
      </c>
      <c r="D94" s="626">
        <v>3001000000</v>
      </c>
      <c r="E94" s="626">
        <v>3015000000</v>
      </c>
      <c r="F94" s="626">
        <v>2205000000</v>
      </c>
    </row>
    <row r="95" spans="1:6">
      <c r="A95" s="647" t="s">
        <v>675</v>
      </c>
      <c r="B95" s="626">
        <v>103909000000</v>
      </c>
      <c r="C95" s="626">
        <v>80360000000</v>
      </c>
      <c r="D95" s="626">
        <v>85975000000</v>
      </c>
      <c r="E95" s="626">
        <v>104232000000</v>
      </c>
      <c r="F95" s="626">
        <v>90835000000</v>
      </c>
    </row>
    <row r="96" spans="1:6">
      <c r="A96" s="647" t="s">
        <v>676</v>
      </c>
      <c r="B96" s="626">
        <v>65654000000</v>
      </c>
      <c r="C96" s="626">
        <v>49670000000</v>
      </c>
      <c r="D96" s="626">
        <v>44666000000</v>
      </c>
      <c r="E96" s="626">
        <v>51078000000</v>
      </c>
      <c r="F96" s="626">
        <v>49203000000</v>
      </c>
    </row>
    <row r="97" spans="1:6">
      <c r="A97" s="647" t="s">
        <v>677</v>
      </c>
      <c r="B97" s="626">
        <v>65654000000</v>
      </c>
      <c r="C97" s="626">
        <v>49670000000</v>
      </c>
      <c r="D97" s="626">
        <v>44666000000</v>
      </c>
      <c r="E97" s="626">
        <v>51078000000</v>
      </c>
      <c r="F97" s="626">
        <v>49203000000</v>
      </c>
    </row>
    <row r="98" spans="1:6">
      <c r="A98" s="647" t="s">
        <v>678</v>
      </c>
      <c r="B98" s="626">
        <v>49702000000</v>
      </c>
      <c r="C98" s="626">
        <v>32059000000</v>
      </c>
      <c r="D98" s="626">
        <v>26378000000</v>
      </c>
      <c r="E98" s="626">
        <v>24479000000</v>
      </c>
      <c r="F98" s="626">
        <v>20596000000</v>
      </c>
    </row>
    <row r="99" spans="1:6">
      <c r="A99" s="647" t="s">
        <v>679</v>
      </c>
      <c r="B99" s="647" t="s">
        <v>494</v>
      </c>
      <c r="C99" s="647" t="s">
        <v>494</v>
      </c>
      <c r="D99" s="647" t="s">
        <v>494</v>
      </c>
      <c r="E99" s="647" t="s">
        <v>494</v>
      </c>
      <c r="F99" s="647" t="s">
        <v>494</v>
      </c>
    </row>
    <row r="100" spans="1:6">
      <c r="A100" s="647" t="s">
        <v>680</v>
      </c>
      <c r="B100" s="647" t="s">
        <v>494</v>
      </c>
      <c r="C100" s="647" t="s">
        <v>494</v>
      </c>
      <c r="D100" s="647" t="s">
        <v>494</v>
      </c>
      <c r="E100" s="647" t="s">
        <v>494</v>
      </c>
      <c r="F100" s="647" t="s">
        <v>494</v>
      </c>
    </row>
    <row r="101" spans="1:6">
      <c r="A101" s="647" t="s">
        <v>681</v>
      </c>
      <c r="B101" s="647" t="s">
        <v>494</v>
      </c>
      <c r="C101" s="647" t="s">
        <v>494</v>
      </c>
      <c r="D101" s="647" t="s">
        <v>494</v>
      </c>
      <c r="E101" s="647" t="s">
        <v>494</v>
      </c>
      <c r="F101" s="647" t="s">
        <v>494</v>
      </c>
    </row>
    <row r="102" spans="1:6">
      <c r="A102" s="647" t="s">
        <v>682</v>
      </c>
      <c r="B102" s="626">
        <v>15952000000</v>
      </c>
      <c r="C102" s="626">
        <v>17611000000</v>
      </c>
      <c r="D102" s="626">
        <v>18288000000</v>
      </c>
      <c r="E102" s="626">
        <v>26599000000</v>
      </c>
      <c r="F102" s="626">
        <v>28607000000</v>
      </c>
    </row>
    <row r="103" spans="1:6">
      <c r="A103" s="647" t="s">
        <v>683</v>
      </c>
      <c r="B103" s="626">
        <v>35499000000</v>
      </c>
      <c r="C103" s="626">
        <v>27011000000</v>
      </c>
      <c r="D103" s="626">
        <v>32285000000</v>
      </c>
      <c r="E103" s="626">
        <v>40055000000</v>
      </c>
      <c r="F103" s="626">
        <v>38012000000</v>
      </c>
    </row>
    <row r="104" spans="1:6">
      <c r="A104" s="647" t="s">
        <v>684</v>
      </c>
      <c r="B104" s="626">
        <v>14520000000</v>
      </c>
      <c r="C104" s="626">
        <v>9374000000</v>
      </c>
      <c r="D104" s="626">
        <v>10675000000</v>
      </c>
      <c r="E104" s="626">
        <v>15579000000</v>
      </c>
      <c r="F104" s="626">
        <v>10672000000</v>
      </c>
    </row>
    <row r="105" spans="1:6">
      <c r="A105" s="647" t="s">
        <v>685</v>
      </c>
      <c r="B105" s="626">
        <v>14520000000</v>
      </c>
      <c r="C105" s="626">
        <v>9374000000</v>
      </c>
      <c r="D105" s="647" t="s">
        <v>494</v>
      </c>
      <c r="E105" s="647" t="s">
        <v>494</v>
      </c>
      <c r="F105" s="647" t="s">
        <v>494</v>
      </c>
    </row>
    <row r="106" spans="1:6">
      <c r="A106" s="647" t="s">
        <v>686</v>
      </c>
      <c r="B106" s="626">
        <v>18780000000</v>
      </c>
      <c r="C106" s="626">
        <v>15619000000</v>
      </c>
      <c r="D106" s="626">
        <v>18600000000</v>
      </c>
      <c r="E106" s="626">
        <v>21171000000</v>
      </c>
      <c r="F106" s="626">
        <v>24507000000</v>
      </c>
    </row>
    <row r="107" spans="1:6">
      <c r="A107" s="647" t="s">
        <v>687</v>
      </c>
      <c r="B107" s="626">
        <v>2199000000</v>
      </c>
      <c r="C107" s="626">
        <v>2018000000</v>
      </c>
      <c r="D107" s="626">
        <v>3010000000</v>
      </c>
      <c r="E107" s="626">
        <v>3305000000</v>
      </c>
      <c r="F107" s="626">
        <v>2833000000</v>
      </c>
    </row>
    <row r="108" spans="1:6">
      <c r="A108" s="647" t="s">
        <v>688</v>
      </c>
      <c r="B108" s="626">
        <v>195000000</v>
      </c>
      <c r="C108" s="626">
        <v>1229000000</v>
      </c>
      <c r="D108" s="626">
        <v>6750000000</v>
      </c>
      <c r="E108" s="626">
        <v>10910000000</v>
      </c>
      <c r="F108" s="626">
        <v>1470000000</v>
      </c>
    </row>
    <row r="109" spans="1:6">
      <c r="A109" s="647" t="s">
        <v>689</v>
      </c>
      <c r="B109" s="626">
        <v>195000000</v>
      </c>
      <c r="C109" s="626">
        <v>1229000000</v>
      </c>
      <c r="D109" s="626">
        <v>6750000000</v>
      </c>
      <c r="E109" s="626">
        <v>10910000000</v>
      </c>
      <c r="F109" s="626">
        <v>1470000000</v>
      </c>
    </row>
    <row r="110" spans="1:6">
      <c r="A110" s="647" t="s">
        <v>690</v>
      </c>
      <c r="B110" s="626">
        <v>357000000</v>
      </c>
      <c r="C110" s="626">
        <v>300000000</v>
      </c>
      <c r="D110" s="626">
        <v>302000000</v>
      </c>
      <c r="E110" s="626">
        <v>299000000</v>
      </c>
      <c r="F110" s="626">
        <v>530000000</v>
      </c>
    </row>
    <row r="111" spans="1:6">
      <c r="A111" s="647" t="s">
        <v>691</v>
      </c>
      <c r="B111" s="626">
        <v>357000000</v>
      </c>
      <c r="C111" s="626">
        <v>300000000</v>
      </c>
      <c r="D111" s="626">
        <v>302000000</v>
      </c>
      <c r="E111" s="626">
        <v>299000000</v>
      </c>
      <c r="F111" s="626">
        <v>530000000</v>
      </c>
    </row>
    <row r="112" spans="1:6">
      <c r="A112" s="647" t="s">
        <v>692</v>
      </c>
      <c r="B112" s="626">
        <v>357000000</v>
      </c>
      <c r="C112" s="626">
        <v>300000000</v>
      </c>
      <c r="D112" s="626">
        <v>302000000</v>
      </c>
      <c r="E112" s="626">
        <v>299000000</v>
      </c>
      <c r="F112" s="626">
        <v>530000000</v>
      </c>
    </row>
    <row r="113" spans="1:6">
      <c r="A113" s="647" t="s">
        <v>693</v>
      </c>
      <c r="B113" s="626">
        <v>2204000000</v>
      </c>
      <c r="C113" s="626">
        <v>2150000000</v>
      </c>
      <c r="D113" s="626">
        <v>1972000000</v>
      </c>
      <c r="E113" s="626">
        <v>1890000000</v>
      </c>
      <c r="F113" s="626">
        <v>1620000000</v>
      </c>
    </row>
    <row r="114" spans="1:6">
      <c r="A114" s="647" t="s">
        <v>694</v>
      </c>
      <c r="B114" s="626">
        <v>59876000000</v>
      </c>
      <c r="C114" s="626">
        <v>69812000000</v>
      </c>
      <c r="D114" s="626">
        <v>69836000000</v>
      </c>
      <c r="E114" s="626">
        <v>78975000000</v>
      </c>
      <c r="F114" s="626">
        <v>59350000000</v>
      </c>
    </row>
    <row r="115" spans="1:6">
      <c r="A115" s="647" t="s">
        <v>695</v>
      </c>
      <c r="B115" s="626">
        <v>59348000000</v>
      </c>
      <c r="C115" s="626">
        <v>69407000000</v>
      </c>
      <c r="D115" s="626">
        <v>69492000000</v>
      </c>
      <c r="E115" s="626">
        <v>78583000000</v>
      </c>
      <c r="F115" s="626">
        <v>59106000000</v>
      </c>
    </row>
    <row r="116" spans="1:6">
      <c r="A116" s="647" t="s">
        <v>696</v>
      </c>
      <c r="B116" s="626">
        <v>107101000000</v>
      </c>
      <c r="C116" s="626">
        <v>107101000000</v>
      </c>
      <c r="D116" s="626">
        <v>107101000000</v>
      </c>
      <c r="E116" s="626">
        <v>107101000000</v>
      </c>
      <c r="F116" s="626">
        <v>107101000000</v>
      </c>
    </row>
    <row r="117" spans="1:6">
      <c r="A117" s="647" t="s">
        <v>697</v>
      </c>
      <c r="B117" s="626">
        <v>107101000000</v>
      </c>
      <c r="C117" s="626">
        <v>107101000000</v>
      </c>
      <c r="D117" s="626">
        <v>107101000000</v>
      </c>
      <c r="E117" s="626">
        <v>107101000000</v>
      </c>
      <c r="F117" s="626">
        <v>107101000000</v>
      </c>
    </row>
    <row r="118" spans="1:6">
      <c r="A118" s="647" t="s">
        <v>698</v>
      </c>
      <c r="B118" s="626">
        <v>107101000000</v>
      </c>
      <c r="C118" s="626">
        <v>107101000000</v>
      </c>
      <c r="D118" s="626">
        <v>107101000000</v>
      </c>
      <c r="E118" s="626">
        <v>107101000000</v>
      </c>
      <c r="F118" s="626">
        <v>107101000000</v>
      </c>
    </row>
    <row r="119" spans="1:6">
      <c r="A119" s="647" t="s">
        <v>699</v>
      </c>
      <c r="B119" s="626">
        <v>-47753000000</v>
      </c>
      <c r="C119" s="626">
        <v>-37694000000</v>
      </c>
      <c r="D119" s="626">
        <v>-37609000000</v>
      </c>
      <c r="E119" s="626">
        <v>-28518000000</v>
      </c>
      <c r="F119" s="626">
        <v>-47995000000</v>
      </c>
    </row>
    <row r="120" spans="1:6">
      <c r="A120" s="647" t="s">
        <v>700</v>
      </c>
      <c r="B120" s="626">
        <v>65917000000</v>
      </c>
      <c r="C120" s="626">
        <v>72811000000</v>
      </c>
      <c r="D120" s="626">
        <v>66434000000</v>
      </c>
      <c r="E120" s="626">
        <v>72641000000</v>
      </c>
      <c r="F120" s="626">
        <v>61446000000</v>
      </c>
    </row>
    <row r="121" spans="1:6">
      <c r="A121" s="647" t="s">
        <v>701</v>
      </c>
      <c r="B121" s="626">
        <v>1064000000</v>
      </c>
      <c r="C121" s="626">
        <v>1143000000</v>
      </c>
      <c r="D121" s="626">
        <v>1144000000</v>
      </c>
      <c r="E121" s="626">
        <v>410000000</v>
      </c>
      <c r="F121" s="626">
        <v>29000000</v>
      </c>
    </row>
    <row r="122" spans="1:6">
      <c r="A122" s="647" t="s">
        <v>702</v>
      </c>
      <c r="B122" s="626">
        <v>-114734000000</v>
      </c>
      <c r="C122" s="626">
        <v>-111648000000</v>
      </c>
      <c r="D122" s="626">
        <v>-105187000000</v>
      </c>
      <c r="E122" s="626">
        <v>-101569000000</v>
      </c>
      <c r="F122" s="626">
        <v>-109470000000</v>
      </c>
    </row>
    <row r="123" spans="1:6">
      <c r="A123" s="647" t="s">
        <v>703</v>
      </c>
      <c r="B123" s="647" t="s">
        <v>494</v>
      </c>
      <c r="C123" s="647" t="s">
        <v>494</v>
      </c>
      <c r="D123" s="647" t="s">
        <v>494</v>
      </c>
      <c r="E123" s="647" t="s">
        <v>494</v>
      </c>
      <c r="F123" s="647" t="s">
        <v>494</v>
      </c>
    </row>
    <row r="124" spans="1:6">
      <c r="A124" s="647" t="s">
        <v>704</v>
      </c>
      <c r="B124" s="626">
        <v>528000000</v>
      </c>
      <c r="C124" s="626">
        <v>405000000</v>
      </c>
      <c r="D124" s="626">
        <v>344000000</v>
      </c>
      <c r="E124" s="626">
        <v>392000000</v>
      </c>
      <c r="F124" s="626">
        <v>244000000</v>
      </c>
    </row>
    <row r="125" spans="1:6">
      <c r="A125" s="647" t="s">
        <v>705</v>
      </c>
      <c r="B125" s="626">
        <v>53888000000</v>
      </c>
      <c r="C125" s="626">
        <v>35700000000</v>
      </c>
      <c r="D125" s="626">
        <v>29954000000</v>
      </c>
      <c r="E125" s="626">
        <v>28801000000</v>
      </c>
      <c r="F125" s="626">
        <v>23162000000</v>
      </c>
    </row>
    <row r="126" spans="1:6">
      <c r="A126" s="647" t="s">
        <v>706</v>
      </c>
      <c r="B126" s="626">
        <v>4186000000</v>
      </c>
      <c r="C126" s="626">
        <v>3641000000</v>
      </c>
      <c r="D126" s="626">
        <v>3576000000</v>
      </c>
      <c r="E126" s="626">
        <v>4322000000</v>
      </c>
      <c r="F126" s="626">
        <v>2566000000</v>
      </c>
    </row>
    <row r="127" spans="1:6">
      <c r="A127" s="647" t="s">
        <v>707</v>
      </c>
      <c r="B127" s="626">
        <v>3282000000</v>
      </c>
      <c r="C127" s="626">
        <v>2973000000</v>
      </c>
      <c r="D127" s="626">
        <v>3943000000</v>
      </c>
      <c r="E127" s="626">
        <v>3066000000</v>
      </c>
      <c r="F127" s="626">
        <v>1864000000</v>
      </c>
    </row>
    <row r="128" spans="1:6">
      <c r="A128" s="647" t="s">
        <v>708</v>
      </c>
      <c r="B128" s="626">
        <v>5892000000</v>
      </c>
      <c r="C128" s="626">
        <v>3988000000</v>
      </c>
      <c r="D128" s="626">
        <v>3079000000</v>
      </c>
      <c r="E128" s="626">
        <v>2551000000</v>
      </c>
      <c r="F128" s="626">
        <v>2264000000</v>
      </c>
    </row>
    <row r="129" spans="1:6">
      <c r="A129" s="647" t="s">
        <v>709</v>
      </c>
      <c r="B129" s="626">
        <v>5961000000</v>
      </c>
      <c r="C129" s="626">
        <v>3449000000</v>
      </c>
      <c r="D129" s="626">
        <v>2523000000</v>
      </c>
      <c r="E129" s="626">
        <v>2547000000</v>
      </c>
      <c r="F129" s="626">
        <v>1791000000</v>
      </c>
    </row>
    <row r="130" spans="1:6">
      <c r="A130" s="647" t="s">
        <v>710</v>
      </c>
      <c r="B130" s="626">
        <v>6229000000</v>
      </c>
      <c r="C130" s="626">
        <v>2832000000</v>
      </c>
      <c r="D130" s="626">
        <v>2892000000</v>
      </c>
      <c r="E130" s="626">
        <v>1816000000</v>
      </c>
      <c r="F130" s="626">
        <v>1780000000</v>
      </c>
    </row>
    <row r="131" spans="1:6">
      <c r="A131" s="647" t="s">
        <v>711</v>
      </c>
      <c r="B131" s="626">
        <v>28338000000</v>
      </c>
      <c r="C131" s="626">
        <v>18817000000</v>
      </c>
      <c r="D131" s="626">
        <v>13941000000</v>
      </c>
      <c r="E131" s="626">
        <v>14499000000</v>
      </c>
      <c r="F131" s="626">
        <v>12897000000</v>
      </c>
    </row>
    <row r="132" spans="1:6">
      <c r="A132" s="647" t="s">
        <v>712</v>
      </c>
      <c r="B132" s="626">
        <v>21650000000</v>
      </c>
      <c r="C132" s="626">
        <v>31427000000</v>
      </c>
      <c r="D132" s="626">
        <v>23845000000</v>
      </c>
      <c r="E132" s="626">
        <v>33799000000</v>
      </c>
      <c r="F132" s="626">
        <v>37149000000</v>
      </c>
    </row>
    <row r="133" spans="1:6">
      <c r="A133" s="647" t="s">
        <v>713</v>
      </c>
      <c r="B133" s="626">
        <v>5756000000</v>
      </c>
      <c r="C133" s="626">
        <v>5567000000</v>
      </c>
      <c r="D133" s="626">
        <v>5710000000</v>
      </c>
      <c r="E133" s="626">
        <v>7442000000</v>
      </c>
      <c r="F133" s="626">
        <v>8837000000</v>
      </c>
    </row>
    <row r="134" spans="1:6">
      <c r="A134" s="647" t="s">
        <v>714</v>
      </c>
      <c r="B134" s="626">
        <v>4310000000</v>
      </c>
      <c r="C134" s="626">
        <v>3944000000</v>
      </c>
      <c r="D134" s="626">
        <v>4621000000</v>
      </c>
      <c r="E134" s="626">
        <v>6137000000</v>
      </c>
      <c r="F134" s="626">
        <v>6140000000</v>
      </c>
    </row>
    <row r="135" spans="1:6">
      <c r="A135" s="647" t="s">
        <v>715</v>
      </c>
      <c r="B135" s="626">
        <v>2896000000</v>
      </c>
      <c r="C135" s="626">
        <v>3027000000</v>
      </c>
      <c r="D135" s="626">
        <v>3380000000</v>
      </c>
      <c r="E135" s="626">
        <v>4547000000</v>
      </c>
      <c r="F135" s="626">
        <v>4817000000</v>
      </c>
    </row>
    <row r="136" spans="1:6">
      <c r="A136" s="647" t="s">
        <v>716</v>
      </c>
      <c r="B136" s="626">
        <v>2250000000</v>
      </c>
      <c r="C136" s="626">
        <v>2309000000</v>
      </c>
      <c r="D136" s="626">
        <v>2394000000</v>
      </c>
      <c r="E136" s="626">
        <v>3367000000</v>
      </c>
      <c r="F136" s="626">
        <v>3476000000</v>
      </c>
    </row>
    <row r="137" spans="1:6">
      <c r="A137" s="647" t="s">
        <v>717</v>
      </c>
      <c r="B137" s="626">
        <v>1825000000</v>
      </c>
      <c r="C137" s="626">
        <v>1972000000</v>
      </c>
      <c r="D137" s="626">
        <v>2122000000</v>
      </c>
      <c r="E137" s="626">
        <v>2708000000</v>
      </c>
      <c r="F137" s="626">
        <v>2904000000</v>
      </c>
    </row>
    <row r="138" spans="1:6">
      <c r="A138" s="647" t="s">
        <v>718</v>
      </c>
      <c r="B138" s="626">
        <v>11983000000</v>
      </c>
      <c r="C138" s="626">
        <v>14608000000</v>
      </c>
      <c r="D138" s="626">
        <v>14498000000</v>
      </c>
      <c r="E138" s="626">
        <v>25939000000</v>
      </c>
      <c r="F138" s="626">
        <v>28943000000</v>
      </c>
    </row>
    <row r="139" spans="1:6">
      <c r="A139" s="647" t="s">
        <v>719</v>
      </c>
      <c r="B139" s="626">
        <v>-7370000000</v>
      </c>
      <c r="C139" s="626" t="s">
        <v>494</v>
      </c>
      <c r="D139" s="626">
        <v>-8880000000</v>
      </c>
      <c r="E139" s="626">
        <v>-16341000000</v>
      </c>
      <c r="F139" s="626">
        <v>-17968000000</v>
      </c>
    </row>
    <row r="140" spans="1:6">
      <c r="A140" s="647" t="s">
        <v>720</v>
      </c>
      <c r="B140" s="626">
        <v>21650000000</v>
      </c>
      <c r="C140" s="626">
        <v>31427000000</v>
      </c>
      <c r="D140" s="626">
        <v>23845000000</v>
      </c>
      <c r="E140" s="626">
        <v>33799000000</v>
      </c>
      <c r="F140" s="626">
        <v>37149000000</v>
      </c>
    </row>
    <row r="141" spans="1:6">
      <c r="A141" s="647" t="s">
        <v>721</v>
      </c>
      <c r="B141" s="626">
        <v>5756000000</v>
      </c>
      <c r="C141" s="626">
        <v>5567000000</v>
      </c>
      <c r="D141" s="626">
        <v>5710000000</v>
      </c>
      <c r="E141" s="626">
        <v>7442000000</v>
      </c>
      <c r="F141" s="626">
        <v>8837000000</v>
      </c>
    </row>
    <row r="142" spans="1:6">
      <c r="A142" s="647" t="s">
        <v>722</v>
      </c>
      <c r="B142" s="626">
        <v>4310000000</v>
      </c>
      <c r="C142" s="626">
        <v>3944000000</v>
      </c>
      <c r="D142" s="626">
        <v>4621000000</v>
      </c>
      <c r="E142" s="626">
        <v>6137000000</v>
      </c>
      <c r="F142" s="626">
        <v>6140000000</v>
      </c>
    </row>
    <row r="143" spans="1:6">
      <c r="A143" s="647" t="s">
        <v>723</v>
      </c>
      <c r="B143" s="626">
        <v>2896000000</v>
      </c>
      <c r="C143" s="626">
        <v>3027000000</v>
      </c>
      <c r="D143" s="626">
        <v>3380000000</v>
      </c>
      <c r="E143" s="626">
        <v>4547000000</v>
      </c>
      <c r="F143" s="626">
        <v>4817000000</v>
      </c>
    </row>
    <row r="144" spans="1:6">
      <c r="A144" s="647" t="s">
        <v>724</v>
      </c>
      <c r="B144" s="626">
        <v>2250000000</v>
      </c>
      <c r="C144" s="626">
        <v>2309000000</v>
      </c>
      <c r="D144" s="626">
        <v>2394000000</v>
      </c>
      <c r="E144" s="626">
        <v>3367000000</v>
      </c>
      <c r="F144" s="626">
        <v>3476000000</v>
      </c>
    </row>
    <row r="145" spans="1:6">
      <c r="A145" s="647" t="s">
        <v>725</v>
      </c>
      <c r="B145" s="626">
        <v>1825000000</v>
      </c>
      <c r="C145" s="626">
        <v>1972000000</v>
      </c>
      <c r="D145" s="626">
        <v>2122000000</v>
      </c>
      <c r="E145" s="626">
        <v>2708000000</v>
      </c>
      <c r="F145" s="626">
        <v>2904000000</v>
      </c>
    </row>
    <row r="146" spans="1:6">
      <c r="A146" s="647" t="s">
        <v>726</v>
      </c>
      <c r="B146" s="626">
        <v>11983000000</v>
      </c>
      <c r="C146" s="626">
        <v>14608000000</v>
      </c>
      <c r="D146" s="626">
        <v>14498000000</v>
      </c>
      <c r="E146" s="626">
        <v>25939000000</v>
      </c>
      <c r="F146" s="626">
        <v>28943000000</v>
      </c>
    </row>
    <row r="147" spans="1:6">
      <c r="A147" s="647" t="s">
        <v>727</v>
      </c>
      <c r="B147" s="626">
        <v>-7370000000</v>
      </c>
      <c r="C147" s="626" t="s">
        <v>494</v>
      </c>
      <c r="D147" s="626">
        <v>-8880000000</v>
      </c>
      <c r="E147" s="626">
        <v>-16341000000</v>
      </c>
      <c r="F147" s="626">
        <v>-17968000000</v>
      </c>
    </row>
    <row r="148" spans="1:6">
      <c r="A148" s="647" t="s">
        <v>728</v>
      </c>
      <c r="B148" s="626">
        <v>275662000000</v>
      </c>
      <c r="C148" s="626">
        <v>67127000000</v>
      </c>
      <c r="D148" s="626">
        <v>53799000000</v>
      </c>
      <c r="E148" s="626">
        <v>62600000000</v>
      </c>
      <c r="F148" s="626">
        <v>60311000000</v>
      </c>
    </row>
    <row r="149" spans="1:6">
      <c r="A149" s="647" t="s">
        <v>729</v>
      </c>
      <c r="B149" s="626">
        <v>24912000000</v>
      </c>
      <c r="C149" s="626">
        <v>9208000000</v>
      </c>
      <c r="D149" s="626">
        <v>9286000000</v>
      </c>
      <c r="E149" s="626">
        <v>11764000000</v>
      </c>
      <c r="F149" s="626">
        <v>11403000000</v>
      </c>
    </row>
    <row r="150" spans="1:6">
      <c r="A150" s="647" t="s">
        <v>730</v>
      </c>
      <c r="B150" s="626">
        <v>7592000000</v>
      </c>
      <c r="C150" s="626">
        <v>6917000000</v>
      </c>
      <c r="D150" s="626">
        <v>8564000000</v>
      </c>
      <c r="E150" s="626">
        <v>9203000000</v>
      </c>
      <c r="F150" s="626">
        <v>8004000000</v>
      </c>
    </row>
    <row r="151" spans="1:6">
      <c r="A151" s="647" t="s">
        <v>731</v>
      </c>
      <c r="B151" s="626">
        <v>54622000000</v>
      </c>
      <c r="C151" s="626">
        <v>7015000000</v>
      </c>
      <c r="D151" s="626">
        <v>6459000000</v>
      </c>
      <c r="E151" s="626">
        <v>7098000000</v>
      </c>
      <c r="F151" s="626">
        <v>7081000000</v>
      </c>
    </row>
    <row r="152" spans="1:6">
      <c r="A152" s="647" t="s">
        <v>732</v>
      </c>
      <c r="B152" s="626">
        <v>8211000000</v>
      </c>
      <c r="C152" s="626">
        <v>5758000000</v>
      </c>
      <c r="D152" s="626">
        <v>4917000000</v>
      </c>
      <c r="E152" s="626">
        <v>5914000000</v>
      </c>
      <c r="F152" s="626">
        <v>5267000000</v>
      </c>
    </row>
    <row r="153" spans="1:6">
      <c r="A153" s="647" t="s">
        <v>733</v>
      </c>
      <c r="B153" s="626">
        <v>41021000000</v>
      </c>
      <c r="C153" s="626">
        <v>4804000000</v>
      </c>
      <c r="D153" s="626">
        <v>5014000000</v>
      </c>
      <c r="E153" s="626">
        <v>4524000000</v>
      </c>
      <c r="F153" s="626">
        <v>4684000000</v>
      </c>
    </row>
    <row r="154" spans="1:6">
      <c r="A154" s="647" t="s">
        <v>734</v>
      </c>
      <c r="B154" s="626">
        <v>146674000000</v>
      </c>
      <c r="C154" s="626">
        <v>33425000000</v>
      </c>
      <c r="D154" s="626">
        <v>28439000000</v>
      </c>
      <c r="E154" s="626">
        <v>40438000000</v>
      </c>
      <c r="F154" s="626">
        <v>41840000000</v>
      </c>
    </row>
    <row r="155" spans="1:6">
      <c r="A155" s="647" t="s">
        <v>735</v>
      </c>
      <c r="B155" s="626">
        <v>-7370000000</v>
      </c>
      <c r="C155" s="647" t="s">
        <v>494</v>
      </c>
      <c r="D155" s="626">
        <v>-8880000000</v>
      </c>
      <c r="E155" s="626">
        <v>-16341000000</v>
      </c>
      <c r="F155" s="626">
        <v>-17968000000</v>
      </c>
    </row>
    <row r="156" spans="1:6">
      <c r="A156" s="647" t="s">
        <v>736</v>
      </c>
      <c r="B156" s="626">
        <v>200124000000</v>
      </c>
      <c r="C156" s="647" t="s">
        <v>494</v>
      </c>
      <c r="D156" s="647" t="s">
        <v>494</v>
      </c>
      <c r="E156" s="647" t="s">
        <v>494</v>
      </c>
      <c r="F156" s="647" t="s">
        <v>494</v>
      </c>
    </row>
    <row r="157" spans="1:6">
      <c r="A157" s="647" t="s">
        <v>737</v>
      </c>
      <c r="B157" s="626">
        <v>14970000000</v>
      </c>
      <c r="C157" s="647" t="s">
        <v>494</v>
      </c>
      <c r="D157" s="647" t="s">
        <v>494</v>
      </c>
      <c r="E157" s="647" t="s">
        <v>494</v>
      </c>
      <c r="F157" s="647" t="s">
        <v>494</v>
      </c>
    </row>
    <row r="158" spans="1:6">
      <c r="A158" s="647" t="s">
        <v>738</v>
      </c>
      <c r="B158" s="626">
        <v>45834000000</v>
      </c>
      <c r="C158" s="647" t="s">
        <v>494</v>
      </c>
      <c r="D158" s="647" t="s">
        <v>494</v>
      </c>
      <c r="E158" s="647" t="s">
        <v>494</v>
      </c>
      <c r="F158" s="647" t="s">
        <v>494</v>
      </c>
    </row>
    <row r="159" spans="1:6">
      <c r="A159" s="647" t="s">
        <v>739</v>
      </c>
      <c r="B159" s="626">
        <v>32967000000</v>
      </c>
      <c r="C159" s="647" t="s">
        <v>494</v>
      </c>
      <c r="D159" s="647" t="s">
        <v>494</v>
      </c>
      <c r="E159" s="647" t="s">
        <v>494</v>
      </c>
      <c r="F159" s="647" t="s">
        <v>494</v>
      </c>
    </row>
    <row r="160" spans="1:6">
      <c r="A160" s="647" t="s">
        <v>740</v>
      </c>
      <c r="B160" s="626">
        <v>106353000000</v>
      </c>
      <c r="C160" s="647" t="s">
        <v>494</v>
      </c>
      <c r="D160" s="647" t="s">
        <v>494</v>
      </c>
      <c r="E160" s="647" t="s">
        <v>494</v>
      </c>
      <c r="F160" s="647" t="s">
        <v>494</v>
      </c>
    </row>
    <row r="161" spans="1:6">
      <c r="A161" s="647" t="s">
        <v>741</v>
      </c>
      <c r="B161" s="647" t="s">
        <v>494</v>
      </c>
      <c r="C161" s="647" t="s">
        <v>494</v>
      </c>
      <c r="D161" s="647" t="s">
        <v>494</v>
      </c>
      <c r="E161" s="647" t="s">
        <v>494</v>
      </c>
      <c r="F161" s="647" t="s">
        <v>494</v>
      </c>
    </row>
    <row r="162" spans="1:6">
      <c r="A162" s="647" t="s">
        <v>742</v>
      </c>
      <c r="B162" s="647" t="s">
        <v>494</v>
      </c>
      <c r="C162" s="647" t="s">
        <v>494</v>
      </c>
      <c r="D162" s="647" t="s">
        <v>494</v>
      </c>
      <c r="E162" s="647" t="s">
        <v>494</v>
      </c>
      <c r="F162" s="647" t="s">
        <v>494</v>
      </c>
    </row>
    <row r="163" spans="1:6">
      <c r="A163" s="647" t="s">
        <v>743</v>
      </c>
      <c r="B163" s="647" t="s">
        <v>494</v>
      </c>
      <c r="C163" s="647" t="s">
        <v>494</v>
      </c>
      <c r="D163" s="647" t="s">
        <v>494</v>
      </c>
      <c r="E163" s="647" t="s">
        <v>494</v>
      </c>
      <c r="F163" s="647" t="s">
        <v>494</v>
      </c>
    </row>
    <row r="164" spans="1:6">
      <c r="A164" s="647" t="s">
        <v>744</v>
      </c>
      <c r="B164" s="647" t="s">
        <v>494</v>
      </c>
      <c r="C164" s="647" t="s">
        <v>494</v>
      </c>
      <c r="D164" s="647" t="s">
        <v>494</v>
      </c>
      <c r="E164" s="647" t="s">
        <v>494</v>
      </c>
      <c r="F164" s="647" t="s">
        <v>494</v>
      </c>
    </row>
    <row r="165" spans="1:6">
      <c r="A165" s="647" t="s">
        <v>745</v>
      </c>
      <c r="B165" s="647" t="s">
        <v>494</v>
      </c>
      <c r="C165" s="647" t="s">
        <v>494</v>
      </c>
      <c r="D165" s="647" t="s">
        <v>494</v>
      </c>
      <c r="E165" s="647" t="s">
        <v>494</v>
      </c>
      <c r="F165" s="647" t="s">
        <v>494</v>
      </c>
    </row>
    <row r="166" spans="1:6">
      <c r="A166" s="647" t="s">
        <v>746</v>
      </c>
      <c r="B166" s="647" t="s">
        <v>494</v>
      </c>
      <c r="C166" s="647" t="s">
        <v>494</v>
      </c>
      <c r="D166" s="647" t="s">
        <v>494</v>
      </c>
      <c r="E166" s="647" t="s">
        <v>494</v>
      </c>
      <c r="F166" s="647" t="s">
        <v>494</v>
      </c>
    </row>
    <row r="167" spans="1:6">
      <c r="A167" s="647" t="s">
        <v>747</v>
      </c>
      <c r="B167" s="647" t="s">
        <v>494</v>
      </c>
      <c r="C167" s="647" t="s">
        <v>494</v>
      </c>
      <c r="D167" s="647" t="s">
        <v>494</v>
      </c>
      <c r="E167" s="647" t="s">
        <v>494</v>
      </c>
      <c r="F167" s="647" t="s">
        <v>494</v>
      </c>
    </row>
    <row r="168" spans="1:6">
      <c r="A168" s="647" t="s">
        <v>582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1651-7211-BC4F-B5E9-B8203E32A336}">
  <sheetPr codeName="Sheet16"/>
  <dimension ref="A1:G81"/>
  <sheetViews>
    <sheetView workbookViewId="0">
      <selection activeCell="A66" sqref="A66"/>
    </sheetView>
  </sheetViews>
  <sheetFormatPr defaultColWidth="10.77734375" defaultRowHeight="13.2"/>
  <cols>
    <col min="1" max="1" width="59.77734375" style="647" customWidth="1"/>
    <col min="2" max="2" width="37.109375" style="647" customWidth="1"/>
    <col min="3" max="5" width="18.77734375" style="647" bestFit="1" customWidth="1"/>
    <col min="6" max="6" width="19" style="647" bestFit="1" customWidth="1"/>
    <col min="7" max="7" width="12" style="647" bestFit="1" customWidth="1"/>
    <col min="8" max="256" width="8.77734375" style="647" customWidth="1"/>
    <col min="257" max="16384" width="10.77734375" style="647"/>
  </cols>
  <sheetData>
    <row r="1" spans="1:7">
      <c r="A1" s="646" t="s">
        <v>748</v>
      </c>
      <c r="B1" s="646" t="s">
        <v>486</v>
      </c>
      <c r="C1" s="646" t="s">
        <v>487</v>
      </c>
      <c r="D1" s="646" t="s">
        <v>488</v>
      </c>
      <c r="E1" s="646" t="s">
        <v>489</v>
      </c>
      <c r="F1" s="646" t="s">
        <v>490</v>
      </c>
      <c r="G1" s="646"/>
    </row>
    <row r="2" spans="1:7">
      <c r="A2" s="648" t="s">
        <v>749</v>
      </c>
      <c r="B2" s="651">
        <v>28890000000</v>
      </c>
      <c r="C2" s="626">
        <v>37791000000</v>
      </c>
      <c r="D2" s="626">
        <v>49717000000</v>
      </c>
      <c r="E2" s="626">
        <v>43212000000</v>
      </c>
      <c r="F2" s="626">
        <v>37984000000</v>
      </c>
      <c r="G2" s="626"/>
    </row>
    <row r="3" spans="1:7">
      <c r="A3" s="647" t="s">
        <v>750</v>
      </c>
      <c r="B3" s="626">
        <v>28890000000</v>
      </c>
      <c r="C3" s="626">
        <v>37791000000</v>
      </c>
      <c r="D3" s="626">
        <v>47087000000</v>
      </c>
      <c r="E3" s="626">
        <v>43212000000</v>
      </c>
      <c r="F3" s="626">
        <v>37984000000</v>
      </c>
      <c r="G3" s="626"/>
    </row>
    <row r="4" spans="1:7">
      <c r="A4" s="647" t="s">
        <v>751</v>
      </c>
      <c r="B4" s="626">
        <v>29222000000</v>
      </c>
      <c r="C4" s="626">
        <v>39929000000</v>
      </c>
      <c r="D4" s="626">
        <v>58603000000</v>
      </c>
      <c r="E4" s="626">
        <v>53244000000</v>
      </c>
      <c r="F4" s="626">
        <v>44891000000</v>
      </c>
      <c r="G4" s="626"/>
    </row>
    <row r="5" spans="1:7" s="648" customFormat="1">
      <c r="A5" s="648" t="s">
        <v>752</v>
      </c>
      <c r="B5" s="649">
        <v>948000000</v>
      </c>
      <c r="C5" s="649">
        <v>19986000000</v>
      </c>
      <c r="D5" s="649">
        <v>36755000000</v>
      </c>
      <c r="E5" s="649">
        <v>24995000000</v>
      </c>
      <c r="F5" s="649">
        <v>7605000000</v>
      </c>
      <c r="G5" s="649"/>
    </row>
    <row r="6" spans="1:7">
      <c r="A6" s="647" t="s">
        <v>753</v>
      </c>
      <c r="B6" s="626">
        <v>25844000000</v>
      </c>
      <c r="C6" s="626">
        <v>20501000000</v>
      </c>
      <c r="D6" s="626">
        <v>31021000000</v>
      </c>
      <c r="E6" s="626">
        <v>32014000000</v>
      </c>
      <c r="F6" s="626">
        <v>40959000000</v>
      </c>
      <c r="G6" s="626"/>
    </row>
    <row r="7" spans="1:7" s="648" customFormat="1">
      <c r="A7" s="648" t="s">
        <v>754</v>
      </c>
      <c r="B7" s="649">
        <v>11445000000</v>
      </c>
      <c r="C7" s="649">
        <v>11695000000</v>
      </c>
      <c r="D7" s="649">
        <v>13218000000</v>
      </c>
      <c r="E7" s="649">
        <v>13280000000</v>
      </c>
      <c r="F7" s="649">
        <v>12479000000</v>
      </c>
      <c r="G7" s="649"/>
    </row>
    <row r="8" spans="1:7">
      <c r="A8" s="647" t="s">
        <v>755</v>
      </c>
      <c r="B8" s="647" t="s">
        <v>494</v>
      </c>
      <c r="C8" s="647" t="s">
        <v>494</v>
      </c>
      <c r="D8" s="626">
        <v>13218000000</v>
      </c>
      <c r="E8" s="626">
        <v>13280000000</v>
      </c>
      <c r="F8" s="626">
        <v>12479000000</v>
      </c>
    </row>
    <row r="9" spans="1:7">
      <c r="A9" s="647" t="s">
        <v>756</v>
      </c>
      <c r="B9" s="647" t="s">
        <v>494</v>
      </c>
      <c r="C9" s="647" t="s">
        <v>494</v>
      </c>
      <c r="D9" s="626">
        <v>13141000000</v>
      </c>
      <c r="E9" s="626">
        <v>13176000000</v>
      </c>
      <c r="F9" s="626">
        <v>12345000000</v>
      </c>
    </row>
    <row r="10" spans="1:7">
      <c r="A10" s="647" t="s">
        <v>757</v>
      </c>
      <c r="B10" s="647" t="s">
        <v>494</v>
      </c>
      <c r="C10" s="647" t="s">
        <v>494</v>
      </c>
      <c r="D10" s="626">
        <v>77000000</v>
      </c>
      <c r="E10" s="626">
        <v>104000000</v>
      </c>
      <c r="F10" s="626">
        <v>134000000</v>
      </c>
    </row>
    <row r="11" spans="1:7">
      <c r="A11" s="647" t="s">
        <v>758</v>
      </c>
      <c r="B11" s="626">
        <v>-1001000000</v>
      </c>
      <c r="C11" s="626">
        <v>2098000000</v>
      </c>
      <c r="D11" s="626">
        <v>1228000000</v>
      </c>
      <c r="E11" s="626">
        <v>1542000000</v>
      </c>
      <c r="F11" s="626">
        <v>2934000000</v>
      </c>
      <c r="G11" s="626"/>
    </row>
    <row r="12" spans="1:7">
      <c r="A12" s="647" t="s">
        <v>759</v>
      </c>
      <c r="B12" s="626">
        <v>-4916000000</v>
      </c>
      <c r="C12" s="626">
        <v>3072000000</v>
      </c>
      <c r="D12" s="626">
        <v>16769000000</v>
      </c>
      <c r="E12" s="626">
        <v>10401000000</v>
      </c>
      <c r="F12" s="626">
        <v>3537000000</v>
      </c>
      <c r="G12" s="626"/>
    </row>
    <row r="13" spans="1:7">
      <c r="A13" s="647" t="s">
        <v>760</v>
      </c>
      <c r="B13" s="626">
        <v>144000000</v>
      </c>
      <c r="C13" s="626">
        <v>-30000000</v>
      </c>
      <c r="D13" s="626">
        <v>65000000</v>
      </c>
      <c r="E13" s="626">
        <v>40000000</v>
      </c>
      <c r="F13" s="626">
        <v>260000000</v>
      </c>
      <c r="G13" s="626"/>
    </row>
    <row r="14" spans="1:7">
      <c r="A14" s="647" t="s">
        <v>761</v>
      </c>
      <c r="B14" s="626">
        <v>11753000000</v>
      </c>
      <c r="C14" s="626">
        <v>9188000000</v>
      </c>
      <c r="D14" s="626">
        <v>4306000000</v>
      </c>
      <c r="E14" s="626">
        <v>2802000000</v>
      </c>
      <c r="F14" s="626">
        <v>16034000000</v>
      </c>
      <c r="G14" s="626"/>
    </row>
    <row r="15" spans="1:7">
      <c r="A15" s="647" t="s">
        <v>762</v>
      </c>
      <c r="B15" s="626">
        <v>659000000</v>
      </c>
      <c r="C15" s="626">
        <v>-1607000000</v>
      </c>
      <c r="D15" s="626">
        <v>-251000000</v>
      </c>
      <c r="E15" s="626">
        <v>304000000</v>
      </c>
      <c r="F15" s="626">
        <v>627000000</v>
      </c>
      <c r="G15" s="626"/>
    </row>
    <row r="16" spans="1:7">
      <c r="A16" s="647" t="s">
        <v>763</v>
      </c>
      <c r="B16" s="626">
        <v>11094000000</v>
      </c>
      <c r="C16" s="626">
        <v>10795000000</v>
      </c>
      <c r="D16" s="626">
        <v>4557000000</v>
      </c>
      <c r="E16" s="626">
        <v>2498000000</v>
      </c>
      <c r="F16" s="626">
        <v>15407000000</v>
      </c>
      <c r="G16" s="626"/>
    </row>
    <row r="17" spans="1:7">
      <c r="A17" s="647" t="s">
        <v>764</v>
      </c>
      <c r="B17" s="647" t="s">
        <v>494</v>
      </c>
      <c r="C17" s="647" t="s">
        <v>494</v>
      </c>
      <c r="D17" s="647" t="s">
        <v>494</v>
      </c>
      <c r="E17" s="647" t="s">
        <v>494</v>
      </c>
      <c r="F17" s="647" t="s">
        <v>494</v>
      </c>
    </row>
    <row r="18" spans="1:7">
      <c r="A18" s="647" t="s">
        <v>765</v>
      </c>
      <c r="B18" s="626">
        <v>8419000000</v>
      </c>
      <c r="C18" s="626">
        <v>-4727000000</v>
      </c>
      <c r="D18" s="626">
        <v>-1641000000</v>
      </c>
      <c r="E18" s="626">
        <v>3436000000</v>
      </c>
      <c r="F18" s="626">
        <v>4978000000</v>
      </c>
      <c r="G18" s="626"/>
    </row>
    <row r="19" spans="1:7">
      <c r="A19" s="647" t="s">
        <v>766</v>
      </c>
      <c r="B19" s="626">
        <v>-456000000</v>
      </c>
      <c r="C19" s="626">
        <v>-1900000000</v>
      </c>
      <c r="D19" s="626">
        <v>-1144000000</v>
      </c>
      <c r="E19" s="626">
        <v>-1295000000</v>
      </c>
      <c r="F19" s="626">
        <v>-228000000</v>
      </c>
      <c r="G19" s="626"/>
    </row>
    <row r="20" spans="1:7">
      <c r="A20" s="647" t="s">
        <v>767</v>
      </c>
      <c r="B20" s="626">
        <v>-456000000</v>
      </c>
      <c r="C20" s="626">
        <v>-1900000000</v>
      </c>
      <c r="D20" s="626">
        <v>-1144000000</v>
      </c>
      <c r="E20" s="626">
        <v>-1295000000</v>
      </c>
      <c r="F20" s="626">
        <v>-228000000</v>
      </c>
      <c r="G20" s="626"/>
    </row>
    <row r="21" spans="1:7">
      <c r="A21" s="647" t="s">
        <v>768</v>
      </c>
      <c r="B21" s="626">
        <v>981000000</v>
      </c>
      <c r="C21" s="626">
        <v>661000000</v>
      </c>
      <c r="D21" s="626">
        <v>745000000</v>
      </c>
      <c r="E21" s="626">
        <v>2052000000</v>
      </c>
      <c r="F21" s="626">
        <v>3584000000</v>
      </c>
      <c r="G21" s="626"/>
    </row>
    <row r="22" spans="1:7">
      <c r="A22" s="647" t="s">
        <v>769</v>
      </c>
      <c r="B22" s="626">
        <v>456000000</v>
      </c>
      <c r="C22" s="626">
        <v>248000000</v>
      </c>
      <c r="D22" s="626">
        <v>-473000000</v>
      </c>
      <c r="E22" s="626">
        <v>3204000000</v>
      </c>
      <c r="F22" s="626">
        <v>482000000</v>
      </c>
      <c r="G22" s="626"/>
    </row>
    <row r="23" spans="1:7">
      <c r="A23" s="647" t="s">
        <v>770</v>
      </c>
      <c r="B23" s="626">
        <v>7714000000</v>
      </c>
      <c r="C23" s="626">
        <v>-3191000000</v>
      </c>
      <c r="D23" s="626">
        <v>-140000000</v>
      </c>
      <c r="E23" s="626">
        <v>-110000000</v>
      </c>
      <c r="F23" s="626">
        <v>1489000000</v>
      </c>
      <c r="G23" s="626"/>
    </row>
    <row r="24" spans="1:7">
      <c r="A24" s="647" t="s">
        <v>771</v>
      </c>
      <c r="B24" s="626">
        <v>-276000000</v>
      </c>
      <c r="C24" s="626">
        <v>-545000000</v>
      </c>
      <c r="D24" s="626">
        <v>-629000000</v>
      </c>
      <c r="E24" s="626">
        <v>-415000000</v>
      </c>
      <c r="F24" s="626">
        <v>-349000000</v>
      </c>
      <c r="G24" s="626"/>
    </row>
    <row r="25" spans="1:7">
      <c r="A25" s="647" t="s">
        <v>772</v>
      </c>
      <c r="B25" s="647" t="s">
        <v>494</v>
      </c>
      <c r="C25" s="626">
        <v>-795000000</v>
      </c>
      <c r="D25" s="626">
        <v>-2924000000</v>
      </c>
      <c r="E25" s="626">
        <v>513000000</v>
      </c>
      <c r="F25" s="626">
        <v>737000000</v>
      </c>
      <c r="G25" s="626"/>
    </row>
    <row r="26" spans="1:7" s="648" customFormat="1">
      <c r="A26" s="648" t="s">
        <v>773</v>
      </c>
      <c r="B26" s="649">
        <v>2430000000</v>
      </c>
      <c r="C26" s="649">
        <v>-558000000</v>
      </c>
      <c r="D26" s="649">
        <v>-9173000000</v>
      </c>
      <c r="E26" s="649">
        <v>-3765000000</v>
      </c>
      <c r="F26" s="649">
        <v>-3673000000</v>
      </c>
      <c r="G26" s="649"/>
    </row>
    <row r="27" spans="1:7">
      <c r="A27" s="647" t="s">
        <v>774</v>
      </c>
      <c r="B27" s="626">
        <v>724000000</v>
      </c>
      <c r="C27" s="626">
        <v>-2334000000</v>
      </c>
      <c r="D27" s="626">
        <v>-1217000000</v>
      </c>
      <c r="E27" s="626">
        <v>1564000000</v>
      </c>
      <c r="F27" s="626">
        <v>-295000000</v>
      </c>
      <c r="G27" s="626"/>
    </row>
    <row r="28" spans="1:7">
      <c r="A28" s="647" t="s">
        <v>775</v>
      </c>
      <c r="B28" s="626">
        <v>1000000</v>
      </c>
      <c r="C28" s="626">
        <v>-2075000000</v>
      </c>
      <c r="D28" s="626">
        <v>355000000</v>
      </c>
      <c r="E28" s="626">
        <v>88000000</v>
      </c>
      <c r="F28" s="626">
        <v>1822000000</v>
      </c>
      <c r="G28" s="626"/>
    </row>
    <row r="29" spans="1:7">
      <c r="A29" s="647" t="s">
        <v>776</v>
      </c>
      <c r="B29" s="626">
        <v>-859000000</v>
      </c>
      <c r="C29" s="626">
        <v>-1032000000</v>
      </c>
      <c r="D29" s="626">
        <v>-1709000000</v>
      </c>
      <c r="E29" s="626">
        <v>-1723000000</v>
      </c>
      <c r="F29" s="626">
        <v>229000000</v>
      </c>
      <c r="G29" s="626"/>
    </row>
    <row r="30" spans="1:7">
      <c r="A30" s="647" t="s">
        <v>777</v>
      </c>
      <c r="B30" s="626">
        <v>159000000</v>
      </c>
      <c r="C30" s="626">
        <v>-289000000</v>
      </c>
      <c r="D30" s="626">
        <v>-413000000</v>
      </c>
      <c r="E30" s="626">
        <v>324000000</v>
      </c>
      <c r="F30" s="626">
        <v>-165000000</v>
      </c>
      <c r="G30" s="626"/>
    </row>
    <row r="31" spans="1:7">
      <c r="A31" s="647" t="s">
        <v>778</v>
      </c>
      <c r="B31" s="626">
        <v>3462000000</v>
      </c>
      <c r="C31" s="626">
        <v>8089000000</v>
      </c>
      <c r="D31" s="626">
        <v>-2800000000</v>
      </c>
      <c r="E31" s="626">
        <v>-1385000000</v>
      </c>
      <c r="F31" s="626">
        <v>-2002000000</v>
      </c>
      <c r="G31" s="626"/>
    </row>
    <row r="32" spans="1:7">
      <c r="A32" s="647" t="s">
        <v>779</v>
      </c>
      <c r="B32" s="626">
        <v>3462000000</v>
      </c>
      <c r="C32" s="626">
        <v>8089000000</v>
      </c>
      <c r="D32" s="626">
        <v>-2800000000</v>
      </c>
      <c r="E32" s="626">
        <v>-1385000000</v>
      </c>
      <c r="F32" s="626">
        <v>-2002000000</v>
      </c>
      <c r="G32" s="626"/>
    </row>
    <row r="33" spans="1:7">
      <c r="A33" s="647" t="s">
        <v>780</v>
      </c>
      <c r="B33" s="626">
        <v>216000000</v>
      </c>
      <c r="C33" s="626">
        <v>1073000000</v>
      </c>
      <c r="D33" s="626">
        <v>-359000000</v>
      </c>
      <c r="E33" s="626">
        <v>-954000000</v>
      </c>
      <c r="F33" s="626">
        <v>986000000</v>
      </c>
      <c r="G33" s="626"/>
    </row>
    <row r="34" spans="1:7">
      <c r="A34" s="647" t="s">
        <v>781</v>
      </c>
      <c r="B34" s="626">
        <v>3246000000</v>
      </c>
      <c r="C34" s="626">
        <v>7016000000</v>
      </c>
      <c r="D34" s="626">
        <v>-2441000000</v>
      </c>
      <c r="E34" s="626">
        <v>-431000000</v>
      </c>
      <c r="F34" s="626">
        <v>-2988000000</v>
      </c>
      <c r="G34" s="626"/>
    </row>
    <row r="35" spans="1:7">
      <c r="A35" s="647" t="s">
        <v>782</v>
      </c>
      <c r="B35" s="626">
        <v>-1010000000</v>
      </c>
      <c r="C35" s="626">
        <v>-3293000000</v>
      </c>
      <c r="D35" s="626">
        <v>-3294000000</v>
      </c>
      <c r="E35" s="626">
        <v>-2064000000</v>
      </c>
      <c r="F35" s="626">
        <v>-2525000000</v>
      </c>
      <c r="G35" s="626"/>
    </row>
    <row r="36" spans="1:7">
      <c r="A36" s="647" t="s">
        <v>783</v>
      </c>
      <c r="B36" s="626">
        <v>-47000000</v>
      </c>
      <c r="C36" s="626">
        <v>376000000</v>
      </c>
      <c r="D36" s="626">
        <v>-95000000</v>
      </c>
      <c r="E36" s="626">
        <v>-569000000</v>
      </c>
      <c r="F36" s="626">
        <v>-737000000</v>
      </c>
      <c r="G36" s="626"/>
    </row>
    <row r="37" spans="1:7">
      <c r="A37" s="647" t="s">
        <v>784</v>
      </c>
      <c r="B37" s="647" t="s">
        <v>494</v>
      </c>
      <c r="C37" s="647" t="s">
        <v>494</v>
      </c>
      <c r="D37" s="647" t="s">
        <v>494</v>
      </c>
      <c r="E37" s="647" t="s">
        <v>494</v>
      </c>
      <c r="F37" s="647" t="s">
        <v>494</v>
      </c>
    </row>
    <row r="38" spans="1:7">
      <c r="A38" s="647" t="s">
        <v>785</v>
      </c>
      <c r="B38" s="626">
        <v>-332000000</v>
      </c>
      <c r="C38" s="626">
        <v>-2138000000</v>
      </c>
      <c r="D38" s="626">
        <v>-11516000000</v>
      </c>
      <c r="E38" s="626">
        <v>-10032000000</v>
      </c>
      <c r="F38" s="626">
        <v>-6907000000</v>
      </c>
      <c r="G38" s="626"/>
    </row>
    <row r="39" spans="1:7">
      <c r="A39" s="647" t="s">
        <v>786</v>
      </c>
      <c r="B39" s="647" t="s">
        <v>494</v>
      </c>
      <c r="C39" s="626">
        <v>0</v>
      </c>
      <c r="D39" s="647" t="s">
        <v>494</v>
      </c>
      <c r="E39" s="647" t="s">
        <v>494</v>
      </c>
      <c r="F39" s="647" t="s">
        <v>494</v>
      </c>
    </row>
    <row r="40" spans="1:7">
      <c r="A40" s="648" t="s">
        <v>787</v>
      </c>
      <c r="B40" s="651">
        <v>-4510000000</v>
      </c>
      <c r="C40" s="651">
        <v>2157000000</v>
      </c>
      <c r="D40" s="651">
        <v>-432000000</v>
      </c>
      <c r="E40" s="651">
        <v>-7955000000</v>
      </c>
      <c r="F40" s="651">
        <v>-13369000000</v>
      </c>
      <c r="G40" s="626"/>
    </row>
    <row r="41" spans="1:7">
      <c r="A41" s="647" t="s">
        <v>788</v>
      </c>
      <c r="B41" s="626">
        <v>-4510000000</v>
      </c>
      <c r="C41" s="626">
        <v>2157000000</v>
      </c>
      <c r="D41" s="626">
        <v>-432000000</v>
      </c>
      <c r="E41" s="626">
        <v>-7955000000</v>
      </c>
      <c r="F41" s="626">
        <v>-13369000000</v>
      </c>
      <c r="G41" s="626"/>
    </row>
    <row r="42" spans="1:7">
      <c r="A42" s="647" t="s">
        <v>789</v>
      </c>
      <c r="B42" s="626">
        <v>-5874000000</v>
      </c>
      <c r="C42" s="626">
        <v>-6325000000</v>
      </c>
      <c r="D42" s="626">
        <v>-9581000000</v>
      </c>
      <c r="E42" s="626">
        <v>-12114000000</v>
      </c>
      <c r="F42" s="626">
        <v>-14644000000</v>
      </c>
      <c r="G42" s="626"/>
    </row>
    <row r="43" spans="1:7">
      <c r="A43" s="647" t="s">
        <v>790</v>
      </c>
      <c r="B43" s="626">
        <v>-5874000000</v>
      </c>
      <c r="C43" s="626">
        <v>-6325000000</v>
      </c>
      <c r="D43" s="626">
        <v>-9581000000</v>
      </c>
      <c r="E43" s="626">
        <v>-12114000000</v>
      </c>
      <c r="F43" s="626">
        <v>-14644000000</v>
      </c>
      <c r="G43" s="626"/>
    </row>
    <row r="44" spans="1:7">
      <c r="A44" s="647" t="s">
        <v>791</v>
      </c>
      <c r="B44" s="647" t="s">
        <v>494</v>
      </c>
      <c r="C44" s="647" t="s">
        <v>494</v>
      </c>
      <c r="D44" s="647" t="s">
        <v>494</v>
      </c>
      <c r="E44" s="647" t="s">
        <v>494</v>
      </c>
      <c r="F44" s="647" t="s">
        <v>494</v>
      </c>
    </row>
    <row r="45" spans="1:7">
      <c r="A45" s="647" t="s">
        <v>792</v>
      </c>
      <c r="B45" s="626">
        <v>-942000000</v>
      </c>
      <c r="C45" s="626">
        <v>-24000000</v>
      </c>
      <c r="D45" s="626">
        <v>-27000000</v>
      </c>
      <c r="E45" s="626">
        <v>-24000000</v>
      </c>
      <c r="F45" s="626">
        <v>-22000000</v>
      </c>
      <c r="G45" s="626"/>
    </row>
    <row r="46" spans="1:7">
      <c r="A46" s="647" t="s">
        <v>793</v>
      </c>
      <c r="B46" s="626">
        <v>-942000000</v>
      </c>
      <c r="C46" s="626">
        <v>-24000000</v>
      </c>
      <c r="D46" s="626">
        <v>-27000000</v>
      </c>
      <c r="E46" s="626">
        <v>-24000000</v>
      </c>
      <c r="F46" s="626">
        <v>-22000000</v>
      </c>
      <c r="G46" s="626"/>
    </row>
    <row r="47" spans="1:7">
      <c r="A47" s="647" t="s">
        <v>794</v>
      </c>
      <c r="B47" s="626">
        <v>66000000</v>
      </c>
      <c r="C47" s="626">
        <v>4000000</v>
      </c>
      <c r="D47" s="626">
        <v>-3328000000</v>
      </c>
      <c r="E47" s="626">
        <v>98000000</v>
      </c>
      <c r="F47" s="626">
        <v>-109000000</v>
      </c>
      <c r="G47" s="626"/>
    </row>
    <row r="48" spans="1:7">
      <c r="A48" s="647" t="s">
        <v>795</v>
      </c>
      <c r="B48" s="647" t="s">
        <v>494</v>
      </c>
      <c r="C48" s="647" t="s">
        <v>494</v>
      </c>
      <c r="D48" s="626">
        <v>-3328000000</v>
      </c>
      <c r="E48" s="647" t="s">
        <v>494</v>
      </c>
      <c r="F48" s="626">
        <v>-109000000</v>
      </c>
    </row>
    <row r="49" spans="1:7">
      <c r="A49" s="647" t="s">
        <v>796</v>
      </c>
      <c r="B49" s="647" t="s">
        <v>494</v>
      </c>
      <c r="C49" s="647" t="s">
        <v>494</v>
      </c>
      <c r="D49" s="647" t="s">
        <v>494</v>
      </c>
      <c r="E49" s="626">
        <v>98000000</v>
      </c>
      <c r="F49" s="647" t="s">
        <v>494</v>
      </c>
    </row>
    <row r="50" spans="1:7">
      <c r="A50" s="647" t="s">
        <v>797</v>
      </c>
      <c r="B50" s="626">
        <v>1997000000</v>
      </c>
      <c r="C50" s="626">
        <v>4783000000</v>
      </c>
      <c r="D50" s="626">
        <v>4846000000</v>
      </c>
      <c r="E50" s="626">
        <v>3606000000</v>
      </c>
      <c r="F50" s="626">
        <v>863000000</v>
      </c>
      <c r="G50" s="626"/>
    </row>
    <row r="51" spans="1:7">
      <c r="A51" s="647" t="s">
        <v>798</v>
      </c>
      <c r="B51" s="626">
        <v>1997000000</v>
      </c>
      <c r="C51" s="626">
        <v>4783000000</v>
      </c>
      <c r="D51" s="626">
        <v>4846000000</v>
      </c>
      <c r="E51" s="626">
        <v>3606000000</v>
      </c>
      <c r="F51" s="626">
        <v>863000000</v>
      </c>
      <c r="G51" s="626"/>
    </row>
    <row r="52" spans="1:7">
      <c r="A52" s="647" t="s">
        <v>799</v>
      </c>
      <c r="B52" s="626">
        <v>243000000</v>
      </c>
      <c r="C52" s="626">
        <v>781000000</v>
      </c>
      <c r="D52" s="626">
        <v>374000000</v>
      </c>
      <c r="E52" s="626">
        <v>88000000</v>
      </c>
      <c r="F52" s="626">
        <v>146000000</v>
      </c>
      <c r="G52" s="626"/>
    </row>
    <row r="53" spans="1:7">
      <c r="A53" s="647" t="s">
        <v>800</v>
      </c>
      <c r="B53" s="647" t="s">
        <v>494</v>
      </c>
      <c r="C53" s="626">
        <v>2938000000</v>
      </c>
      <c r="D53" s="626">
        <v>7284000000</v>
      </c>
      <c r="E53" s="626">
        <v>391000000</v>
      </c>
      <c r="F53" s="626">
        <v>397000000</v>
      </c>
      <c r="G53" s="626"/>
    </row>
    <row r="54" spans="1:7">
      <c r="A54" s="647" t="s">
        <v>801</v>
      </c>
      <c r="B54" s="647" t="s">
        <v>494</v>
      </c>
      <c r="C54" s="647" t="s">
        <v>494</v>
      </c>
      <c r="D54" s="647" t="s">
        <v>494</v>
      </c>
      <c r="E54" s="647" t="s">
        <v>494</v>
      </c>
      <c r="F54" s="647" t="s">
        <v>494</v>
      </c>
    </row>
    <row r="55" spans="1:7">
      <c r="A55" s="647" t="s">
        <v>802</v>
      </c>
      <c r="B55" s="647" t="s">
        <v>494</v>
      </c>
      <c r="C55" s="647" t="s">
        <v>494</v>
      </c>
      <c r="D55" s="647" t="s">
        <v>494</v>
      </c>
      <c r="E55" s="647" t="s">
        <v>494</v>
      </c>
      <c r="F55" s="647" t="s">
        <v>494</v>
      </c>
    </row>
    <row r="56" spans="1:7">
      <c r="A56" s="647" t="s">
        <v>803</v>
      </c>
      <c r="B56" s="647" t="s">
        <v>494</v>
      </c>
      <c r="C56" s="647" t="s">
        <v>494</v>
      </c>
      <c r="D56" s="647" t="s">
        <v>494</v>
      </c>
      <c r="E56" s="647" t="s">
        <v>494</v>
      </c>
      <c r="F56" s="647" t="s">
        <v>494</v>
      </c>
    </row>
    <row r="57" spans="1:7">
      <c r="A57" s="647" t="s">
        <v>804</v>
      </c>
      <c r="B57" s="647" t="s">
        <v>494</v>
      </c>
      <c r="C57" s="626">
        <v>0</v>
      </c>
      <c r="D57" s="647" t="s">
        <v>494</v>
      </c>
      <c r="E57" s="647" t="s">
        <v>494</v>
      </c>
      <c r="F57" s="647" t="s">
        <v>494</v>
      </c>
    </row>
    <row r="58" spans="1:7">
      <c r="A58" s="648" t="s">
        <v>805</v>
      </c>
      <c r="B58" s="651">
        <v>-19259000000</v>
      </c>
      <c r="C58" s="651">
        <v>-40791000000</v>
      </c>
      <c r="D58" s="651">
        <v>-51453000000</v>
      </c>
      <c r="E58" s="651">
        <v>-30700000000</v>
      </c>
      <c r="F58" s="651">
        <v>-33088000000</v>
      </c>
      <c r="G58" s="626"/>
    </row>
    <row r="59" spans="1:7">
      <c r="A59" s="647" t="s">
        <v>806</v>
      </c>
      <c r="B59" s="626">
        <v>-19259000000</v>
      </c>
      <c r="C59" s="626">
        <v>-40791000000</v>
      </c>
      <c r="D59" s="626">
        <v>-51453000000</v>
      </c>
      <c r="E59" s="626">
        <v>-30700000000</v>
      </c>
      <c r="F59" s="626">
        <v>-33088000000</v>
      </c>
      <c r="G59" s="626"/>
    </row>
    <row r="60" spans="1:7">
      <c r="A60" s="647" t="s">
        <v>807</v>
      </c>
      <c r="B60" s="647" t="s">
        <v>494</v>
      </c>
      <c r="C60" s="647" t="s">
        <v>494</v>
      </c>
      <c r="D60" s="647" t="s">
        <v>494</v>
      </c>
      <c r="E60" s="626">
        <v>-735000000</v>
      </c>
      <c r="F60" s="626">
        <v>-380000000</v>
      </c>
      <c r="G60" s="626"/>
    </row>
    <row r="61" spans="1:7">
      <c r="A61" s="647" t="s">
        <v>808</v>
      </c>
      <c r="B61" s="647" t="s">
        <v>494</v>
      </c>
      <c r="C61" s="647" t="s">
        <v>494</v>
      </c>
      <c r="D61" s="647" t="s">
        <v>494</v>
      </c>
      <c r="E61" s="626">
        <v>-735000000</v>
      </c>
      <c r="F61" s="626">
        <v>-380000000</v>
      </c>
      <c r="G61" s="626"/>
    </row>
    <row r="62" spans="1:7" s="648" customFormat="1">
      <c r="A62" s="648" t="s">
        <v>809</v>
      </c>
      <c r="B62" s="650">
        <v>-8704000000</v>
      </c>
      <c r="C62" s="650">
        <v>-19528000000</v>
      </c>
      <c r="D62" s="650">
        <v>-6454000000</v>
      </c>
      <c r="E62" s="650">
        <v>-1983000000</v>
      </c>
      <c r="F62" s="650">
        <v>-4407000000</v>
      </c>
      <c r="G62" s="649"/>
    </row>
    <row r="63" spans="1:7">
      <c r="A63" s="647" t="s">
        <v>810</v>
      </c>
      <c r="B63" s="626">
        <v>-8704000000</v>
      </c>
      <c r="C63" s="626">
        <v>-19528000000</v>
      </c>
      <c r="D63" s="626">
        <v>-6454000000</v>
      </c>
      <c r="E63" s="626">
        <v>-1983000000</v>
      </c>
      <c r="F63" s="626">
        <v>-4407000000</v>
      </c>
      <c r="G63" s="626"/>
    </row>
    <row r="64" spans="1:7">
      <c r="A64" s="647" t="s">
        <v>811</v>
      </c>
      <c r="B64" s="626">
        <v>17023000000</v>
      </c>
      <c r="C64" s="626">
        <v>1885000000</v>
      </c>
      <c r="D64" s="626">
        <v>2880000000</v>
      </c>
      <c r="E64" s="626">
        <v>2210000000</v>
      </c>
      <c r="F64" s="626">
        <v>2129000000</v>
      </c>
      <c r="G64" s="626"/>
    </row>
    <row r="65" spans="1:7">
      <c r="A65" s="647" t="s">
        <v>812</v>
      </c>
      <c r="B65" s="651">
        <v>-25727000000</v>
      </c>
      <c r="C65" s="651">
        <v>-21413000000</v>
      </c>
      <c r="D65" s="651">
        <v>-9334000000</v>
      </c>
      <c r="E65" s="651">
        <v>-4193000000</v>
      </c>
      <c r="F65" s="651">
        <v>-6536000000</v>
      </c>
      <c r="G65" s="626"/>
    </row>
    <row r="66" spans="1:7">
      <c r="A66" s="647" t="s">
        <v>813</v>
      </c>
      <c r="B66" s="626">
        <v>-5880000000</v>
      </c>
      <c r="C66" s="626">
        <v>-5827000000</v>
      </c>
      <c r="D66" s="626">
        <v>-5430000000</v>
      </c>
      <c r="E66" s="626">
        <v>-6286000000</v>
      </c>
      <c r="F66" s="626">
        <v>-7895000000</v>
      </c>
      <c r="G66" s="626"/>
    </row>
    <row r="67" spans="1:7">
      <c r="A67" s="647" t="s">
        <v>814</v>
      </c>
      <c r="B67" s="626">
        <v>-5880000000</v>
      </c>
      <c r="C67" s="626">
        <v>-5827000000</v>
      </c>
      <c r="D67" s="626">
        <v>-5430000000</v>
      </c>
      <c r="E67" s="626">
        <v>-6286000000</v>
      </c>
      <c r="F67" s="626">
        <v>-7895000000</v>
      </c>
      <c r="G67" s="626"/>
    </row>
    <row r="68" spans="1:7">
      <c r="A68" s="647" t="s">
        <v>815</v>
      </c>
      <c r="B68" s="626">
        <v>-67000000</v>
      </c>
      <c r="C68" s="626">
        <v>-24000000</v>
      </c>
      <c r="D68" s="626">
        <v>63000000</v>
      </c>
      <c r="E68" s="626">
        <v>1000000</v>
      </c>
      <c r="F68" s="626">
        <v>-84000000</v>
      </c>
      <c r="G68" s="626"/>
    </row>
    <row r="69" spans="1:7">
      <c r="A69" s="647" t="s">
        <v>816</v>
      </c>
      <c r="B69" s="626">
        <v>-4524000000</v>
      </c>
      <c r="C69" s="626">
        <v>-15307000000</v>
      </c>
      <c r="D69" s="626">
        <v>-39551000000</v>
      </c>
      <c r="E69" s="626">
        <v>-21648000000</v>
      </c>
      <c r="F69" s="626">
        <v>-20245000000</v>
      </c>
      <c r="G69" s="626"/>
    </row>
    <row r="70" spans="1:7">
      <c r="A70" s="647" t="s">
        <v>817</v>
      </c>
      <c r="B70" s="626">
        <v>-1367000000</v>
      </c>
      <c r="C70" s="626">
        <v>-13078000000</v>
      </c>
      <c r="D70" s="626">
        <v>-37701000000</v>
      </c>
      <c r="E70" s="626">
        <v>-19670000000</v>
      </c>
      <c r="F70" s="626">
        <v>-18327000000</v>
      </c>
      <c r="G70" s="626"/>
    </row>
    <row r="71" spans="1:7">
      <c r="A71" s="647" t="s">
        <v>818</v>
      </c>
      <c r="B71" s="626">
        <v>-3157000000</v>
      </c>
      <c r="C71" s="626">
        <v>-2229000000</v>
      </c>
      <c r="D71" s="626">
        <v>-1850000000</v>
      </c>
      <c r="E71" s="626">
        <v>-1978000000</v>
      </c>
      <c r="F71" s="626">
        <v>-1918000000</v>
      </c>
      <c r="G71" s="626"/>
    </row>
    <row r="72" spans="1:7">
      <c r="A72" s="647" t="s">
        <v>819</v>
      </c>
      <c r="B72" s="626">
        <v>-84000000</v>
      </c>
      <c r="C72" s="626">
        <v>-105000000</v>
      </c>
      <c r="D72" s="626">
        <v>-81000000</v>
      </c>
      <c r="E72" s="626">
        <v>-49000000</v>
      </c>
      <c r="F72" s="626">
        <v>-77000000</v>
      </c>
      <c r="G72" s="626"/>
    </row>
    <row r="73" spans="1:7">
      <c r="A73" s="647" t="s">
        <v>820</v>
      </c>
      <c r="B73" s="647" t="s">
        <v>494</v>
      </c>
      <c r="C73" s="647" t="s">
        <v>494</v>
      </c>
      <c r="D73" s="647" t="s">
        <v>494</v>
      </c>
      <c r="E73" s="647" t="s">
        <v>494</v>
      </c>
      <c r="F73" s="647" t="s">
        <v>494</v>
      </c>
    </row>
    <row r="74" spans="1:7">
      <c r="A74" s="647" t="s">
        <v>821</v>
      </c>
      <c r="B74" s="647" t="s">
        <v>494</v>
      </c>
      <c r="C74" s="626">
        <v>0</v>
      </c>
      <c r="D74" s="647" t="s">
        <v>494</v>
      </c>
      <c r="E74" s="647" t="s">
        <v>494</v>
      </c>
      <c r="F74" s="647" t="s">
        <v>494</v>
      </c>
    </row>
    <row r="75" spans="1:7">
      <c r="A75" s="647" t="s">
        <v>822</v>
      </c>
      <c r="B75" s="651">
        <v>11725000000</v>
      </c>
      <c r="C75" s="651">
        <v>10480000000</v>
      </c>
      <c r="D75" s="651">
        <v>7996000000</v>
      </c>
      <c r="E75" s="651">
        <v>12727000000</v>
      </c>
      <c r="F75" s="651">
        <v>3271000000</v>
      </c>
      <c r="G75" s="626"/>
    </row>
    <row r="76" spans="1:7">
      <c r="A76" s="647" t="s">
        <v>823</v>
      </c>
      <c r="B76" s="651">
        <v>5121000000</v>
      </c>
      <c r="C76" s="651">
        <v>-843000000</v>
      </c>
      <c r="D76" s="651">
        <v>-2168000000</v>
      </c>
      <c r="E76" s="651">
        <v>4557000000</v>
      </c>
      <c r="F76" s="651">
        <v>-8473000000</v>
      </c>
      <c r="G76" s="626"/>
    </row>
    <row r="77" spans="1:7">
      <c r="A77" s="647" t="s">
        <v>824</v>
      </c>
      <c r="B77" s="651">
        <v>-773000000</v>
      </c>
      <c r="C77" s="651">
        <v>-402000000</v>
      </c>
      <c r="D77" s="651">
        <v>-316000000</v>
      </c>
      <c r="E77" s="651">
        <v>174000000</v>
      </c>
      <c r="F77" s="651">
        <v>-983000000</v>
      </c>
      <c r="G77" s="626"/>
    </row>
    <row r="78" spans="1:7" s="648" customFormat="1">
      <c r="A78" s="648" t="s">
        <v>825</v>
      </c>
      <c r="B78" s="650">
        <v>7377000000</v>
      </c>
      <c r="C78" s="650">
        <v>11725000000</v>
      </c>
      <c r="D78" s="650">
        <v>10480000000</v>
      </c>
      <c r="E78" s="650">
        <v>7996000000</v>
      </c>
      <c r="F78" s="650">
        <v>12727000000</v>
      </c>
      <c r="G78" s="649"/>
    </row>
    <row r="79" spans="1:7">
      <c r="A79" s="647" t="s">
        <v>826</v>
      </c>
      <c r="B79" s="647" t="s">
        <v>494</v>
      </c>
      <c r="C79" s="647" t="s">
        <v>494</v>
      </c>
      <c r="D79" s="647" t="s">
        <v>494</v>
      </c>
      <c r="E79" s="647" t="s">
        <v>494</v>
      </c>
      <c r="F79" s="647" t="s">
        <v>494</v>
      </c>
    </row>
    <row r="80" spans="1:7">
      <c r="A80" s="647" t="s">
        <v>827</v>
      </c>
      <c r="B80" s="626">
        <v>4348000000</v>
      </c>
      <c r="C80" s="626">
        <v>-1245000000</v>
      </c>
      <c r="D80" s="626">
        <v>-2484000000</v>
      </c>
      <c r="E80" s="626">
        <v>4731000000</v>
      </c>
      <c r="F80" s="626">
        <v>-9456000000</v>
      </c>
      <c r="G80" s="626"/>
    </row>
    <row r="81" spans="1:1">
      <c r="A81" s="647" t="s">
        <v>582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Cover</vt:lpstr>
      <vt:lpstr>Football Field Chart</vt:lpstr>
      <vt:lpstr>Outputs</vt:lpstr>
      <vt:lpstr>Inputs</vt:lpstr>
      <vt:lpstr>Model</vt:lpstr>
      <vt:lpstr>Comparables</vt:lpstr>
      <vt:lpstr>CAPM Beta </vt:lpstr>
      <vt:lpstr>Assumption Origin</vt:lpstr>
      <vt:lpstr>Sheet2</vt:lpstr>
      <vt:lpstr>Ratios</vt:lpstr>
      <vt:lpstr>3-Statement Analysis</vt:lpstr>
      <vt:lpstr>Income Statement PBR</vt:lpstr>
      <vt:lpstr>Balance Sheet PBR</vt:lpstr>
      <vt:lpstr>Cash Flow PBR</vt:lpstr>
      <vt:lpstr>Comparables!Print_Area</vt:lpstr>
      <vt:lpstr>'Football Field Chart'!Print_Area</vt:lpstr>
      <vt:lpstr>Inputs!Print_Area</vt:lpstr>
      <vt:lpstr>Model!Print_Area</vt:lpstr>
      <vt:lpstr>'CAPM Beta 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Elaa Yaakoubi</dc:creator>
  <cp:keywords/>
  <dc:description/>
  <cp:lastModifiedBy>Laroussi Mustapha</cp:lastModifiedBy>
  <cp:revision/>
  <dcterms:created xsi:type="dcterms:W3CDTF">1899-12-30T05:00:00Z</dcterms:created>
  <dcterms:modified xsi:type="dcterms:W3CDTF">2026-01-19T01:52:12Z</dcterms:modified>
  <cp:category/>
  <cp:contentStatus/>
  <dc:language/>
  <cp:version/>
</cp:coreProperties>
</file>